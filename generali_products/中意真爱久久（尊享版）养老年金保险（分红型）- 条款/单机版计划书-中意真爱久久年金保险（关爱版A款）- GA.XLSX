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ATR116\Desktop\"/>
    </mc:Choice>
  </mc:AlternateContent>
  <bookViews>
    <workbookView xWindow="0" yWindow="0" windowWidth="28800" windowHeight="11895"/>
  </bookViews>
  <sheets>
    <sheet name="利益演示" sheetId="1" r:id="rId1"/>
    <sheet name="利益演示-组合万能" sheetId="7" r:id="rId2"/>
    <sheet name="鑫意锁风险保险费" sheetId="8" state="veryHidden" r:id="rId3"/>
    <sheet name="保费保额表" sheetId="2" state="veryHidden" r:id="rId4"/>
    <sheet name="现价表" sheetId="3" state="veryHidden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87" i="7" l="1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E30" i="7" l="1"/>
  <c r="C18" i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0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H86" i="1"/>
  <c r="J86" i="1"/>
  <c r="C88" i="1" l="1"/>
  <c r="H87" i="1"/>
  <c r="J87" i="1"/>
  <c r="C89" i="1" l="1"/>
  <c r="H88" i="1"/>
  <c r="J88" i="1"/>
  <c r="C90" i="1" l="1"/>
  <c r="H89" i="1"/>
  <c r="J89" i="1"/>
  <c r="C91" i="1" l="1"/>
  <c r="J90" i="1"/>
  <c r="H90" i="1"/>
  <c r="C92" i="1" l="1"/>
  <c r="H91" i="1"/>
  <c r="J91" i="1"/>
  <c r="C93" i="1" l="1"/>
  <c r="J92" i="1"/>
  <c r="H92" i="1"/>
  <c r="C94" i="1" l="1"/>
  <c r="J93" i="1"/>
  <c r="H93" i="1"/>
  <c r="C95" i="1" l="1"/>
  <c r="J94" i="1"/>
  <c r="H94" i="1"/>
  <c r="C96" i="1" l="1"/>
  <c r="H95" i="1"/>
  <c r="J95" i="1"/>
  <c r="C97" i="1" l="1"/>
  <c r="H96" i="1"/>
  <c r="J96" i="1"/>
  <c r="C98" i="1" l="1"/>
  <c r="J97" i="1"/>
  <c r="H97" i="1"/>
  <c r="C99" i="1" l="1"/>
  <c r="J98" i="1"/>
  <c r="H98" i="1"/>
  <c r="C100" i="1" l="1"/>
  <c r="H99" i="1"/>
  <c r="J99" i="1"/>
  <c r="C101" i="1" l="1"/>
  <c r="J100" i="1"/>
  <c r="H100" i="1"/>
  <c r="C102" i="1" l="1"/>
  <c r="H101" i="1"/>
  <c r="J101" i="1"/>
  <c r="C103" i="1" l="1"/>
  <c r="J102" i="1"/>
  <c r="H102" i="1"/>
  <c r="C104" i="1" l="1"/>
  <c r="H103" i="1"/>
  <c r="J103" i="1"/>
  <c r="C105" i="1" l="1"/>
  <c r="J104" i="1"/>
  <c r="H104" i="1"/>
  <c r="C106" i="1" l="1"/>
  <c r="J105" i="1"/>
  <c r="H105" i="1"/>
  <c r="C107" i="1" l="1"/>
  <c r="J106" i="1"/>
  <c r="H106" i="1"/>
  <c r="C108" i="1" l="1"/>
  <c r="J107" i="1"/>
  <c r="H107" i="1"/>
  <c r="C109" i="1" l="1"/>
  <c r="H108" i="1"/>
  <c r="J108" i="1"/>
  <c r="C110" i="1" l="1"/>
  <c r="H109" i="1"/>
  <c r="J109" i="1"/>
  <c r="C111" i="1" l="1"/>
  <c r="J110" i="1"/>
  <c r="H110" i="1"/>
  <c r="C112" i="1" l="1"/>
  <c r="J111" i="1"/>
  <c r="H111" i="1"/>
  <c r="C113" i="1" l="1"/>
  <c r="J112" i="1"/>
  <c r="H112" i="1"/>
  <c r="C114" i="1" l="1"/>
  <c r="J113" i="1"/>
  <c r="H113" i="1"/>
  <c r="C115" i="1" l="1"/>
  <c r="H114" i="1"/>
  <c r="J114" i="1"/>
  <c r="C116" i="1" l="1"/>
  <c r="H115" i="1"/>
  <c r="J115" i="1"/>
  <c r="C117" i="1" l="1"/>
  <c r="J116" i="1"/>
  <c r="H116" i="1"/>
  <c r="C118" i="1" l="1"/>
  <c r="J117" i="1"/>
  <c r="H117" i="1"/>
  <c r="C119" i="1" l="1"/>
  <c r="J118" i="1"/>
  <c r="H118" i="1"/>
  <c r="C120" i="1" l="1"/>
  <c r="J119" i="1"/>
  <c r="H119" i="1"/>
  <c r="C121" i="1" l="1"/>
  <c r="J120" i="1"/>
  <c r="H120" i="1"/>
  <c r="H121" i="1" l="1"/>
  <c r="J121" i="1"/>
  <c r="K18" i="7" l="1"/>
  <c r="M18" i="7" l="1"/>
  <c r="B3" i="1" l="1"/>
  <c r="E18" i="7" l="1"/>
  <c r="F5" i="7"/>
  <c r="H3" i="7"/>
  <c r="F3" i="7"/>
  <c r="B3" i="7" s="1"/>
  <c r="D3" i="7"/>
  <c r="D18" i="7" l="1"/>
  <c r="H18" i="7" s="1"/>
  <c r="C19" i="7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I18" i="7"/>
  <c r="N18" i="7" s="1"/>
  <c r="I3" i="7"/>
  <c r="K19" i="7"/>
  <c r="B4" i="1"/>
  <c r="J18" i="7" l="1"/>
  <c r="O18" i="7" s="1"/>
  <c r="C88" i="7"/>
  <c r="V87" i="7"/>
  <c r="H5" i="1"/>
  <c r="M19" i="7"/>
  <c r="E19" i="7"/>
  <c r="B4" i="7"/>
  <c r="D19" i="7"/>
  <c r="H19" i="7" s="1"/>
  <c r="T18" i="7" l="1"/>
  <c r="U18" i="7" s="1"/>
  <c r="V18" i="7" s="1"/>
  <c r="T19" i="7" s="1"/>
  <c r="P18" i="7"/>
  <c r="Q18" i="7" s="1"/>
  <c r="O19" i="7" s="1"/>
  <c r="C89" i="7"/>
  <c r="V88" i="7"/>
  <c r="K20" i="7"/>
  <c r="M20" i="7"/>
  <c r="J19" i="7"/>
  <c r="I19" i="7"/>
  <c r="N19" i="7" s="1"/>
  <c r="E20" i="7"/>
  <c r="D20" i="7"/>
  <c r="H20" i="7" s="1"/>
  <c r="S18" i="7" l="1"/>
  <c r="R18" i="7"/>
  <c r="C90" i="7"/>
  <c r="V89" i="7"/>
  <c r="K21" i="7"/>
  <c r="W18" i="7"/>
  <c r="X18" i="7"/>
  <c r="M21" i="7"/>
  <c r="J20" i="7"/>
  <c r="I20" i="7"/>
  <c r="N20" i="7" s="1"/>
  <c r="E21" i="7"/>
  <c r="D21" i="7"/>
  <c r="H21" i="7" s="1"/>
  <c r="D17" i="1"/>
  <c r="I3" i="1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5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2" i="2"/>
  <c r="C91" i="7" l="1"/>
  <c r="V90" i="7"/>
  <c r="K22" i="7"/>
  <c r="G17" i="1"/>
  <c r="H17" i="1"/>
  <c r="J21" i="7"/>
  <c r="U19" i="7"/>
  <c r="V19" i="7" s="1"/>
  <c r="T20" i="7" s="1"/>
  <c r="M22" i="7"/>
  <c r="D22" i="7"/>
  <c r="H22" i="7" s="1"/>
  <c r="J5" i="7"/>
  <c r="I21" i="7"/>
  <c r="N21" i="7" s="1"/>
  <c r="E22" i="7"/>
  <c r="E19" i="1"/>
  <c r="E17" i="1"/>
  <c r="F17" i="1" s="1"/>
  <c r="H5" i="7"/>
  <c r="E18" i="1"/>
  <c r="D18" i="1"/>
  <c r="C92" i="7" l="1"/>
  <c r="V91" i="7"/>
  <c r="J22" i="7"/>
  <c r="K23" i="7"/>
  <c r="H18" i="1"/>
  <c r="D19" i="1"/>
  <c r="G18" i="1"/>
  <c r="X19" i="7"/>
  <c r="M23" i="7"/>
  <c r="D23" i="7"/>
  <c r="E23" i="7"/>
  <c r="I22" i="7"/>
  <c r="N22" i="7" s="1"/>
  <c r="I17" i="1"/>
  <c r="J17" i="1" s="1"/>
  <c r="I18" i="1"/>
  <c r="I19" i="1"/>
  <c r="I20" i="1"/>
  <c r="F19" i="1"/>
  <c r="E20" i="1"/>
  <c r="F20" i="1" s="1"/>
  <c r="F18" i="1"/>
  <c r="C93" i="7" l="1"/>
  <c r="V92" i="7"/>
  <c r="D20" i="1"/>
  <c r="J20" i="1"/>
  <c r="J19" i="1"/>
  <c r="J18" i="1"/>
  <c r="H20" i="1"/>
  <c r="G19" i="1"/>
  <c r="H19" i="1"/>
  <c r="M24" i="7"/>
  <c r="D24" i="7"/>
  <c r="E24" i="7"/>
  <c r="I21" i="1"/>
  <c r="E21" i="1"/>
  <c r="F21" i="1" s="1"/>
  <c r="D21" i="1"/>
  <c r="C94" i="7" l="1"/>
  <c r="V93" i="7"/>
  <c r="J21" i="1"/>
  <c r="G20" i="1"/>
  <c r="G21" i="1"/>
  <c r="H23" i="7" s="1"/>
  <c r="H21" i="1"/>
  <c r="P19" i="7"/>
  <c r="Q19" i="7" s="1"/>
  <c r="O20" i="7" s="1"/>
  <c r="M25" i="7"/>
  <c r="E25" i="7"/>
  <c r="D25" i="7"/>
  <c r="I22" i="1"/>
  <c r="E22" i="1"/>
  <c r="F22" i="1" s="1"/>
  <c r="D22" i="1"/>
  <c r="C95" i="7" l="1"/>
  <c r="V94" i="7"/>
  <c r="J23" i="7"/>
  <c r="I23" i="7"/>
  <c r="N23" i="7" s="1"/>
  <c r="K24" i="7"/>
  <c r="J22" i="1"/>
  <c r="G22" i="1"/>
  <c r="H24" i="7" s="1"/>
  <c r="H22" i="1"/>
  <c r="S19" i="7"/>
  <c r="R19" i="7"/>
  <c r="D26" i="7"/>
  <c r="M26" i="7"/>
  <c r="E26" i="7"/>
  <c r="I23" i="1"/>
  <c r="E23" i="1"/>
  <c r="F23" i="1" s="1"/>
  <c r="D23" i="1"/>
  <c r="C96" i="7" l="1"/>
  <c r="V95" i="7"/>
  <c r="J24" i="7"/>
  <c r="K25" i="7"/>
  <c r="I24" i="7"/>
  <c r="N24" i="7" s="1"/>
  <c r="J23" i="1"/>
  <c r="G23" i="1"/>
  <c r="H25" i="7" s="1"/>
  <c r="H23" i="1"/>
  <c r="W19" i="7"/>
  <c r="P20" i="7"/>
  <c r="M27" i="7"/>
  <c r="E27" i="7"/>
  <c r="D27" i="7"/>
  <c r="I24" i="1"/>
  <c r="E24" i="1"/>
  <c r="F24" i="1" s="1"/>
  <c r="D24" i="1"/>
  <c r="C97" i="7" l="1"/>
  <c r="V96" i="7"/>
  <c r="J25" i="7"/>
  <c r="K26" i="7"/>
  <c r="I25" i="7"/>
  <c r="N25" i="7" s="1"/>
  <c r="J24" i="1"/>
  <c r="G24" i="1"/>
  <c r="H26" i="7" s="1"/>
  <c r="H24" i="1"/>
  <c r="U20" i="7"/>
  <c r="V20" i="7" s="1"/>
  <c r="T21" i="7" s="1"/>
  <c r="Q20" i="7"/>
  <c r="O21" i="7" s="1"/>
  <c r="D28" i="7"/>
  <c r="M28" i="7"/>
  <c r="E28" i="7"/>
  <c r="I25" i="1"/>
  <c r="E25" i="1"/>
  <c r="F25" i="1" s="1"/>
  <c r="D25" i="1"/>
  <c r="C98" i="7" l="1"/>
  <c r="V97" i="7"/>
  <c r="J26" i="7"/>
  <c r="K27" i="7"/>
  <c r="I26" i="7"/>
  <c r="N26" i="7" s="1"/>
  <c r="J25" i="1"/>
  <c r="G25" i="1"/>
  <c r="H27" i="7" s="1"/>
  <c r="H25" i="1"/>
  <c r="X20" i="7"/>
  <c r="W20" i="7"/>
  <c r="S20" i="7"/>
  <c r="P21" i="7"/>
  <c r="Q21" i="7" s="1"/>
  <c r="R20" i="7"/>
  <c r="M30" i="7"/>
  <c r="D29" i="7"/>
  <c r="E29" i="7"/>
  <c r="M29" i="7"/>
  <c r="I26" i="1"/>
  <c r="E26" i="1"/>
  <c r="F26" i="1" s="1"/>
  <c r="D26" i="1"/>
  <c r="S21" i="7" l="1"/>
  <c r="O22" i="7"/>
  <c r="C99" i="7"/>
  <c r="V98" i="7"/>
  <c r="J27" i="7"/>
  <c r="K28" i="7"/>
  <c r="I27" i="7"/>
  <c r="N27" i="7" s="1"/>
  <c r="J26" i="1"/>
  <c r="G26" i="1"/>
  <c r="H28" i="7" s="1"/>
  <c r="H26" i="1"/>
  <c r="D30" i="7"/>
  <c r="U21" i="7"/>
  <c r="V21" i="7" s="1"/>
  <c r="T22" i="7" s="1"/>
  <c r="R21" i="7"/>
  <c r="M31" i="7"/>
  <c r="I27" i="1"/>
  <c r="E27" i="1"/>
  <c r="F27" i="1" s="1"/>
  <c r="D27" i="1"/>
  <c r="C100" i="7" l="1"/>
  <c r="V99" i="7"/>
  <c r="I28" i="7"/>
  <c r="N28" i="7" s="1"/>
  <c r="J27" i="1"/>
  <c r="G27" i="1"/>
  <c r="H29" i="7" s="1"/>
  <c r="H27" i="1"/>
  <c r="X21" i="7"/>
  <c r="E31" i="7"/>
  <c r="W21" i="7"/>
  <c r="P22" i="7"/>
  <c r="Q22" i="7" s="1"/>
  <c r="D31" i="7"/>
  <c r="I28" i="1"/>
  <c r="E28" i="1"/>
  <c r="F28" i="1" s="1"/>
  <c r="D28" i="1"/>
  <c r="S22" i="7" l="1"/>
  <c r="O23" i="7"/>
  <c r="C101" i="7"/>
  <c r="V100" i="7"/>
  <c r="J28" i="7"/>
  <c r="K29" i="7"/>
  <c r="J29" i="7"/>
  <c r="K30" i="7"/>
  <c r="I29" i="7"/>
  <c r="N29" i="7" s="1"/>
  <c r="J28" i="1"/>
  <c r="G28" i="1"/>
  <c r="H30" i="7" s="1"/>
  <c r="H28" i="1"/>
  <c r="E32" i="7"/>
  <c r="E33" i="7"/>
  <c r="M32" i="7"/>
  <c r="D32" i="7"/>
  <c r="U22" i="7"/>
  <c r="I29" i="1"/>
  <c r="E29" i="1"/>
  <c r="F29" i="1" s="1"/>
  <c r="D29" i="1"/>
  <c r="C102" i="7" l="1"/>
  <c r="V101" i="7"/>
  <c r="V22" i="7"/>
  <c r="K31" i="7"/>
  <c r="J30" i="7"/>
  <c r="I30" i="7"/>
  <c r="N30" i="7" s="1"/>
  <c r="J29" i="1"/>
  <c r="G29" i="1"/>
  <c r="H31" i="7" s="1"/>
  <c r="H29" i="1"/>
  <c r="M33" i="7"/>
  <c r="D33" i="7"/>
  <c r="P23" i="7"/>
  <c r="Q23" i="7" s="1"/>
  <c r="R22" i="7"/>
  <c r="I30" i="1"/>
  <c r="E30" i="1"/>
  <c r="F30" i="1" s="1"/>
  <c r="D30" i="1"/>
  <c r="X22" i="7" l="1"/>
  <c r="T23" i="7"/>
  <c r="U23" i="7" s="1"/>
  <c r="S23" i="7"/>
  <c r="O24" i="7"/>
  <c r="W22" i="7"/>
  <c r="C103" i="7"/>
  <c r="V102" i="7"/>
  <c r="I31" i="7"/>
  <c r="N31" i="7" s="1"/>
  <c r="J31" i="7"/>
  <c r="K32" i="7"/>
  <c r="J30" i="1"/>
  <c r="G30" i="1"/>
  <c r="H32" i="7" s="1"/>
  <c r="H30" i="1"/>
  <c r="E35" i="7"/>
  <c r="M34" i="7"/>
  <c r="D34" i="7"/>
  <c r="E34" i="7"/>
  <c r="R23" i="7"/>
  <c r="I31" i="1"/>
  <c r="E31" i="1"/>
  <c r="F31" i="1" s="1"/>
  <c r="D31" i="1"/>
  <c r="C104" i="7" l="1"/>
  <c r="V103" i="7"/>
  <c r="V23" i="7"/>
  <c r="J32" i="7"/>
  <c r="K33" i="7"/>
  <c r="I32" i="7"/>
  <c r="N32" i="7" s="1"/>
  <c r="J31" i="1"/>
  <c r="G31" i="1"/>
  <c r="H33" i="7" s="1"/>
  <c r="H31" i="1"/>
  <c r="D35" i="7"/>
  <c r="M35" i="7"/>
  <c r="P24" i="7"/>
  <c r="Q24" i="7" s="1"/>
  <c r="I32" i="1"/>
  <c r="E32" i="1"/>
  <c r="F32" i="1" s="1"/>
  <c r="D32" i="1"/>
  <c r="X23" i="7" l="1"/>
  <c r="T24" i="7"/>
  <c r="S24" i="7"/>
  <c r="O25" i="7"/>
  <c r="C105" i="7"/>
  <c r="V104" i="7"/>
  <c r="W23" i="7"/>
  <c r="U24" i="7"/>
  <c r="I33" i="7"/>
  <c r="N33" i="7" s="1"/>
  <c r="J32" i="1"/>
  <c r="G32" i="1"/>
  <c r="H34" i="7" s="1"/>
  <c r="H32" i="1"/>
  <c r="D36" i="7"/>
  <c r="E36" i="7"/>
  <c r="M36" i="7"/>
  <c r="R24" i="7"/>
  <c r="I33" i="1"/>
  <c r="E33" i="1"/>
  <c r="F33" i="1" s="1"/>
  <c r="D33" i="1"/>
  <c r="C106" i="7" l="1"/>
  <c r="V105" i="7"/>
  <c r="V24" i="7"/>
  <c r="J33" i="7"/>
  <c r="K34" i="7"/>
  <c r="J34" i="7"/>
  <c r="K35" i="7"/>
  <c r="I34" i="7"/>
  <c r="N34" i="7" s="1"/>
  <c r="J33" i="1"/>
  <c r="G33" i="1"/>
  <c r="H35" i="7" s="1"/>
  <c r="H33" i="1"/>
  <c r="E37" i="7"/>
  <c r="M37" i="7"/>
  <c r="E38" i="7"/>
  <c r="D37" i="7"/>
  <c r="P25" i="7"/>
  <c r="Q25" i="7" s="1"/>
  <c r="I34" i="1"/>
  <c r="E34" i="1"/>
  <c r="F34" i="1" s="1"/>
  <c r="D34" i="1"/>
  <c r="X24" i="7" l="1"/>
  <c r="T25" i="7"/>
  <c r="S25" i="7"/>
  <c r="O26" i="7"/>
  <c r="W24" i="7"/>
  <c r="U25" i="7"/>
  <c r="C107" i="7"/>
  <c r="V106" i="7"/>
  <c r="J35" i="7"/>
  <c r="K36" i="7"/>
  <c r="I35" i="7"/>
  <c r="N35" i="7" s="1"/>
  <c r="J34" i="1"/>
  <c r="G34" i="1"/>
  <c r="H36" i="7" s="1"/>
  <c r="H34" i="1"/>
  <c r="M38" i="7"/>
  <c r="D38" i="7"/>
  <c r="I35" i="1"/>
  <c r="E35" i="1"/>
  <c r="F35" i="1" s="1"/>
  <c r="D35" i="1"/>
  <c r="C108" i="7" l="1"/>
  <c r="V107" i="7"/>
  <c r="V25" i="7"/>
  <c r="J36" i="7"/>
  <c r="K37" i="7"/>
  <c r="I36" i="7"/>
  <c r="N36" i="7" s="1"/>
  <c r="J35" i="1"/>
  <c r="G35" i="1"/>
  <c r="H37" i="7" s="1"/>
  <c r="H35" i="1"/>
  <c r="D39" i="7"/>
  <c r="D40" i="7" s="1"/>
  <c r="E39" i="7"/>
  <c r="M39" i="7"/>
  <c r="R25" i="7"/>
  <c r="M40" i="7"/>
  <c r="E40" i="7"/>
  <c r="I36" i="1"/>
  <c r="E36" i="1"/>
  <c r="F36" i="1" s="1"/>
  <c r="D36" i="1"/>
  <c r="X25" i="7" l="1"/>
  <c r="T26" i="7"/>
  <c r="W25" i="7"/>
  <c r="C109" i="7"/>
  <c r="V108" i="7"/>
  <c r="J37" i="7"/>
  <c r="K38" i="7"/>
  <c r="I37" i="7"/>
  <c r="N37" i="7" s="1"/>
  <c r="J36" i="1"/>
  <c r="G36" i="1"/>
  <c r="H38" i="7" s="1"/>
  <c r="H36" i="1"/>
  <c r="U26" i="7"/>
  <c r="P26" i="7"/>
  <c r="Q26" i="7" s="1"/>
  <c r="M41" i="7"/>
  <c r="E41" i="7"/>
  <c r="D41" i="7"/>
  <c r="I37" i="1"/>
  <c r="E37" i="1"/>
  <c r="F37" i="1" s="1"/>
  <c r="D37" i="1"/>
  <c r="S26" i="7" l="1"/>
  <c r="O27" i="7"/>
  <c r="C110" i="7"/>
  <c r="V109" i="7"/>
  <c r="V26" i="7"/>
  <c r="K39" i="7"/>
  <c r="J38" i="7"/>
  <c r="I38" i="7"/>
  <c r="N38" i="7" s="1"/>
  <c r="J37" i="1"/>
  <c r="G37" i="1"/>
  <c r="H39" i="7" s="1"/>
  <c r="H37" i="1"/>
  <c r="M42" i="7"/>
  <c r="E42" i="7"/>
  <c r="D42" i="7"/>
  <c r="I38" i="1"/>
  <c r="E38" i="1"/>
  <c r="F38" i="1" s="1"/>
  <c r="D38" i="1"/>
  <c r="X26" i="7" l="1"/>
  <c r="T27" i="7"/>
  <c r="C111" i="7"/>
  <c r="V110" i="7"/>
  <c r="K40" i="7"/>
  <c r="J39" i="7"/>
  <c r="I39" i="7"/>
  <c r="N39" i="7" s="1"/>
  <c r="J38" i="1"/>
  <c r="G38" i="1"/>
  <c r="H40" i="7" s="1"/>
  <c r="H38" i="1"/>
  <c r="W26" i="7"/>
  <c r="R26" i="7"/>
  <c r="M43" i="7"/>
  <c r="E43" i="7"/>
  <c r="D43" i="7"/>
  <c r="I39" i="1"/>
  <c r="E39" i="1"/>
  <c r="F39" i="1" s="1"/>
  <c r="D39" i="1"/>
  <c r="C112" i="7" l="1"/>
  <c r="V111" i="7"/>
  <c r="I40" i="7"/>
  <c r="N40" i="7" s="1"/>
  <c r="J39" i="1"/>
  <c r="G39" i="1"/>
  <c r="H41" i="7" s="1"/>
  <c r="H39" i="1"/>
  <c r="U27" i="7"/>
  <c r="P27" i="7"/>
  <c r="Q27" i="7" s="1"/>
  <c r="M44" i="7"/>
  <c r="E44" i="7"/>
  <c r="D44" i="7"/>
  <c r="I40" i="1"/>
  <c r="E40" i="1"/>
  <c r="F40" i="1" s="1"/>
  <c r="D40" i="1"/>
  <c r="S27" i="7" l="1"/>
  <c r="O28" i="7"/>
  <c r="C113" i="7"/>
  <c r="V112" i="7"/>
  <c r="V27" i="7"/>
  <c r="J40" i="7"/>
  <c r="K41" i="7"/>
  <c r="J41" i="7"/>
  <c r="K42" i="7"/>
  <c r="I41" i="7"/>
  <c r="N41" i="7" s="1"/>
  <c r="J40" i="1"/>
  <c r="G40" i="1"/>
  <c r="H42" i="7" s="1"/>
  <c r="H40" i="1"/>
  <c r="M45" i="7"/>
  <c r="E45" i="7"/>
  <c r="D45" i="7"/>
  <c r="I41" i="1"/>
  <c r="E41" i="1"/>
  <c r="F41" i="1" s="1"/>
  <c r="D41" i="1"/>
  <c r="X27" i="7" l="1"/>
  <c r="T28" i="7"/>
  <c r="C114" i="7"/>
  <c r="V113" i="7"/>
  <c r="W27" i="7"/>
  <c r="J42" i="7"/>
  <c r="K43" i="7"/>
  <c r="I42" i="7"/>
  <c r="N42" i="7" s="1"/>
  <c r="J41" i="1"/>
  <c r="G41" i="1"/>
  <c r="H43" i="7" s="1"/>
  <c r="H41" i="1"/>
  <c r="U28" i="7"/>
  <c r="P28" i="7"/>
  <c r="Q28" i="7" s="1"/>
  <c r="R27" i="7"/>
  <c r="M46" i="7"/>
  <c r="E46" i="7"/>
  <c r="D46" i="7"/>
  <c r="I42" i="1"/>
  <c r="E42" i="1"/>
  <c r="F42" i="1" s="1"/>
  <c r="D42" i="1"/>
  <c r="S28" i="7" l="1"/>
  <c r="O29" i="7"/>
  <c r="C115" i="7"/>
  <c r="V114" i="7"/>
  <c r="V28" i="7"/>
  <c r="J43" i="7"/>
  <c r="K44" i="7"/>
  <c r="I43" i="7"/>
  <c r="N43" i="7" s="1"/>
  <c r="J42" i="1"/>
  <c r="G42" i="1"/>
  <c r="H44" i="7" s="1"/>
  <c r="H42" i="1"/>
  <c r="R28" i="7"/>
  <c r="M47" i="7"/>
  <c r="E47" i="7"/>
  <c r="D47" i="7"/>
  <c r="I43" i="1"/>
  <c r="E43" i="1"/>
  <c r="F43" i="1" s="1"/>
  <c r="D43" i="1"/>
  <c r="X28" i="7" l="1"/>
  <c r="T29" i="7"/>
  <c r="W28" i="7"/>
  <c r="C116" i="7"/>
  <c r="V115" i="7"/>
  <c r="I44" i="7"/>
  <c r="N44" i="7" s="1"/>
  <c r="J43" i="1"/>
  <c r="G43" i="1"/>
  <c r="H45" i="7" s="1"/>
  <c r="H43" i="1"/>
  <c r="U29" i="7"/>
  <c r="P29" i="7"/>
  <c r="Q29" i="7" s="1"/>
  <c r="M48" i="7"/>
  <c r="E48" i="7"/>
  <c r="D48" i="7"/>
  <c r="I44" i="1"/>
  <c r="E44" i="1"/>
  <c r="F44" i="1" s="1"/>
  <c r="D44" i="1"/>
  <c r="S29" i="7" l="1"/>
  <c r="O30" i="7"/>
  <c r="C117" i="7"/>
  <c r="V116" i="7"/>
  <c r="V29" i="7"/>
  <c r="J44" i="7"/>
  <c r="K45" i="7"/>
  <c r="J45" i="7"/>
  <c r="K46" i="7"/>
  <c r="I45" i="7"/>
  <c r="N45" i="7" s="1"/>
  <c r="J44" i="1"/>
  <c r="G44" i="1"/>
  <c r="H46" i="7" s="1"/>
  <c r="H44" i="1"/>
  <c r="M49" i="7"/>
  <c r="E49" i="7"/>
  <c r="D49" i="7"/>
  <c r="I45" i="1"/>
  <c r="E45" i="1"/>
  <c r="F45" i="1" s="1"/>
  <c r="D45" i="1"/>
  <c r="X29" i="7" l="1"/>
  <c r="T30" i="7"/>
  <c r="C118" i="7"/>
  <c r="V117" i="7"/>
  <c r="J46" i="7"/>
  <c r="K47" i="7"/>
  <c r="I46" i="7"/>
  <c r="N46" i="7" s="1"/>
  <c r="J45" i="1"/>
  <c r="G45" i="1"/>
  <c r="H47" i="7" s="1"/>
  <c r="H45" i="1"/>
  <c r="W29" i="7"/>
  <c r="P30" i="7"/>
  <c r="Q30" i="7" s="1"/>
  <c r="R29" i="7"/>
  <c r="M50" i="7"/>
  <c r="E50" i="7"/>
  <c r="D50" i="7"/>
  <c r="I46" i="1"/>
  <c r="E46" i="1"/>
  <c r="F46" i="1" s="1"/>
  <c r="D46" i="1"/>
  <c r="S30" i="7" l="1"/>
  <c r="O31" i="7"/>
  <c r="C119" i="7"/>
  <c r="V118" i="7"/>
  <c r="I47" i="7"/>
  <c r="N47" i="7" s="1"/>
  <c r="J47" i="7"/>
  <c r="K48" i="7"/>
  <c r="J46" i="1"/>
  <c r="G46" i="1"/>
  <c r="H46" i="1"/>
  <c r="H48" i="7" s="1"/>
  <c r="I48" i="7" s="1"/>
  <c r="N48" i="7" s="1"/>
  <c r="U30" i="7"/>
  <c r="M51" i="7"/>
  <c r="E51" i="7"/>
  <c r="D51" i="7"/>
  <c r="I47" i="1"/>
  <c r="E47" i="1"/>
  <c r="F47" i="1" s="1"/>
  <c r="D47" i="1"/>
  <c r="C120" i="7" l="1"/>
  <c r="V119" i="7"/>
  <c r="V30" i="7"/>
  <c r="K49" i="7"/>
  <c r="J48" i="7"/>
  <c r="J47" i="1"/>
  <c r="G47" i="1"/>
  <c r="H47" i="1"/>
  <c r="H49" i="7" s="1"/>
  <c r="W30" i="7"/>
  <c r="R30" i="7"/>
  <c r="M52" i="7"/>
  <c r="E52" i="7"/>
  <c r="D52" i="7"/>
  <c r="I48" i="1"/>
  <c r="E48" i="1"/>
  <c r="F48" i="1" s="1"/>
  <c r="D48" i="1"/>
  <c r="X30" i="7" l="1"/>
  <c r="T31" i="7"/>
  <c r="C121" i="7"/>
  <c r="V120" i="7"/>
  <c r="K50" i="7"/>
  <c r="J49" i="7"/>
  <c r="I49" i="7"/>
  <c r="N49" i="7" s="1"/>
  <c r="J48" i="1"/>
  <c r="G48" i="1"/>
  <c r="H48" i="1"/>
  <c r="H50" i="7" s="1"/>
  <c r="I50" i="7" s="1"/>
  <c r="N50" i="7" s="1"/>
  <c r="U31" i="7"/>
  <c r="P31" i="7"/>
  <c r="Q31" i="7" s="1"/>
  <c r="M53" i="7"/>
  <c r="E53" i="7"/>
  <c r="D53" i="7"/>
  <c r="I49" i="1"/>
  <c r="E49" i="1"/>
  <c r="F49" i="1" s="1"/>
  <c r="D49" i="1"/>
  <c r="S31" i="7" l="1"/>
  <c r="O32" i="7"/>
  <c r="C122" i="7"/>
  <c r="V122" i="7" s="1"/>
  <c r="V121" i="7"/>
  <c r="V31" i="7"/>
  <c r="J50" i="7"/>
  <c r="K51" i="7"/>
  <c r="J49" i="1"/>
  <c r="G49" i="1"/>
  <c r="H49" i="1"/>
  <c r="H51" i="7" s="1"/>
  <c r="R31" i="7"/>
  <c r="M54" i="7"/>
  <c r="E54" i="7"/>
  <c r="D54" i="7"/>
  <c r="I50" i="1"/>
  <c r="E50" i="1"/>
  <c r="F50" i="1" s="1"/>
  <c r="D50" i="1"/>
  <c r="X31" i="7" l="1"/>
  <c r="T32" i="7"/>
  <c r="J51" i="7"/>
  <c r="K52" i="7"/>
  <c r="I51" i="7"/>
  <c r="N51" i="7" s="1"/>
  <c r="J50" i="1"/>
  <c r="G50" i="1"/>
  <c r="H50" i="1"/>
  <c r="H52" i="7" s="1"/>
  <c r="W31" i="7"/>
  <c r="U32" i="7"/>
  <c r="P32" i="7"/>
  <c r="Q32" i="7" s="1"/>
  <c r="M55" i="7"/>
  <c r="E55" i="7"/>
  <c r="D55" i="7"/>
  <c r="I51" i="1"/>
  <c r="E51" i="1"/>
  <c r="F51" i="1" s="1"/>
  <c r="D51" i="1"/>
  <c r="S32" i="7" l="1"/>
  <c r="O33" i="7"/>
  <c r="V32" i="7"/>
  <c r="J52" i="7"/>
  <c r="K53" i="7"/>
  <c r="I52" i="7"/>
  <c r="N52" i="7" s="1"/>
  <c r="J51" i="1"/>
  <c r="G51" i="1"/>
  <c r="H51" i="1"/>
  <c r="H53" i="7" s="1"/>
  <c r="R32" i="7"/>
  <c r="M56" i="7"/>
  <c r="E56" i="7"/>
  <c r="D56" i="7"/>
  <c r="I52" i="1"/>
  <c r="E52" i="1"/>
  <c r="F52" i="1" s="1"/>
  <c r="D52" i="1"/>
  <c r="X32" i="7" l="1"/>
  <c r="T33" i="7"/>
  <c r="W32" i="7"/>
  <c r="J53" i="7"/>
  <c r="K54" i="7"/>
  <c r="I53" i="7"/>
  <c r="N53" i="7" s="1"/>
  <c r="J52" i="1"/>
  <c r="G52" i="1"/>
  <c r="H52" i="1"/>
  <c r="H54" i="7" s="1"/>
  <c r="U33" i="7"/>
  <c r="P33" i="7"/>
  <c r="Q33" i="7" s="1"/>
  <c r="M57" i="7"/>
  <c r="E57" i="7"/>
  <c r="D57" i="7"/>
  <c r="I53" i="1"/>
  <c r="E53" i="1"/>
  <c r="F53" i="1" s="1"/>
  <c r="D53" i="1"/>
  <c r="S33" i="7" l="1"/>
  <c r="O34" i="7"/>
  <c r="V33" i="7"/>
  <c r="I54" i="7"/>
  <c r="N54" i="7" s="1"/>
  <c r="J54" i="7"/>
  <c r="K55" i="7"/>
  <c r="J53" i="1"/>
  <c r="G53" i="1"/>
  <c r="H53" i="1"/>
  <c r="H55" i="7" s="1"/>
  <c r="M58" i="7"/>
  <c r="E58" i="7"/>
  <c r="D58" i="7"/>
  <c r="I54" i="1"/>
  <c r="E54" i="1"/>
  <c r="F54" i="1" s="1"/>
  <c r="D54" i="1"/>
  <c r="X33" i="7" l="1"/>
  <c r="T34" i="7"/>
  <c r="W33" i="7"/>
  <c r="K56" i="7"/>
  <c r="J55" i="7"/>
  <c r="I55" i="7"/>
  <c r="N55" i="7" s="1"/>
  <c r="J54" i="1"/>
  <c r="G54" i="1"/>
  <c r="H54" i="1"/>
  <c r="H56" i="7" s="1"/>
  <c r="U34" i="7"/>
  <c r="R33" i="7"/>
  <c r="M59" i="7"/>
  <c r="E59" i="7"/>
  <c r="D59" i="7"/>
  <c r="I55" i="1"/>
  <c r="E55" i="1"/>
  <c r="F55" i="1" s="1"/>
  <c r="D55" i="1"/>
  <c r="V34" i="7" l="1"/>
  <c r="J56" i="7"/>
  <c r="K57" i="7"/>
  <c r="I56" i="7"/>
  <c r="N56" i="7" s="1"/>
  <c r="J55" i="1"/>
  <c r="G55" i="1"/>
  <c r="H55" i="1"/>
  <c r="H57" i="7" s="1"/>
  <c r="I57" i="7" s="1"/>
  <c r="N57" i="7" s="1"/>
  <c r="P34" i="7"/>
  <c r="Q34" i="7" s="1"/>
  <c r="O35" i="7" s="1"/>
  <c r="M60" i="7"/>
  <c r="E60" i="7"/>
  <c r="D60" i="7"/>
  <c r="I56" i="1"/>
  <c r="E56" i="1"/>
  <c r="F56" i="1" s="1"/>
  <c r="D56" i="1"/>
  <c r="X34" i="7" l="1"/>
  <c r="T35" i="7"/>
  <c r="K58" i="7"/>
  <c r="J57" i="7"/>
  <c r="J56" i="1"/>
  <c r="G56" i="1"/>
  <c r="H56" i="1"/>
  <c r="H58" i="7" s="1"/>
  <c r="S34" i="7"/>
  <c r="M61" i="7"/>
  <c r="E61" i="7"/>
  <c r="D61" i="7"/>
  <c r="I57" i="1"/>
  <c r="E57" i="1"/>
  <c r="F57" i="1" s="1"/>
  <c r="D57" i="1"/>
  <c r="K59" i="7" l="1"/>
  <c r="J58" i="7"/>
  <c r="I58" i="7"/>
  <c r="N58" i="7" s="1"/>
  <c r="J57" i="1"/>
  <c r="G57" i="1"/>
  <c r="H57" i="1"/>
  <c r="H59" i="7" s="1"/>
  <c r="W34" i="7"/>
  <c r="P35" i="7"/>
  <c r="Q35" i="7" s="1"/>
  <c r="R34" i="7"/>
  <c r="M62" i="7"/>
  <c r="E62" i="7"/>
  <c r="D62" i="7"/>
  <c r="I58" i="1"/>
  <c r="E58" i="1"/>
  <c r="F58" i="1" s="1"/>
  <c r="D58" i="1"/>
  <c r="S35" i="7" l="1"/>
  <c r="O36" i="7"/>
  <c r="J59" i="7"/>
  <c r="K60" i="7"/>
  <c r="I59" i="7"/>
  <c r="N59" i="7" s="1"/>
  <c r="J58" i="1"/>
  <c r="G58" i="1"/>
  <c r="H58" i="1"/>
  <c r="H60" i="7" s="1"/>
  <c r="U35" i="7"/>
  <c r="R35" i="7"/>
  <c r="M63" i="7"/>
  <c r="E63" i="7"/>
  <c r="D63" i="7"/>
  <c r="I59" i="1"/>
  <c r="E59" i="1"/>
  <c r="F59" i="1" s="1"/>
  <c r="D59" i="1"/>
  <c r="V35" i="7" l="1"/>
  <c r="J60" i="7"/>
  <c r="K61" i="7"/>
  <c r="I60" i="7"/>
  <c r="N60" i="7" s="1"/>
  <c r="J59" i="1"/>
  <c r="G59" i="1"/>
  <c r="H59" i="1"/>
  <c r="H61" i="7" s="1"/>
  <c r="I61" i="7" s="1"/>
  <c r="N61" i="7" s="1"/>
  <c r="P36" i="7"/>
  <c r="Q36" i="7" s="1"/>
  <c r="M64" i="7"/>
  <c r="E64" i="7"/>
  <c r="D64" i="7"/>
  <c r="I60" i="1"/>
  <c r="E60" i="1"/>
  <c r="F60" i="1" s="1"/>
  <c r="D60" i="1"/>
  <c r="X35" i="7" l="1"/>
  <c r="T36" i="7"/>
  <c r="S36" i="7"/>
  <c r="O37" i="7"/>
  <c r="W35" i="7"/>
  <c r="J61" i="7"/>
  <c r="K62" i="7"/>
  <c r="J60" i="1"/>
  <c r="G60" i="1"/>
  <c r="H60" i="1"/>
  <c r="H62" i="7" s="1"/>
  <c r="I62" i="7" s="1"/>
  <c r="N62" i="7" s="1"/>
  <c r="U36" i="7"/>
  <c r="R36" i="7"/>
  <c r="M65" i="7"/>
  <c r="E65" i="7"/>
  <c r="D65" i="7"/>
  <c r="I61" i="1"/>
  <c r="E61" i="1"/>
  <c r="F61" i="1" s="1"/>
  <c r="D61" i="1"/>
  <c r="V36" i="7" l="1"/>
  <c r="J62" i="7"/>
  <c r="K63" i="7"/>
  <c r="J61" i="1"/>
  <c r="G61" i="1"/>
  <c r="H61" i="1"/>
  <c r="H63" i="7" s="1"/>
  <c r="W36" i="7"/>
  <c r="P37" i="7"/>
  <c r="Q37" i="7" s="1"/>
  <c r="M66" i="7"/>
  <c r="E66" i="7"/>
  <c r="D66" i="7"/>
  <c r="I62" i="1"/>
  <c r="E62" i="1"/>
  <c r="F62" i="1" s="1"/>
  <c r="D62" i="1"/>
  <c r="X36" i="7" l="1"/>
  <c r="T37" i="7"/>
  <c r="S37" i="7"/>
  <c r="O38" i="7"/>
  <c r="I63" i="7"/>
  <c r="N63" i="7" s="1"/>
  <c r="K64" i="7"/>
  <c r="J63" i="7"/>
  <c r="J62" i="1"/>
  <c r="G62" i="1"/>
  <c r="H62" i="1"/>
  <c r="H64" i="7" s="1"/>
  <c r="U37" i="7"/>
  <c r="M67" i="7"/>
  <c r="E67" i="7"/>
  <c r="D67" i="7"/>
  <c r="I63" i="1"/>
  <c r="E63" i="1"/>
  <c r="F63" i="1" s="1"/>
  <c r="D63" i="1"/>
  <c r="V37" i="7" l="1"/>
  <c r="J64" i="7"/>
  <c r="K65" i="7"/>
  <c r="I64" i="7"/>
  <c r="N64" i="7" s="1"/>
  <c r="J63" i="1"/>
  <c r="G63" i="1"/>
  <c r="H63" i="1"/>
  <c r="H65" i="7" s="1"/>
  <c r="I65" i="7" s="1"/>
  <c r="N65" i="7" s="1"/>
  <c r="R37" i="7"/>
  <c r="P38" i="7"/>
  <c r="Q38" i="7" s="1"/>
  <c r="M68" i="7"/>
  <c r="E68" i="7"/>
  <c r="D68" i="7"/>
  <c r="I64" i="1"/>
  <c r="E64" i="1"/>
  <c r="F64" i="1" s="1"/>
  <c r="D64" i="1"/>
  <c r="X37" i="7" l="1"/>
  <c r="T38" i="7"/>
  <c r="S38" i="7"/>
  <c r="O39" i="7"/>
  <c r="W37" i="7"/>
  <c r="J65" i="7"/>
  <c r="K66" i="7"/>
  <c r="J64" i="1"/>
  <c r="G64" i="1"/>
  <c r="H64" i="1"/>
  <c r="H66" i="7" s="1"/>
  <c r="I66" i="7" s="1"/>
  <c r="N66" i="7" s="1"/>
  <c r="U38" i="7"/>
  <c r="R38" i="7"/>
  <c r="M69" i="7"/>
  <c r="E69" i="7"/>
  <c r="D69" i="7"/>
  <c r="I65" i="1"/>
  <c r="E65" i="1"/>
  <c r="F65" i="1" s="1"/>
  <c r="D65" i="1"/>
  <c r="V38" i="7" l="1"/>
  <c r="J66" i="7"/>
  <c r="K67" i="7"/>
  <c r="J65" i="1"/>
  <c r="G65" i="1"/>
  <c r="H65" i="1"/>
  <c r="H67" i="7" s="1"/>
  <c r="I67" i="7" s="1"/>
  <c r="N67" i="7" s="1"/>
  <c r="W38" i="7"/>
  <c r="P39" i="7"/>
  <c r="Q39" i="7" s="1"/>
  <c r="M70" i="7"/>
  <c r="E70" i="7"/>
  <c r="D70" i="7"/>
  <c r="I66" i="1"/>
  <c r="E66" i="1"/>
  <c r="F66" i="1" s="1"/>
  <c r="D66" i="1"/>
  <c r="X38" i="7" l="1"/>
  <c r="T39" i="7"/>
  <c r="S39" i="7"/>
  <c r="O40" i="7"/>
  <c r="K68" i="7"/>
  <c r="J67" i="7"/>
  <c r="J66" i="1"/>
  <c r="G66" i="1"/>
  <c r="H66" i="1"/>
  <c r="H68" i="7" s="1"/>
  <c r="U39" i="7"/>
  <c r="R39" i="7"/>
  <c r="M71" i="7"/>
  <c r="E71" i="7"/>
  <c r="D71" i="7"/>
  <c r="I67" i="1"/>
  <c r="E67" i="1"/>
  <c r="F67" i="1" s="1"/>
  <c r="D67" i="1"/>
  <c r="V39" i="7" l="1"/>
  <c r="I68" i="7"/>
  <c r="N68" i="7" s="1"/>
  <c r="J68" i="7"/>
  <c r="K69" i="7"/>
  <c r="J67" i="1"/>
  <c r="G67" i="1"/>
  <c r="H67" i="1"/>
  <c r="H69" i="7" s="1"/>
  <c r="P40" i="7"/>
  <c r="Q40" i="7" s="1"/>
  <c r="M72" i="7"/>
  <c r="E72" i="7"/>
  <c r="D72" i="7"/>
  <c r="I68" i="1"/>
  <c r="E68" i="1"/>
  <c r="F68" i="1" s="1"/>
  <c r="D68" i="1"/>
  <c r="X39" i="7" l="1"/>
  <c r="T40" i="7"/>
  <c r="S40" i="7"/>
  <c r="O41" i="7"/>
  <c r="W39" i="7"/>
  <c r="K70" i="7"/>
  <c r="J69" i="7"/>
  <c r="I69" i="7"/>
  <c r="N69" i="7" s="1"/>
  <c r="J68" i="1"/>
  <c r="G68" i="1"/>
  <c r="H68" i="1"/>
  <c r="H70" i="7" s="1"/>
  <c r="U40" i="7"/>
  <c r="M73" i="7"/>
  <c r="E73" i="7"/>
  <c r="D73" i="7"/>
  <c r="I69" i="1"/>
  <c r="E69" i="1"/>
  <c r="F69" i="1" s="1"/>
  <c r="D69" i="1"/>
  <c r="V40" i="7" l="1"/>
  <c r="J70" i="7"/>
  <c r="K71" i="7"/>
  <c r="I70" i="7"/>
  <c r="N70" i="7" s="1"/>
  <c r="J69" i="1"/>
  <c r="G69" i="1"/>
  <c r="H69" i="1"/>
  <c r="H71" i="7" s="1"/>
  <c r="R40" i="7"/>
  <c r="P41" i="7"/>
  <c r="Q41" i="7" s="1"/>
  <c r="M74" i="7"/>
  <c r="E74" i="7"/>
  <c r="D74" i="7"/>
  <c r="I70" i="1"/>
  <c r="E70" i="1"/>
  <c r="F70" i="1" s="1"/>
  <c r="D70" i="1"/>
  <c r="X40" i="7" l="1"/>
  <c r="T41" i="7"/>
  <c r="S41" i="7"/>
  <c r="O42" i="7"/>
  <c r="W40" i="7"/>
  <c r="K72" i="7"/>
  <c r="J71" i="7"/>
  <c r="I71" i="7"/>
  <c r="N71" i="7" s="1"/>
  <c r="J70" i="1"/>
  <c r="G70" i="1"/>
  <c r="H70" i="1"/>
  <c r="H72" i="7" s="1"/>
  <c r="I72" i="7" s="1"/>
  <c r="N72" i="7" s="1"/>
  <c r="U41" i="7"/>
  <c r="M75" i="7"/>
  <c r="E75" i="7"/>
  <c r="D75" i="7"/>
  <c r="I71" i="1"/>
  <c r="E71" i="1"/>
  <c r="F71" i="1" s="1"/>
  <c r="D71" i="1"/>
  <c r="V41" i="7" l="1"/>
  <c r="J72" i="7"/>
  <c r="K73" i="7"/>
  <c r="J71" i="1"/>
  <c r="G71" i="1"/>
  <c r="H71" i="1"/>
  <c r="H73" i="7" s="1"/>
  <c r="R41" i="7"/>
  <c r="M76" i="7"/>
  <c r="E76" i="7"/>
  <c r="D76" i="7"/>
  <c r="I72" i="1"/>
  <c r="E72" i="1"/>
  <c r="F72" i="1" s="1"/>
  <c r="D72" i="1"/>
  <c r="X41" i="7" l="1"/>
  <c r="T42" i="7"/>
  <c r="W41" i="7"/>
  <c r="K74" i="7"/>
  <c r="J73" i="7"/>
  <c r="I73" i="7"/>
  <c r="N73" i="7" s="1"/>
  <c r="J72" i="1"/>
  <c r="G72" i="1"/>
  <c r="H72" i="1"/>
  <c r="H74" i="7" s="1"/>
  <c r="U42" i="7"/>
  <c r="P42" i="7"/>
  <c r="Q42" i="7" s="1"/>
  <c r="M77" i="7"/>
  <c r="E77" i="7"/>
  <c r="D77" i="7"/>
  <c r="I73" i="1"/>
  <c r="E73" i="1"/>
  <c r="F73" i="1" s="1"/>
  <c r="D73" i="1"/>
  <c r="S42" i="7" l="1"/>
  <c r="O43" i="7"/>
  <c r="V42" i="7"/>
  <c r="J74" i="7"/>
  <c r="K75" i="7"/>
  <c r="I74" i="7"/>
  <c r="N74" i="7" s="1"/>
  <c r="J73" i="1"/>
  <c r="G73" i="1"/>
  <c r="H73" i="1"/>
  <c r="H75" i="7" s="1"/>
  <c r="M78" i="7"/>
  <c r="E78" i="7"/>
  <c r="D78" i="7"/>
  <c r="I74" i="1"/>
  <c r="E74" i="1"/>
  <c r="F74" i="1" s="1"/>
  <c r="D74" i="1"/>
  <c r="X42" i="7" l="1"/>
  <c r="T43" i="7"/>
  <c r="J75" i="7"/>
  <c r="K76" i="7"/>
  <c r="I75" i="7"/>
  <c r="N75" i="7" s="1"/>
  <c r="J74" i="1"/>
  <c r="G74" i="1"/>
  <c r="H74" i="1"/>
  <c r="H76" i="7" s="1"/>
  <c r="W42" i="7"/>
  <c r="P43" i="7"/>
  <c r="Q43" i="7" s="1"/>
  <c r="R42" i="7"/>
  <c r="M79" i="7"/>
  <c r="E79" i="7"/>
  <c r="D79" i="7"/>
  <c r="I75" i="1"/>
  <c r="E75" i="1"/>
  <c r="F75" i="1" s="1"/>
  <c r="D75" i="1"/>
  <c r="S43" i="7" l="1"/>
  <c r="O44" i="7"/>
  <c r="J76" i="7"/>
  <c r="K77" i="7"/>
  <c r="I76" i="7"/>
  <c r="N76" i="7" s="1"/>
  <c r="J75" i="1"/>
  <c r="G75" i="1"/>
  <c r="H75" i="1"/>
  <c r="H77" i="7" s="1"/>
  <c r="U43" i="7"/>
  <c r="M80" i="7"/>
  <c r="E80" i="7"/>
  <c r="D80" i="7"/>
  <c r="I76" i="1"/>
  <c r="E76" i="1"/>
  <c r="F76" i="1" s="1"/>
  <c r="D76" i="1"/>
  <c r="V43" i="7" l="1"/>
  <c r="J77" i="7"/>
  <c r="K78" i="7"/>
  <c r="I77" i="7"/>
  <c r="N77" i="7" s="1"/>
  <c r="J76" i="1"/>
  <c r="G76" i="1"/>
  <c r="H76" i="1"/>
  <c r="H78" i="7" s="1"/>
  <c r="R43" i="7"/>
  <c r="M81" i="7"/>
  <c r="E81" i="7"/>
  <c r="D81" i="7"/>
  <c r="I77" i="1"/>
  <c r="E77" i="1"/>
  <c r="F77" i="1" s="1"/>
  <c r="D77" i="1"/>
  <c r="X43" i="7" l="1"/>
  <c r="T44" i="7"/>
  <c r="W43" i="7"/>
  <c r="J78" i="7"/>
  <c r="K79" i="7"/>
  <c r="I78" i="7"/>
  <c r="N78" i="7" s="1"/>
  <c r="J77" i="1"/>
  <c r="G77" i="1"/>
  <c r="H77" i="1"/>
  <c r="H79" i="7" s="1"/>
  <c r="U44" i="7"/>
  <c r="P44" i="7"/>
  <c r="Q44" i="7" s="1"/>
  <c r="M82" i="7"/>
  <c r="E82" i="7"/>
  <c r="D82" i="7"/>
  <c r="I78" i="1"/>
  <c r="E78" i="1"/>
  <c r="F78" i="1" s="1"/>
  <c r="D78" i="1"/>
  <c r="S44" i="7" l="1"/>
  <c r="O45" i="7"/>
  <c r="V44" i="7"/>
  <c r="K80" i="7"/>
  <c r="J79" i="7"/>
  <c r="I79" i="7"/>
  <c r="N79" i="7" s="1"/>
  <c r="J78" i="1"/>
  <c r="G78" i="1"/>
  <c r="H78" i="1"/>
  <c r="H80" i="7" s="1"/>
  <c r="R44" i="7"/>
  <c r="M83" i="7"/>
  <c r="E83" i="7"/>
  <c r="D83" i="7"/>
  <c r="I79" i="1"/>
  <c r="E79" i="1"/>
  <c r="F79" i="1" s="1"/>
  <c r="D79" i="1"/>
  <c r="X44" i="7" l="1"/>
  <c r="T45" i="7"/>
  <c r="J80" i="7"/>
  <c r="K81" i="7"/>
  <c r="I80" i="7"/>
  <c r="N80" i="7" s="1"/>
  <c r="J79" i="1"/>
  <c r="G79" i="1"/>
  <c r="H79" i="1"/>
  <c r="H81" i="7" s="1"/>
  <c r="W44" i="7"/>
  <c r="P45" i="7"/>
  <c r="Q45" i="7" s="1"/>
  <c r="M84" i="7"/>
  <c r="E84" i="7"/>
  <c r="D84" i="7"/>
  <c r="I80" i="1"/>
  <c r="E80" i="1"/>
  <c r="F80" i="1" s="1"/>
  <c r="D80" i="1"/>
  <c r="S45" i="7" l="1"/>
  <c r="O46" i="7"/>
  <c r="J81" i="7"/>
  <c r="K82" i="7"/>
  <c r="I81" i="7"/>
  <c r="N81" i="7" s="1"/>
  <c r="J80" i="1"/>
  <c r="G80" i="1"/>
  <c r="H80" i="1"/>
  <c r="H82" i="7" s="1"/>
  <c r="U45" i="7"/>
  <c r="R45" i="7"/>
  <c r="M85" i="7"/>
  <c r="E85" i="7"/>
  <c r="D85" i="7"/>
  <c r="I81" i="1"/>
  <c r="E81" i="1"/>
  <c r="F81" i="1" s="1"/>
  <c r="D81" i="1"/>
  <c r="V45" i="7" l="1"/>
  <c r="J82" i="7"/>
  <c r="K83" i="7"/>
  <c r="I82" i="7"/>
  <c r="N82" i="7" s="1"/>
  <c r="J81" i="1"/>
  <c r="G81" i="1"/>
  <c r="H81" i="1"/>
  <c r="H83" i="7" s="1"/>
  <c r="P46" i="7"/>
  <c r="Q46" i="7" s="1"/>
  <c r="M86" i="7"/>
  <c r="E86" i="7"/>
  <c r="D86" i="7"/>
  <c r="I82" i="1"/>
  <c r="E82" i="1"/>
  <c r="F82" i="1" s="1"/>
  <c r="D82" i="1"/>
  <c r="X45" i="7" l="1"/>
  <c r="T46" i="7"/>
  <c r="S46" i="7"/>
  <c r="O47" i="7"/>
  <c r="W45" i="7"/>
  <c r="K84" i="7"/>
  <c r="J83" i="7"/>
  <c r="I83" i="7"/>
  <c r="N83" i="7" s="1"/>
  <c r="J82" i="1"/>
  <c r="H82" i="1"/>
  <c r="H84" i="7" s="1"/>
  <c r="G82" i="1"/>
  <c r="U46" i="7"/>
  <c r="R46" i="7"/>
  <c r="M87" i="7"/>
  <c r="E87" i="7"/>
  <c r="D87" i="7"/>
  <c r="I83" i="1"/>
  <c r="E83" i="1"/>
  <c r="F83" i="1" s="1"/>
  <c r="D83" i="1"/>
  <c r="V46" i="7" l="1"/>
  <c r="J84" i="7"/>
  <c r="K85" i="7"/>
  <c r="I84" i="7"/>
  <c r="N84" i="7" s="1"/>
  <c r="J83" i="1"/>
  <c r="H83" i="1"/>
  <c r="H85" i="7" s="1"/>
  <c r="I85" i="7" s="1"/>
  <c r="N85" i="7" s="1"/>
  <c r="G83" i="1"/>
  <c r="P47" i="7"/>
  <c r="Q47" i="7" s="1"/>
  <c r="M88" i="7"/>
  <c r="E88" i="7"/>
  <c r="D88" i="7"/>
  <c r="H88" i="7" s="1"/>
  <c r="I84" i="1"/>
  <c r="E84" i="1"/>
  <c r="F84" i="1" s="1"/>
  <c r="D84" i="1"/>
  <c r="X46" i="7" l="1"/>
  <c r="T47" i="7"/>
  <c r="S47" i="7"/>
  <c r="O48" i="7"/>
  <c r="W46" i="7"/>
  <c r="K86" i="7"/>
  <c r="J85" i="7"/>
  <c r="J84" i="1"/>
  <c r="J88" i="7"/>
  <c r="H84" i="1"/>
  <c r="H86" i="7" s="1"/>
  <c r="G84" i="1"/>
  <c r="U47" i="7"/>
  <c r="K89" i="7"/>
  <c r="M89" i="7"/>
  <c r="E89" i="7"/>
  <c r="D89" i="7"/>
  <c r="H89" i="7" s="1"/>
  <c r="I85" i="1"/>
  <c r="E85" i="1"/>
  <c r="F85" i="1" s="1"/>
  <c r="D85" i="1"/>
  <c r="G86" i="1"/>
  <c r="V47" i="7" l="1"/>
  <c r="J86" i="7"/>
  <c r="K87" i="7"/>
  <c r="I86" i="7"/>
  <c r="N86" i="7" s="1"/>
  <c r="J85" i="1"/>
  <c r="J89" i="7"/>
  <c r="H85" i="1"/>
  <c r="H87" i="7" s="1"/>
  <c r="I87" i="7" s="1"/>
  <c r="N87" i="7" s="1"/>
  <c r="G85" i="1"/>
  <c r="K90" i="7"/>
  <c r="R47" i="7"/>
  <c r="M90" i="7"/>
  <c r="E90" i="7"/>
  <c r="D90" i="7"/>
  <c r="H90" i="7" s="1"/>
  <c r="I86" i="1"/>
  <c r="E86" i="1"/>
  <c r="F86" i="1"/>
  <c r="G87" i="1"/>
  <c r="D86" i="1"/>
  <c r="X47" i="7" l="1"/>
  <c r="T48" i="7"/>
  <c r="W47" i="7"/>
  <c r="J90" i="7"/>
  <c r="I89" i="7"/>
  <c r="N89" i="7" s="1"/>
  <c r="K88" i="7"/>
  <c r="J87" i="7"/>
  <c r="I88" i="7"/>
  <c r="N88" i="7" s="1"/>
  <c r="I90" i="7"/>
  <c r="N90" i="7" s="1"/>
  <c r="U48" i="7"/>
  <c r="K91" i="7"/>
  <c r="P48" i="7"/>
  <c r="Q48" i="7" s="1"/>
  <c r="M91" i="7"/>
  <c r="E91" i="7"/>
  <c r="D91" i="7"/>
  <c r="H91" i="7" s="1"/>
  <c r="I87" i="1"/>
  <c r="E87" i="1"/>
  <c r="F87" i="1"/>
  <c r="G88" i="1"/>
  <c r="D87" i="1"/>
  <c r="S48" i="7" l="1"/>
  <c r="O49" i="7"/>
  <c r="V48" i="7"/>
  <c r="I91" i="7"/>
  <c r="N91" i="7" s="1"/>
  <c r="J91" i="7"/>
  <c r="K92" i="7"/>
  <c r="M92" i="7"/>
  <c r="E92" i="7"/>
  <c r="H93" i="7"/>
  <c r="D92" i="7"/>
  <c r="H92" i="7" s="1"/>
  <c r="I88" i="1"/>
  <c r="E88" i="1"/>
  <c r="F88" i="1"/>
  <c r="D88" i="1"/>
  <c r="G89" i="1"/>
  <c r="X48" i="7" l="1"/>
  <c r="T49" i="7"/>
  <c r="W48" i="7"/>
  <c r="J92" i="7"/>
  <c r="I92" i="7"/>
  <c r="N92" i="7" s="1"/>
  <c r="X93" i="7"/>
  <c r="W93" i="7"/>
  <c r="U93" i="7"/>
  <c r="U49" i="7"/>
  <c r="R93" i="7"/>
  <c r="K93" i="7"/>
  <c r="S93" i="7"/>
  <c r="Q93" i="7"/>
  <c r="P93" i="7"/>
  <c r="R48" i="7"/>
  <c r="M93" i="7"/>
  <c r="N93" i="7"/>
  <c r="I93" i="7"/>
  <c r="J93" i="7"/>
  <c r="E93" i="7"/>
  <c r="H94" i="7"/>
  <c r="D93" i="7"/>
  <c r="I89" i="1"/>
  <c r="E89" i="1"/>
  <c r="F89" i="1"/>
  <c r="D89" i="1"/>
  <c r="G90" i="1"/>
  <c r="V49" i="7" l="1"/>
  <c r="U94" i="7"/>
  <c r="W94" i="7"/>
  <c r="X94" i="7"/>
  <c r="Q94" i="7"/>
  <c r="P94" i="7"/>
  <c r="S94" i="7"/>
  <c r="R94" i="7"/>
  <c r="K94" i="7"/>
  <c r="P49" i="7"/>
  <c r="Q49" i="7" s="1"/>
  <c r="O50" i="7" s="1"/>
  <c r="M94" i="7"/>
  <c r="N94" i="7"/>
  <c r="I94" i="7"/>
  <c r="J94" i="7"/>
  <c r="E94" i="7"/>
  <c r="D94" i="7"/>
  <c r="H95" i="7"/>
  <c r="I90" i="1"/>
  <c r="E90" i="1"/>
  <c r="F90" i="1"/>
  <c r="G91" i="1"/>
  <c r="D90" i="1"/>
  <c r="X49" i="7" l="1"/>
  <c r="T50" i="7"/>
  <c r="W95" i="7"/>
  <c r="U95" i="7"/>
  <c r="X95" i="7"/>
  <c r="S49" i="7"/>
  <c r="Q95" i="7"/>
  <c r="P95" i="7"/>
  <c r="S95" i="7"/>
  <c r="R95" i="7"/>
  <c r="K95" i="7"/>
  <c r="M95" i="7"/>
  <c r="N95" i="7"/>
  <c r="I95" i="7"/>
  <c r="J95" i="7"/>
  <c r="E95" i="7"/>
  <c r="H96" i="7"/>
  <c r="D95" i="7"/>
  <c r="I91" i="1"/>
  <c r="E91" i="1"/>
  <c r="F91" i="1"/>
  <c r="G92" i="1"/>
  <c r="D91" i="1"/>
  <c r="X96" i="7" l="1"/>
  <c r="W96" i="7"/>
  <c r="U96" i="7"/>
  <c r="W49" i="7"/>
  <c r="R96" i="7"/>
  <c r="Q96" i="7"/>
  <c r="P96" i="7"/>
  <c r="S96" i="7"/>
  <c r="K96" i="7"/>
  <c r="R49" i="7"/>
  <c r="M96" i="7"/>
  <c r="N96" i="7"/>
  <c r="I96" i="7"/>
  <c r="J96" i="7"/>
  <c r="E96" i="7"/>
  <c r="D96" i="7"/>
  <c r="H97" i="7"/>
  <c r="I92" i="1"/>
  <c r="E92" i="1"/>
  <c r="F92" i="1"/>
  <c r="D92" i="1"/>
  <c r="G93" i="1"/>
  <c r="X97" i="7" l="1"/>
  <c r="W97" i="7"/>
  <c r="U97" i="7"/>
  <c r="U50" i="7"/>
  <c r="S97" i="7"/>
  <c r="Q97" i="7"/>
  <c r="P97" i="7"/>
  <c r="R97" i="7"/>
  <c r="K97" i="7"/>
  <c r="P50" i="7"/>
  <c r="Q50" i="7" s="1"/>
  <c r="M97" i="7"/>
  <c r="N97" i="7"/>
  <c r="J97" i="7"/>
  <c r="I97" i="7"/>
  <c r="E97" i="7"/>
  <c r="H98" i="7"/>
  <c r="D97" i="7"/>
  <c r="I93" i="1"/>
  <c r="E93" i="1"/>
  <c r="F93" i="1"/>
  <c r="D93" i="1"/>
  <c r="G94" i="1"/>
  <c r="S50" i="7" l="1"/>
  <c r="O51" i="7"/>
  <c r="V50" i="7"/>
  <c r="U98" i="7"/>
  <c r="X98" i="7"/>
  <c r="W98" i="7"/>
  <c r="K98" i="7"/>
  <c r="S98" i="7"/>
  <c r="R98" i="7"/>
  <c r="Q98" i="7"/>
  <c r="P98" i="7"/>
  <c r="M98" i="7"/>
  <c r="N98" i="7"/>
  <c r="J98" i="7"/>
  <c r="I98" i="7"/>
  <c r="E98" i="7"/>
  <c r="D98" i="7"/>
  <c r="H99" i="7"/>
  <c r="I94" i="1"/>
  <c r="F94" i="1"/>
  <c r="E94" i="1"/>
  <c r="G95" i="1"/>
  <c r="D94" i="1"/>
  <c r="X50" i="7" l="1"/>
  <c r="T51" i="7"/>
  <c r="X99" i="7"/>
  <c r="W99" i="7"/>
  <c r="U99" i="7"/>
  <c r="W50" i="7"/>
  <c r="S99" i="7"/>
  <c r="R99" i="7"/>
  <c r="K99" i="7"/>
  <c r="Q99" i="7"/>
  <c r="P99" i="7"/>
  <c r="R50" i="7"/>
  <c r="M99" i="7"/>
  <c r="N99" i="7"/>
  <c r="J99" i="7"/>
  <c r="I99" i="7"/>
  <c r="E99" i="7"/>
  <c r="D99" i="7"/>
  <c r="H100" i="7"/>
  <c r="I95" i="1"/>
  <c r="F95" i="1"/>
  <c r="E95" i="1"/>
  <c r="G96" i="1"/>
  <c r="D95" i="1"/>
  <c r="X100" i="7" l="1"/>
  <c r="W100" i="7"/>
  <c r="U100" i="7"/>
  <c r="U51" i="7"/>
  <c r="S100" i="7"/>
  <c r="R100" i="7"/>
  <c r="K100" i="7"/>
  <c r="P100" i="7"/>
  <c r="Q100" i="7"/>
  <c r="P51" i="7"/>
  <c r="Q51" i="7" s="1"/>
  <c r="M100" i="7"/>
  <c r="N100" i="7"/>
  <c r="J100" i="7"/>
  <c r="I100" i="7"/>
  <c r="E100" i="7"/>
  <c r="D100" i="7"/>
  <c r="H101" i="7"/>
  <c r="I96" i="1"/>
  <c r="F96" i="1"/>
  <c r="E96" i="1"/>
  <c r="G97" i="1"/>
  <c r="D96" i="1"/>
  <c r="S51" i="7" l="1"/>
  <c r="O52" i="7"/>
  <c r="V51" i="7"/>
  <c r="X101" i="7"/>
  <c r="W101" i="7"/>
  <c r="U101" i="7"/>
  <c r="S101" i="7"/>
  <c r="R101" i="7"/>
  <c r="K101" i="7"/>
  <c r="P101" i="7"/>
  <c r="Q101" i="7"/>
  <c r="M101" i="7"/>
  <c r="N101" i="7"/>
  <c r="J101" i="7"/>
  <c r="I101" i="7"/>
  <c r="E101" i="7"/>
  <c r="H102" i="7"/>
  <c r="D101" i="7"/>
  <c r="I97" i="1"/>
  <c r="F97" i="1"/>
  <c r="E97" i="1"/>
  <c r="D97" i="1"/>
  <c r="G98" i="1"/>
  <c r="X51" i="7" l="1"/>
  <c r="T52" i="7"/>
  <c r="X102" i="7"/>
  <c r="W102" i="7"/>
  <c r="U102" i="7"/>
  <c r="W51" i="7"/>
  <c r="S102" i="7"/>
  <c r="R102" i="7"/>
  <c r="K102" i="7"/>
  <c r="Q102" i="7"/>
  <c r="P102" i="7"/>
  <c r="R51" i="7"/>
  <c r="M102" i="7"/>
  <c r="N102" i="7"/>
  <c r="J102" i="7"/>
  <c r="I102" i="7"/>
  <c r="E102" i="7"/>
  <c r="D102" i="7"/>
  <c r="H103" i="7"/>
  <c r="I98" i="1"/>
  <c r="E98" i="1"/>
  <c r="F98" i="1"/>
  <c r="G99" i="1"/>
  <c r="D98" i="1"/>
  <c r="W103" i="7" l="1"/>
  <c r="U103" i="7"/>
  <c r="X103" i="7"/>
  <c r="U52" i="7"/>
  <c r="S103" i="7"/>
  <c r="R103" i="7"/>
  <c r="K103" i="7"/>
  <c r="Q103" i="7"/>
  <c r="P103" i="7"/>
  <c r="P52" i="7"/>
  <c r="Q52" i="7" s="1"/>
  <c r="M103" i="7"/>
  <c r="N103" i="7"/>
  <c r="J103" i="7"/>
  <c r="I103" i="7"/>
  <c r="E103" i="7"/>
  <c r="H104" i="7"/>
  <c r="D103" i="7"/>
  <c r="I99" i="1"/>
  <c r="E99" i="1"/>
  <c r="F99" i="1"/>
  <c r="G100" i="1"/>
  <c r="D99" i="1"/>
  <c r="S52" i="7" l="1"/>
  <c r="O53" i="7"/>
  <c r="V52" i="7"/>
  <c r="X104" i="7"/>
  <c r="W104" i="7"/>
  <c r="U104" i="7"/>
  <c r="P104" i="7"/>
  <c r="K104" i="7"/>
  <c r="S104" i="7"/>
  <c r="R104" i="7"/>
  <c r="Q104" i="7"/>
  <c r="M104" i="7"/>
  <c r="N104" i="7"/>
  <c r="J104" i="7"/>
  <c r="I104" i="7"/>
  <c r="E104" i="7"/>
  <c r="D104" i="7"/>
  <c r="H105" i="7"/>
  <c r="I100" i="1"/>
  <c r="E100" i="1"/>
  <c r="F100" i="1"/>
  <c r="G101" i="1"/>
  <c r="D100" i="1"/>
  <c r="X52" i="7" l="1"/>
  <c r="T53" i="7"/>
  <c r="X105" i="7"/>
  <c r="W105" i="7"/>
  <c r="U105" i="7"/>
  <c r="W52" i="7"/>
  <c r="P105" i="7"/>
  <c r="K105" i="7"/>
  <c r="S105" i="7"/>
  <c r="R105" i="7"/>
  <c r="Q105" i="7"/>
  <c r="R52" i="7"/>
  <c r="M105" i="7"/>
  <c r="N105" i="7"/>
  <c r="I105" i="7"/>
  <c r="J105" i="7"/>
  <c r="E105" i="7"/>
  <c r="H106" i="7"/>
  <c r="D105" i="7"/>
  <c r="I101" i="1"/>
  <c r="E101" i="1"/>
  <c r="F101" i="1"/>
  <c r="D101" i="1"/>
  <c r="G102" i="1"/>
  <c r="U106" i="7" l="1"/>
  <c r="X106" i="7"/>
  <c r="W106" i="7"/>
  <c r="U53" i="7"/>
  <c r="Q106" i="7"/>
  <c r="P106" i="7"/>
  <c r="S106" i="7"/>
  <c r="R106" i="7"/>
  <c r="K106" i="7"/>
  <c r="P53" i="7"/>
  <c r="Q53" i="7" s="1"/>
  <c r="M106" i="7"/>
  <c r="N106" i="7"/>
  <c r="I106" i="7"/>
  <c r="J106" i="7"/>
  <c r="E106" i="7"/>
  <c r="D106" i="7"/>
  <c r="H107" i="7"/>
  <c r="I102" i="1"/>
  <c r="E102" i="1"/>
  <c r="F102" i="1"/>
  <c r="G103" i="1"/>
  <c r="D102" i="1"/>
  <c r="S53" i="7" l="1"/>
  <c r="O54" i="7"/>
  <c r="V53" i="7"/>
  <c r="W107" i="7"/>
  <c r="U107" i="7"/>
  <c r="X107" i="7"/>
  <c r="Q107" i="7"/>
  <c r="P107" i="7"/>
  <c r="S107" i="7"/>
  <c r="R107" i="7"/>
  <c r="K107" i="7"/>
  <c r="M107" i="7"/>
  <c r="N107" i="7"/>
  <c r="I107" i="7"/>
  <c r="J107" i="7"/>
  <c r="E107" i="7"/>
  <c r="D107" i="7"/>
  <c r="H108" i="7"/>
  <c r="I103" i="1"/>
  <c r="E103" i="1"/>
  <c r="F103" i="1"/>
  <c r="G104" i="1"/>
  <c r="D103" i="1"/>
  <c r="X53" i="7" l="1"/>
  <c r="T54" i="7"/>
  <c r="W53" i="7"/>
  <c r="W108" i="7"/>
  <c r="U108" i="7"/>
  <c r="X108" i="7"/>
  <c r="U54" i="7"/>
  <c r="Q108" i="7"/>
  <c r="P108" i="7"/>
  <c r="S108" i="7"/>
  <c r="R108" i="7"/>
  <c r="K108" i="7"/>
  <c r="R53" i="7"/>
  <c r="M108" i="7"/>
  <c r="N108" i="7"/>
  <c r="I108" i="7"/>
  <c r="J108" i="7"/>
  <c r="E108" i="7"/>
  <c r="D108" i="7"/>
  <c r="H109" i="7"/>
  <c r="I104" i="1"/>
  <c r="E104" i="1"/>
  <c r="F104" i="1"/>
  <c r="D104" i="1"/>
  <c r="G105" i="1"/>
  <c r="V54" i="7" l="1"/>
  <c r="W109" i="7"/>
  <c r="U109" i="7"/>
  <c r="X109" i="7"/>
  <c r="K109" i="7"/>
  <c r="S109" i="7"/>
  <c r="R109" i="7"/>
  <c r="Q109" i="7"/>
  <c r="P109" i="7"/>
  <c r="P54" i="7"/>
  <c r="Q54" i="7" s="1"/>
  <c r="M109" i="7"/>
  <c r="N109" i="7"/>
  <c r="J109" i="7"/>
  <c r="I109" i="7"/>
  <c r="E109" i="7"/>
  <c r="D109" i="7"/>
  <c r="H110" i="7"/>
  <c r="I105" i="1"/>
  <c r="E105" i="1"/>
  <c r="F105" i="1"/>
  <c r="D105" i="1"/>
  <c r="G106" i="1"/>
  <c r="X54" i="7" l="1"/>
  <c r="T55" i="7"/>
  <c r="S54" i="7"/>
  <c r="O55" i="7"/>
  <c r="W110" i="7"/>
  <c r="U110" i="7"/>
  <c r="X110" i="7"/>
  <c r="K110" i="7"/>
  <c r="S110" i="7"/>
  <c r="R110" i="7"/>
  <c r="Q110" i="7"/>
  <c r="P110" i="7"/>
  <c r="M110" i="7"/>
  <c r="N110" i="7"/>
  <c r="J110" i="7"/>
  <c r="I110" i="7"/>
  <c r="E110" i="7"/>
  <c r="D110" i="7"/>
  <c r="H111" i="7"/>
  <c r="I106" i="1"/>
  <c r="E106" i="1"/>
  <c r="F106" i="1"/>
  <c r="G107" i="1"/>
  <c r="D106" i="1"/>
  <c r="X111" i="7" l="1"/>
  <c r="W111" i="7"/>
  <c r="U111" i="7"/>
  <c r="W54" i="7"/>
  <c r="S111" i="7"/>
  <c r="R111" i="7"/>
  <c r="K111" i="7"/>
  <c r="Q111" i="7"/>
  <c r="P111" i="7"/>
  <c r="R54" i="7"/>
  <c r="M111" i="7"/>
  <c r="N111" i="7"/>
  <c r="J111" i="7"/>
  <c r="I111" i="7"/>
  <c r="E111" i="7"/>
  <c r="H112" i="7"/>
  <c r="D111" i="7"/>
  <c r="I107" i="1"/>
  <c r="F107" i="1"/>
  <c r="E107" i="1"/>
  <c r="G108" i="1"/>
  <c r="D107" i="1"/>
  <c r="X112" i="7" l="1"/>
  <c r="W112" i="7"/>
  <c r="U112" i="7"/>
  <c r="U55" i="7"/>
  <c r="S112" i="7"/>
  <c r="R112" i="7"/>
  <c r="K112" i="7"/>
  <c r="Q112" i="7"/>
  <c r="P112" i="7"/>
  <c r="P55" i="7"/>
  <c r="Q55" i="7" s="1"/>
  <c r="M112" i="7"/>
  <c r="N112" i="7"/>
  <c r="J112" i="7"/>
  <c r="I112" i="7"/>
  <c r="E112" i="7"/>
  <c r="D112" i="7"/>
  <c r="H113" i="7"/>
  <c r="I108" i="1"/>
  <c r="F108" i="1"/>
  <c r="E108" i="1"/>
  <c r="D108" i="1"/>
  <c r="G109" i="1"/>
  <c r="S55" i="7" l="1"/>
  <c r="O56" i="7"/>
  <c r="V55" i="7"/>
  <c r="X113" i="7"/>
  <c r="W113" i="7"/>
  <c r="U113" i="7"/>
  <c r="P113" i="7"/>
  <c r="S113" i="7"/>
  <c r="R113" i="7"/>
  <c r="K113" i="7"/>
  <c r="Q113" i="7"/>
  <c r="M113" i="7"/>
  <c r="N113" i="7"/>
  <c r="J113" i="7"/>
  <c r="I113" i="7"/>
  <c r="E113" i="7"/>
  <c r="H114" i="7"/>
  <c r="D113" i="7"/>
  <c r="I109" i="1"/>
  <c r="F109" i="1"/>
  <c r="E109" i="1"/>
  <c r="D109" i="1"/>
  <c r="G110" i="1"/>
  <c r="X55" i="7" l="1"/>
  <c r="T56" i="7"/>
  <c r="X114" i="7"/>
  <c r="U114" i="7"/>
  <c r="W114" i="7"/>
  <c r="W55" i="7"/>
  <c r="S114" i="7"/>
  <c r="R114" i="7"/>
  <c r="K114" i="7"/>
  <c r="Q114" i="7"/>
  <c r="P114" i="7"/>
  <c r="R55" i="7"/>
  <c r="M114" i="7"/>
  <c r="N114" i="7"/>
  <c r="J114" i="7"/>
  <c r="I114" i="7"/>
  <c r="E114" i="7"/>
  <c r="D114" i="7"/>
  <c r="H115" i="7"/>
  <c r="I110" i="1"/>
  <c r="E110" i="1"/>
  <c r="F110" i="1"/>
  <c r="G111" i="1"/>
  <c r="D110" i="1"/>
  <c r="W115" i="7" l="1"/>
  <c r="U115" i="7"/>
  <c r="X115" i="7"/>
  <c r="U56" i="7"/>
  <c r="S115" i="7"/>
  <c r="R115" i="7"/>
  <c r="K115" i="7"/>
  <c r="Q115" i="7"/>
  <c r="P115" i="7"/>
  <c r="P56" i="7"/>
  <c r="Q56" i="7" s="1"/>
  <c r="M115" i="7"/>
  <c r="N115" i="7"/>
  <c r="J115" i="7"/>
  <c r="I115" i="7"/>
  <c r="E115" i="7"/>
  <c r="D115" i="7"/>
  <c r="H116" i="7"/>
  <c r="I111" i="1"/>
  <c r="E111" i="1"/>
  <c r="F111" i="1"/>
  <c r="G112" i="1"/>
  <c r="D111" i="1"/>
  <c r="S56" i="7" l="1"/>
  <c r="O57" i="7"/>
  <c r="V56" i="7"/>
  <c r="W56" i="7" s="1"/>
  <c r="X116" i="7"/>
  <c r="U116" i="7"/>
  <c r="W116" i="7"/>
  <c r="S116" i="7"/>
  <c r="R116" i="7"/>
  <c r="K116" i="7"/>
  <c r="Q116" i="7"/>
  <c r="P116" i="7"/>
  <c r="M116" i="7"/>
  <c r="N116" i="7"/>
  <c r="J116" i="7"/>
  <c r="I116" i="7"/>
  <c r="E116" i="7"/>
  <c r="D116" i="7"/>
  <c r="H117" i="7"/>
  <c r="I112" i="1"/>
  <c r="E112" i="1"/>
  <c r="F112" i="1"/>
  <c r="D112" i="1"/>
  <c r="G113" i="1"/>
  <c r="X56" i="7" l="1"/>
  <c r="T57" i="7"/>
  <c r="U57" i="7" s="1"/>
  <c r="X117" i="7"/>
  <c r="W117" i="7"/>
  <c r="U117" i="7"/>
  <c r="Q117" i="7"/>
  <c r="P117" i="7"/>
  <c r="S117" i="7"/>
  <c r="R117" i="7"/>
  <c r="K117" i="7"/>
  <c r="R56" i="7"/>
  <c r="M117" i="7"/>
  <c r="N117" i="7"/>
  <c r="I117" i="7"/>
  <c r="J117" i="7"/>
  <c r="E117" i="7"/>
  <c r="D117" i="7"/>
  <c r="H118" i="7"/>
  <c r="I113" i="1"/>
  <c r="E113" i="1"/>
  <c r="F113" i="1"/>
  <c r="D113" i="1"/>
  <c r="G114" i="1"/>
  <c r="V57" i="7" l="1"/>
  <c r="U118" i="7"/>
  <c r="X118" i="7"/>
  <c r="W118" i="7"/>
  <c r="Q118" i="7"/>
  <c r="P118" i="7"/>
  <c r="S118" i="7"/>
  <c r="R118" i="7"/>
  <c r="K118" i="7"/>
  <c r="P57" i="7"/>
  <c r="Q57" i="7" s="1"/>
  <c r="O58" i="7" s="1"/>
  <c r="M118" i="7"/>
  <c r="N118" i="7"/>
  <c r="I118" i="7"/>
  <c r="J118" i="7"/>
  <c r="E118" i="7"/>
  <c r="D118" i="7"/>
  <c r="H119" i="7"/>
  <c r="I114" i="1"/>
  <c r="E114" i="1"/>
  <c r="F114" i="1"/>
  <c r="G115" i="1"/>
  <c r="D114" i="1"/>
  <c r="X57" i="7" l="1"/>
  <c r="T58" i="7"/>
  <c r="W119" i="7"/>
  <c r="U119" i="7"/>
  <c r="X119" i="7"/>
  <c r="S57" i="7"/>
  <c r="K119" i="7"/>
  <c r="Q119" i="7"/>
  <c r="P119" i="7"/>
  <c r="S119" i="7"/>
  <c r="R119" i="7"/>
  <c r="M119" i="7"/>
  <c r="N119" i="7"/>
  <c r="I119" i="7"/>
  <c r="J119" i="7"/>
  <c r="E119" i="7"/>
  <c r="D119" i="7"/>
  <c r="H120" i="7"/>
  <c r="I115" i="1"/>
  <c r="E115" i="1"/>
  <c r="F115" i="1"/>
  <c r="G116" i="1"/>
  <c r="D115" i="1"/>
  <c r="W120" i="7" l="1"/>
  <c r="X120" i="7"/>
  <c r="U120" i="7"/>
  <c r="W57" i="7"/>
  <c r="K120" i="7"/>
  <c r="Q120" i="7"/>
  <c r="P120" i="7"/>
  <c r="S120" i="7"/>
  <c r="R120" i="7"/>
  <c r="R57" i="7"/>
  <c r="M120" i="7"/>
  <c r="N120" i="7"/>
  <c r="I120" i="7"/>
  <c r="J120" i="7"/>
  <c r="E120" i="7"/>
  <c r="D120" i="7"/>
  <c r="H121" i="7"/>
  <c r="I116" i="1"/>
  <c r="E116" i="1"/>
  <c r="F116" i="1"/>
  <c r="D116" i="1"/>
  <c r="G117" i="1"/>
  <c r="X121" i="7" l="1"/>
  <c r="W121" i="7"/>
  <c r="U121" i="7"/>
  <c r="U58" i="7"/>
  <c r="R121" i="7"/>
  <c r="Q121" i="7"/>
  <c r="P121" i="7"/>
  <c r="S121" i="7"/>
  <c r="K121" i="7"/>
  <c r="P58" i="7"/>
  <c r="Q58" i="7" s="1"/>
  <c r="M121" i="7"/>
  <c r="N121" i="7"/>
  <c r="J121" i="7"/>
  <c r="I121" i="7"/>
  <c r="E121" i="7"/>
  <c r="H122" i="7"/>
  <c r="D121" i="7"/>
  <c r="I117" i="1"/>
  <c r="E117" i="1"/>
  <c r="F117" i="1"/>
  <c r="D117" i="1"/>
  <c r="G118" i="1"/>
  <c r="S58" i="7" l="1"/>
  <c r="O59" i="7"/>
  <c r="V58" i="7"/>
  <c r="W58" i="7" s="1"/>
  <c r="W122" i="7"/>
  <c r="U122" i="7"/>
  <c r="X122" i="7"/>
  <c r="S122" i="7"/>
  <c r="R122" i="7"/>
  <c r="Q122" i="7"/>
  <c r="P122" i="7"/>
  <c r="K122" i="7"/>
  <c r="M122" i="7"/>
  <c r="N122" i="7"/>
  <c r="J122" i="7"/>
  <c r="I122" i="7"/>
  <c r="E122" i="7"/>
  <c r="D122" i="7"/>
  <c r="I118" i="1"/>
  <c r="F118" i="1"/>
  <c r="E118" i="1"/>
  <c r="G119" i="1"/>
  <c r="D118" i="1"/>
  <c r="X58" i="7" l="1"/>
  <c r="T59" i="7"/>
  <c r="U59" i="7" s="1"/>
  <c r="R58" i="7"/>
  <c r="I119" i="1"/>
  <c r="F119" i="1"/>
  <c r="E119" i="1"/>
  <c r="G120" i="1"/>
  <c r="D119" i="1"/>
  <c r="V59" i="7" l="1"/>
  <c r="P59" i="7"/>
  <c r="Q59" i="7" s="1"/>
  <c r="I120" i="1"/>
  <c r="F120" i="1"/>
  <c r="E120" i="1"/>
  <c r="D120" i="1"/>
  <c r="G121" i="1"/>
  <c r="X59" i="7" l="1"/>
  <c r="T60" i="7"/>
  <c r="S59" i="7"/>
  <c r="O60" i="7"/>
  <c r="I121" i="1"/>
  <c r="F121" i="1"/>
  <c r="E121" i="1"/>
  <c r="D121" i="1"/>
  <c r="W59" i="7" l="1"/>
  <c r="P60" i="7"/>
  <c r="Q60" i="7" s="1"/>
  <c r="R59" i="7"/>
  <c r="S60" i="7" l="1"/>
  <c r="O61" i="7"/>
  <c r="U60" i="7"/>
  <c r="V60" i="7" l="1"/>
  <c r="R60" i="7"/>
  <c r="X60" i="7" l="1"/>
  <c r="T61" i="7"/>
  <c r="U61" i="7" s="1"/>
  <c r="W60" i="7"/>
  <c r="P61" i="7"/>
  <c r="Q61" i="7" s="1"/>
  <c r="S61" i="7" l="1"/>
  <c r="O62" i="7"/>
  <c r="V61" i="7"/>
  <c r="X61" i="7" l="1"/>
  <c r="T62" i="7"/>
  <c r="W61" i="7"/>
  <c r="R61" i="7"/>
  <c r="U62" i="7" l="1"/>
  <c r="P62" i="7"/>
  <c r="Q62" i="7" s="1"/>
  <c r="S62" i="7" l="1"/>
  <c r="O63" i="7"/>
  <c r="V62" i="7"/>
  <c r="X62" i="7" l="1"/>
  <c r="T63" i="7"/>
  <c r="W62" i="7"/>
  <c r="P63" i="7"/>
  <c r="Q63" i="7" s="1"/>
  <c r="R62" i="7"/>
  <c r="S63" i="7" l="1"/>
  <c r="O64" i="7"/>
  <c r="U63" i="7"/>
  <c r="V63" i="7" l="1"/>
  <c r="R63" i="7"/>
  <c r="X63" i="7" l="1"/>
  <c r="T64" i="7"/>
  <c r="U64" i="7" s="1"/>
  <c r="W63" i="7"/>
  <c r="P64" i="7"/>
  <c r="Q64" i="7" s="1"/>
  <c r="S64" i="7" l="1"/>
  <c r="O65" i="7"/>
  <c r="V64" i="7"/>
  <c r="X64" i="7" l="1"/>
  <c r="T65" i="7"/>
  <c r="U65" i="7" s="1"/>
  <c r="W64" i="7"/>
  <c r="R64" i="7"/>
  <c r="V65" i="7" l="1"/>
  <c r="P65" i="7"/>
  <c r="Q65" i="7" s="1"/>
  <c r="O66" i="7" s="1"/>
  <c r="X65" i="7" l="1"/>
  <c r="T66" i="7"/>
  <c r="S65" i="7"/>
  <c r="R65" i="7"/>
  <c r="W65" i="7" l="1"/>
  <c r="P66" i="7"/>
  <c r="Q66" i="7" s="1"/>
  <c r="S66" i="7" l="1"/>
  <c r="O67" i="7"/>
  <c r="U66" i="7"/>
  <c r="V66" i="7" l="1"/>
  <c r="R66" i="7"/>
  <c r="X66" i="7" l="1"/>
  <c r="T67" i="7"/>
  <c r="U67" i="7" s="1"/>
  <c r="W66" i="7"/>
  <c r="P67" i="7"/>
  <c r="Q67" i="7" s="1"/>
  <c r="S67" i="7" l="1"/>
  <c r="O68" i="7"/>
  <c r="V67" i="7"/>
  <c r="X67" i="7" l="1"/>
  <c r="T68" i="7"/>
  <c r="W67" i="7"/>
  <c r="R67" i="7"/>
  <c r="U68" i="7" l="1"/>
  <c r="V68" i="7" s="1"/>
  <c r="P68" i="7"/>
  <c r="Q68" i="7" s="1"/>
  <c r="X68" i="7" l="1"/>
  <c r="T69" i="7"/>
  <c r="S68" i="7"/>
  <c r="O69" i="7"/>
  <c r="W68" i="7"/>
  <c r="R68" i="7"/>
  <c r="U69" i="7" l="1"/>
  <c r="P69" i="7"/>
  <c r="Q69" i="7" s="1"/>
  <c r="S69" i="7" l="1"/>
  <c r="O70" i="7"/>
  <c r="V69" i="7"/>
  <c r="R69" i="7"/>
  <c r="X69" i="7" l="1"/>
  <c r="T70" i="7"/>
  <c r="U70" i="7" s="1"/>
  <c r="W69" i="7"/>
  <c r="P70" i="7"/>
  <c r="Q70" i="7" s="1"/>
  <c r="S70" i="7" l="1"/>
  <c r="O71" i="7"/>
  <c r="V70" i="7"/>
  <c r="X70" i="7" l="1"/>
  <c r="T71" i="7"/>
  <c r="U71" i="7" s="1"/>
  <c r="W70" i="7"/>
  <c r="P71" i="7"/>
  <c r="Q71" i="7" s="1"/>
  <c r="R70" i="7"/>
  <c r="S71" i="7" l="1"/>
  <c r="O72" i="7"/>
  <c r="V71" i="7"/>
  <c r="R71" i="7"/>
  <c r="X71" i="7" l="1"/>
  <c r="T72" i="7"/>
  <c r="W71" i="7"/>
  <c r="P72" i="7"/>
  <c r="Q72" i="7" s="1"/>
  <c r="S72" i="7" l="1"/>
  <c r="O73" i="7"/>
  <c r="U72" i="7"/>
  <c r="V72" i="7" l="1"/>
  <c r="R72" i="7"/>
  <c r="X72" i="7" l="1"/>
  <c r="T73" i="7"/>
  <c r="U73" i="7" s="1"/>
  <c r="W72" i="7"/>
  <c r="P73" i="7"/>
  <c r="Q73" i="7" s="1"/>
  <c r="S73" i="7" l="1"/>
  <c r="O74" i="7"/>
  <c r="V73" i="7"/>
  <c r="X73" i="7" l="1"/>
  <c r="T74" i="7"/>
  <c r="W73" i="7"/>
  <c r="P74" i="7"/>
  <c r="Q74" i="7" s="1"/>
  <c r="R73" i="7"/>
  <c r="S74" i="7" l="1"/>
  <c r="O75" i="7"/>
  <c r="U74" i="7"/>
  <c r="V74" i="7" l="1"/>
  <c r="P75" i="7"/>
  <c r="Q75" i="7" s="1"/>
  <c r="R74" i="7"/>
  <c r="X74" i="7" l="1"/>
  <c r="T75" i="7"/>
  <c r="S75" i="7"/>
  <c r="O76" i="7"/>
  <c r="U75" i="7"/>
  <c r="W74" i="7"/>
  <c r="R75" i="7"/>
  <c r="V75" i="7" l="1"/>
  <c r="P76" i="7"/>
  <c r="Q76" i="7" s="1"/>
  <c r="X75" i="7" l="1"/>
  <c r="T76" i="7"/>
  <c r="S76" i="7"/>
  <c r="O77" i="7"/>
  <c r="W75" i="7"/>
  <c r="U76" i="7"/>
  <c r="V76" i="7" l="1"/>
  <c r="R76" i="7"/>
  <c r="X76" i="7" l="1"/>
  <c r="T77" i="7"/>
  <c r="U77" i="7" s="1"/>
  <c r="W76" i="7"/>
  <c r="P77" i="7"/>
  <c r="Q77" i="7" s="1"/>
  <c r="S77" i="7" l="1"/>
  <c r="O78" i="7"/>
  <c r="V77" i="7"/>
  <c r="R77" i="7"/>
  <c r="X77" i="7" l="1"/>
  <c r="T78" i="7"/>
  <c r="U78" i="7" s="1"/>
  <c r="W77" i="7"/>
  <c r="P78" i="7"/>
  <c r="Q78" i="7" s="1"/>
  <c r="S78" i="7" l="1"/>
  <c r="O79" i="7"/>
  <c r="V78" i="7"/>
  <c r="R78" i="7"/>
  <c r="X78" i="7" l="1"/>
  <c r="T79" i="7"/>
  <c r="U79" i="7" s="1"/>
  <c r="W78" i="7"/>
  <c r="P79" i="7"/>
  <c r="Q79" i="7" s="1"/>
  <c r="S79" i="7" l="1"/>
  <c r="O80" i="7"/>
  <c r="V79" i="7"/>
  <c r="X79" i="7" l="1"/>
  <c r="T80" i="7"/>
  <c r="U80" i="7" s="1"/>
  <c r="W79" i="7"/>
  <c r="P80" i="7"/>
  <c r="Q80" i="7" s="1"/>
  <c r="R79" i="7"/>
  <c r="S80" i="7" l="1"/>
  <c r="O81" i="7"/>
  <c r="V80" i="7"/>
  <c r="R80" i="7"/>
  <c r="X80" i="7" l="1"/>
  <c r="T81" i="7"/>
  <c r="U81" i="7" s="1"/>
  <c r="W80" i="7"/>
  <c r="P81" i="7"/>
  <c r="Q81" i="7" s="1"/>
  <c r="S81" i="7" l="1"/>
  <c r="O82" i="7"/>
  <c r="V81" i="7"/>
  <c r="X81" i="7" l="1"/>
  <c r="T82" i="7"/>
  <c r="U82" i="7" s="1"/>
  <c r="V82" i="7" s="1"/>
  <c r="T83" i="7" s="1"/>
  <c r="W81" i="7"/>
  <c r="R81" i="7"/>
  <c r="X82" i="7" l="1"/>
  <c r="P82" i="7"/>
  <c r="Q82" i="7" s="1"/>
  <c r="O83" i="7" s="1"/>
  <c r="P83" i="7" l="1"/>
  <c r="Q83" i="7" s="1"/>
  <c r="O84" i="7" s="1"/>
  <c r="U83" i="7"/>
  <c r="V83" i="7" s="1"/>
  <c r="T84" i="7" s="1"/>
  <c r="S82" i="7"/>
  <c r="R82" i="7"/>
  <c r="X83" i="7" l="1"/>
  <c r="W83" i="7"/>
  <c r="S83" i="7"/>
  <c r="R83" i="7"/>
  <c r="W82" i="7"/>
  <c r="U84" i="7" l="1"/>
  <c r="V84" i="7" s="1"/>
  <c r="T85" i="7" s="1"/>
  <c r="P84" i="7"/>
  <c r="Q84" i="7" s="1"/>
  <c r="O85" i="7" s="1"/>
  <c r="S84" i="7" l="1"/>
  <c r="R84" i="7"/>
  <c r="W84" i="7"/>
  <c r="X84" i="7"/>
  <c r="P85" i="7" l="1"/>
  <c r="Q85" i="7" s="1"/>
  <c r="O86" i="7" s="1"/>
  <c r="U85" i="7"/>
  <c r="V85" i="7" s="1"/>
  <c r="T86" i="7" s="1"/>
  <c r="X85" i="7" l="1"/>
  <c r="W85" i="7"/>
  <c r="R85" i="7"/>
  <c r="S85" i="7"/>
  <c r="P86" i="7" l="1"/>
  <c r="Q86" i="7" s="1"/>
  <c r="U86" i="7"/>
  <c r="V86" i="7" s="1"/>
  <c r="X86" i="7" l="1"/>
  <c r="W86" i="7"/>
  <c r="S86" i="7"/>
  <c r="R86" i="7"/>
  <c r="P87" i="7" l="1"/>
  <c r="Q87" i="7" s="1"/>
  <c r="U87" i="7"/>
  <c r="X87" i="7" l="1"/>
  <c r="W87" i="7"/>
  <c r="S87" i="7"/>
  <c r="R87" i="7"/>
  <c r="U88" i="7" l="1"/>
  <c r="P88" i="7"/>
  <c r="Q88" i="7" s="1"/>
  <c r="S88" i="7" l="1"/>
  <c r="R88" i="7"/>
  <c r="X88" i="7"/>
  <c r="W88" i="7"/>
  <c r="P89" i="7" l="1"/>
  <c r="Q89" i="7" s="1"/>
  <c r="U89" i="7"/>
  <c r="X89" i="7" l="1"/>
  <c r="W89" i="7"/>
  <c r="S89" i="7"/>
  <c r="R89" i="7"/>
  <c r="P90" i="7" l="1"/>
  <c r="Q90" i="7" s="1"/>
  <c r="U90" i="7"/>
  <c r="X90" i="7" l="1"/>
  <c r="W90" i="7"/>
  <c r="S90" i="7"/>
  <c r="R90" i="7"/>
  <c r="U91" i="7" l="1"/>
  <c r="P91" i="7"/>
  <c r="Q91" i="7" s="1"/>
  <c r="S91" i="7" l="1"/>
  <c r="R91" i="7"/>
  <c r="W91" i="7"/>
  <c r="X91" i="7"/>
  <c r="U92" i="7" l="1"/>
  <c r="P92" i="7"/>
  <c r="Q92" i="7" s="1"/>
  <c r="S92" i="7" l="1"/>
  <c r="R92" i="7"/>
  <c r="O14" i="7"/>
  <c r="X92" i="7"/>
  <c r="W92" i="7"/>
  <c r="T14" i="7"/>
</calcChain>
</file>

<file path=xl/sharedStrings.xml><?xml version="1.0" encoding="utf-8"?>
<sst xmlns="http://schemas.openxmlformats.org/spreadsheetml/2006/main" count="891" uniqueCount="62">
  <si>
    <t>被保险人信息</t>
    <phoneticPr fontId="6" type="noConversion"/>
  </si>
  <si>
    <t>性别</t>
  </si>
  <si>
    <t>女</t>
  </si>
  <si>
    <t>缴费期</t>
  </si>
  <si>
    <t>20年交</t>
  </si>
  <si>
    <t>年龄</t>
  </si>
  <si>
    <t>产品计划</t>
    <phoneticPr fontId="6" type="noConversion"/>
  </si>
  <si>
    <t>首年保费</t>
    <phoneticPr fontId="6" type="noConversion"/>
  </si>
  <si>
    <t>总保费</t>
    <phoneticPr fontId="6" type="noConversion"/>
  </si>
  <si>
    <t>男</t>
  </si>
  <si>
    <t>5年交</t>
  </si>
  <si>
    <t>PPP</t>
    <phoneticPr fontId="5" type="noConversion"/>
  </si>
  <si>
    <t>SEX</t>
    <phoneticPr fontId="5" type="noConversion"/>
  </si>
  <si>
    <t>AGE</t>
    <phoneticPr fontId="5" type="noConversion"/>
  </si>
  <si>
    <t>费率表</t>
  </si>
  <si>
    <t>保额表</t>
  </si>
  <si>
    <t>一次性付清</t>
  </si>
  <si>
    <t>3年交</t>
  </si>
  <si>
    <t>10年交</t>
  </si>
  <si>
    <t>15年交</t>
  </si>
  <si>
    <t>保单信息</t>
    <phoneticPr fontId="6" type="noConversion"/>
  </si>
  <si>
    <t>保单年度</t>
  </si>
  <si>
    <t>已达年龄</t>
    <phoneticPr fontId="6" type="noConversion"/>
  </si>
  <si>
    <t>现金价值</t>
  </si>
  <si>
    <t>年交保费</t>
    <phoneticPr fontId="6" type="noConversion"/>
  </si>
  <si>
    <t>已交保费</t>
    <phoneticPr fontId="6" type="noConversion"/>
  </si>
  <si>
    <t>交费期间</t>
  </si>
  <si>
    <t>最高投保年龄</t>
  </si>
  <si>
    <t>基本保额</t>
    <phoneticPr fontId="6" type="noConversion"/>
  </si>
  <si>
    <t>（手动输入）</t>
    <phoneticPr fontId="5" type="noConversion"/>
  </si>
  <si>
    <t>不定期追加保费</t>
    <phoneticPr fontId="5" type="noConversion"/>
  </si>
  <si>
    <t>定期追加保费</t>
    <phoneticPr fontId="5" type="noConversion"/>
  </si>
  <si>
    <t>约定转入保费</t>
    <phoneticPr fontId="5" type="noConversion"/>
  </si>
  <si>
    <t>累计保险费</t>
    <phoneticPr fontId="5" type="noConversion"/>
  </si>
  <si>
    <t>初始费用</t>
    <phoneticPr fontId="5" type="noConversion"/>
  </si>
  <si>
    <t>部分领取</t>
    <phoneticPr fontId="5" type="noConversion"/>
  </si>
  <si>
    <t>交费期间</t>
    <phoneticPr fontId="5" type="noConversion"/>
  </si>
  <si>
    <t>一次性付清保费</t>
    <phoneticPr fontId="5" type="noConversion"/>
  </si>
  <si>
    <t>保单年度</t>
    <phoneticPr fontId="6" type="noConversion"/>
  </si>
  <si>
    <t>退保扣费</t>
    <phoneticPr fontId="6" type="noConversion"/>
  </si>
  <si>
    <t>已达年龄</t>
  </si>
  <si>
    <t>系数</t>
  </si>
  <si>
    <t>部分领取费用</t>
    <phoneticPr fontId="5" type="noConversion"/>
  </si>
  <si>
    <t>基本保额</t>
    <phoneticPr fontId="5" type="noConversion"/>
  </si>
  <si>
    <t>期初账户价值</t>
    <phoneticPr fontId="6" type="noConversion"/>
  </si>
  <si>
    <t>风险保险费</t>
    <phoneticPr fontId="6" type="noConversion"/>
  </si>
  <si>
    <t>期末账户价值</t>
    <phoneticPr fontId="6" type="noConversion"/>
  </si>
  <si>
    <t>现金价值</t>
    <phoneticPr fontId="6" type="noConversion"/>
  </si>
  <si>
    <t>身故保险金</t>
    <phoneticPr fontId="6" type="noConversion"/>
  </si>
  <si>
    <t>持续奖励</t>
    <phoneticPr fontId="5" type="noConversion"/>
  </si>
  <si>
    <t>中意鑫意锁终身寿险（万能型）</t>
    <phoneticPr fontId="5" type="noConversion"/>
  </si>
  <si>
    <t>中意真爱久久年金保险（关爱版A款）产品计划演示表</t>
    <phoneticPr fontId="6" type="noConversion"/>
  </si>
  <si>
    <t>中意真爱久久年金保险（关爱版A款）产品计划演示表</t>
    <phoneticPr fontId="6" type="noConversion"/>
  </si>
  <si>
    <t>中意真爱久久年金保险（关爱版A款）</t>
    <phoneticPr fontId="6" type="noConversion"/>
  </si>
  <si>
    <t>中意真爱久久年金保险（关爱版A款）</t>
    <phoneticPr fontId="6" type="noConversion"/>
  </si>
  <si>
    <t>年金</t>
    <phoneticPr fontId="5" type="noConversion"/>
  </si>
  <si>
    <t>养老年金</t>
    <phoneticPr fontId="5" type="noConversion"/>
  </si>
  <si>
    <t>身故保险金</t>
    <phoneticPr fontId="5" type="noConversion"/>
  </si>
  <si>
    <t>中意真爱久久年金保险（关爱版A款）</t>
    <phoneticPr fontId="6" type="noConversion"/>
  </si>
  <si>
    <t>（手动输入）</t>
    <phoneticPr fontId="5" type="noConversion"/>
  </si>
  <si>
    <t>最低保证利益演示2.0%</t>
    <phoneticPr fontId="6" type="noConversion"/>
  </si>
  <si>
    <t>万能结息利益演示4.0%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</si>
</sst>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76" formatCode="#,##0_ "/>
    <numFmt numFmtId="177" formatCode="#,##0_);[Red]\(#,##0\)"/>
    <numFmt numFmtId="178" formatCode="_ * #,##0.0_ ;_ * \-#,##0.0_ ;_ * &quot;-&quot;??_ ;_ @_ "/>
    <numFmt numFmtId="179" formatCode="_ * #,##0_ ;_ * \-#,##0_ ;_ * &quot;-&quot;??_ ;_ @_ "/>
  </numFmts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4"/>
      <color theme="5" tint="-0.249977111117893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i/>
      <sz val="9"/>
      <color rgb="FFFF0000"/>
      <name val="微软雅黑"/>
      <family val="2"/>
      <charset val="134"/>
    </font>
    <font>
      <sz val="11"/>
      <name val="宋体"/>
      <family val="2"/>
      <scheme val="minor"/>
    </font>
    <font>
      <sz val="8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8"/>
      <color theme="0"/>
      <name val="微软雅黑"/>
      <family val="2"/>
      <charset val="134"/>
    </font>
    <font>
      <b/>
      <i/>
      <sz val="9"/>
      <color theme="5" tint="-0.249977111117893"/>
      <name val="微软雅黑"/>
      <family val="2"/>
      <charset val="134"/>
    </font>
    <font>
      <b/>
      <i/>
      <sz val="8"/>
      <color rgb="FFFF0000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12"/>
      <color rgb="FF000000"/>
      <name val="仿宋_GB2312"/>
      <family val="3"/>
      <charset val="134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theme="7" tint="-0.249977111117893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thin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hair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hair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/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/>
      <right style="hair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hair">
        <color theme="7" tint="-0.249977111117893"/>
      </right>
      <top style="thin">
        <color theme="7" tint="-0.249977111117893"/>
      </top>
      <bottom style="hair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 style="thin">
        <color theme="7" tint="-0.249977111117893"/>
      </top>
      <bottom style="hair">
        <color theme="7" tint="-0.249977111117893"/>
      </bottom>
      <diagonal/>
    </border>
    <border>
      <left style="hair">
        <color theme="7" tint="-0.249977111117893"/>
      </left>
      <right style="thin">
        <color theme="7" tint="-0.249977111117893"/>
      </right>
      <top style="thin">
        <color theme="7" tint="-0.249977111117893"/>
      </top>
      <bottom style="hair">
        <color theme="7" tint="-0.249977111117893"/>
      </bottom>
      <diagonal/>
    </border>
    <border>
      <left style="thin">
        <color theme="7" tint="-0.249977111117893"/>
      </left>
      <right style="hair">
        <color theme="7" tint="-0.249977111117893"/>
      </right>
      <top style="hair">
        <color theme="7" tint="-0.249977111117893"/>
      </top>
      <bottom style="hair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 style="hair">
        <color theme="7" tint="-0.249977111117893"/>
      </top>
      <bottom style="hair">
        <color theme="7" tint="-0.249977111117893"/>
      </bottom>
      <diagonal/>
    </border>
    <border>
      <left style="hair">
        <color theme="7" tint="-0.249977111117893"/>
      </left>
      <right style="thin">
        <color theme="7" tint="-0.249977111117893"/>
      </right>
      <top style="hair">
        <color theme="7" tint="-0.249977111117893"/>
      </top>
      <bottom style="hair">
        <color theme="7" tint="-0.249977111117893"/>
      </bottom>
      <diagonal/>
    </border>
    <border>
      <left style="thin">
        <color theme="7" tint="-0.249977111117893"/>
      </left>
      <right style="hair">
        <color theme="7" tint="-0.249977111117893"/>
      </right>
      <top style="hair">
        <color theme="7" tint="-0.249977111117893"/>
      </top>
      <bottom style="thin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 style="hair">
        <color theme="7" tint="-0.249977111117893"/>
      </top>
      <bottom style="thin">
        <color theme="7" tint="-0.249977111117893"/>
      </bottom>
      <diagonal/>
    </border>
    <border>
      <left style="hair">
        <color theme="7" tint="-0.249977111117893"/>
      </left>
      <right style="thin">
        <color theme="7" tint="-0.249977111117893"/>
      </right>
      <top style="hair">
        <color theme="7" tint="-0.249977111117893"/>
      </top>
      <bottom style="thin">
        <color theme="7" tint="-0.249977111117893"/>
      </bottom>
      <diagonal/>
    </border>
    <border>
      <left/>
      <right style="hair">
        <color theme="7" tint="-0.249977111117893"/>
      </right>
      <top style="hair">
        <color theme="7" tint="-0.249977111117893"/>
      </top>
      <bottom style="hair">
        <color theme="7" tint="-0.249977111117893"/>
      </bottom>
      <diagonal/>
    </border>
    <border>
      <left/>
      <right style="hair">
        <color theme="7" tint="-0.249977111117893"/>
      </right>
      <top style="thin">
        <color theme="7" tint="-0.249977111117893"/>
      </top>
      <bottom style="hair">
        <color theme="7" tint="-0.249977111117893"/>
      </bottom>
      <diagonal/>
    </border>
    <border>
      <left/>
      <right style="hair">
        <color theme="7" tint="-0.249977111117893"/>
      </right>
      <top style="hair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hair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hair">
        <color theme="7" tint="-0.249977111117893"/>
      </top>
      <bottom style="hair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hair">
        <color theme="7" tint="-0.249977111117893"/>
      </top>
      <bottom style="thin">
        <color theme="7" tint="-0.249977111117893"/>
      </bottom>
      <diagonal/>
    </border>
    <border>
      <left/>
      <right style="thin">
        <color theme="7" tint="-0.249977111117893"/>
      </right>
      <top style="thin">
        <color theme="7" tint="-0.249977111117893"/>
      </top>
      <bottom/>
      <diagonal/>
    </border>
    <border>
      <left/>
      <right style="thin">
        <color theme="7" tint="-0.249977111117893"/>
      </right>
      <top/>
      <bottom style="hair">
        <color theme="7" tint="-0.249977111117893"/>
      </bottom>
      <diagonal/>
    </border>
    <border>
      <left/>
      <right style="thin">
        <color theme="7" tint="-0.249977111117893"/>
      </right>
      <top style="hair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hair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hair">
        <color theme="7" tint="-0.249977111117893"/>
      </right>
      <top/>
      <bottom style="hair">
        <color theme="7" tint="-0.249977111117893"/>
      </bottom>
      <diagonal/>
    </border>
    <border>
      <left/>
      <right/>
      <top/>
      <bottom style="hair">
        <color theme="7" tint="-0.249977111117893"/>
      </bottom>
      <diagonal/>
    </border>
    <border>
      <left/>
      <right/>
      <top style="hair">
        <color theme="7" tint="-0.249977111117893"/>
      </top>
      <bottom style="thin">
        <color theme="7" tint="-0.249977111117893"/>
      </bottom>
      <diagonal/>
    </border>
    <border>
      <left/>
      <right style="hair">
        <color theme="7" tint="-0.249977111117893"/>
      </right>
      <top style="thin">
        <color theme="7" tint="-0.249977111117893"/>
      </top>
      <bottom/>
      <diagonal/>
    </border>
    <border>
      <left style="hair">
        <color theme="7" tint="-0.249977111117893"/>
      </left>
      <right style="hair">
        <color theme="7" tint="-0.249977111117893"/>
      </right>
      <top style="thin">
        <color theme="7" tint="-0.249977111117893"/>
      </top>
      <bottom/>
      <diagonal/>
    </border>
    <border>
      <left style="hair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7" tint="-0.249977111117893"/>
      </left>
      <right style="hair">
        <color theme="7" tint="-0.249977111117893"/>
      </right>
      <top/>
      <bottom style="thin">
        <color theme="7" tint="-0.249977111117893"/>
      </bottom>
      <diagonal/>
    </border>
    <border>
      <left/>
      <right style="hair">
        <color theme="7" tint="-0.249977111117893"/>
      </right>
      <top/>
      <bottom style="hair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/>
      <bottom style="hair">
        <color theme="7" tint="-0.249977111117893"/>
      </bottom>
      <diagonal/>
    </border>
    <border>
      <left/>
      <right style="hair">
        <color theme="7" tint="-0.249977111117893"/>
      </right>
      <top/>
      <bottom style="thin">
        <color theme="7" tint="-0.249977111117893"/>
      </bottom>
      <diagonal/>
    </border>
    <border>
      <left style="hair">
        <color theme="7" tint="-0.249977111117893"/>
      </left>
      <right style="hair">
        <color theme="7" tint="-0.249977111117893"/>
      </right>
      <top/>
      <bottom style="thin">
        <color theme="7" tint="-0.24997711111789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176" fontId="7" fillId="3" borderId="0" xfId="0" applyNumberFormat="1" applyFont="1" applyFill="1" applyBorder="1" applyAlignment="1" applyProtection="1">
      <alignment horizontal="center" vertical="center"/>
      <protection locked="0"/>
    </xf>
    <xf numFmtId="176" fontId="7" fillId="2" borderId="0" xfId="0" applyNumberFormat="1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center" vertical="top"/>
      <protection hidden="1"/>
    </xf>
    <xf numFmtId="176" fontId="11" fillId="2" borderId="0" xfId="0" applyNumberFormat="1" applyFont="1" applyFill="1" applyBorder="1" applyAlignment="1" applyProtection="1">
      <alignment horizontal="center" vertical="top"/>
      <protection hidden="1"/>
    </xf>
    <xf numFmtId="177" fontId="8" fillId="2" borderId="0" xfId="0" applyNumberFormat="1" applyFont="1" applyFill="1" applyBorder="1" applyAlignment="1" applyProtection="1">
      <alignment horizontal="center" vertical="top" wrapText="1"/>
      <protection hidden="1"/>
    </xf>
    <xf numFmtId="177" fontId="2" fillId="2" borderId="0" xfId="0" applyNumberFormat="1" applyFont="1" applyFill="1" applyAlignment="1" applyProtection="1">
      <protection hidden="1"/>
    </xf>
    <xf numFmtId="0" fontId="7" fillId="2" borderId="0" xfId="0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78" fontId="12" fillId="0" borderId="0" xfId="1" applyNumberFormat="1" applyFont="1">
      <alignment vertical="center"/>
    </xf>
    <xf numFmtId="179" fontId="12" fillId="0" borderId="0" xfId="1" applyNumberFormat="1" applyFont="1">
      <alignment vertical="center"/>
    </xf>
    <xf numFmtId="177" fontId="13" fillId="3" borderId="7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8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9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12" xfId="0" applyNumberFormat="1" applyFont="1" applyFill="1" applyBorder="1" applyAlignment="1" applyProtection="1">
      <alignment horizontal="center" vertical="center" wrapText="1"/>
      <protection hidden="1"/>
    </xf>
    <xf numFmtId="177" fontId="3" fillId="0" borderId="13" xfId="0" applyNumberFormat="1" applyFont="1" applyFill="1" applyBorder="1" applyAlignment="1" applyProtection="1">
      <protection hidden="1"/>
    </xf>
    <xf numFmtId="177" fontId="3" fillId="0" borderId="14" xfId="0" applyNumberFormat="1" applyFont="1" applyFill="1" applyBorder="1" applyAlignment="1" applyProtection="1">
      <protection hidden="1"/>
    </xf>
    <xf numFmtId="179" fontId="3" fillId="0" borderId="15" xfId="1" applyNumberFormat="1" applyFont="1" applyFill="1" applyBorder="1" applyAlignment="1" applyProtection="1">
      <protection hidden="1"/>
    </xf>
    <xf numFmtId="177" fontId="3" fillId="0" borderId="16" xfId="0" applyNumberFormat="1" applyFont="1" applyFill="1" applyBorder="1" applyAlignment="1" applyProtection="1">
      <protection hidden="1"/>
    </xf>
    <xf numFmtId="177" fontId="3" fillId="0" borderId="17" xfId="0" applyNumberFormat="1" applyFont="1" applyFill="1" applyBorder="1" applyAlignment="1" applyProtection="1">
      <protection hidden="1"/>
    </xf>
    <xf numFmtId="179" fontId="3" fillId="0" borderId="18" xfId="1" applyNumberFormat="1" applyFont="1" applyFill="1" applyBorder="1" applyAlignment="1" applyProtection="1">
      <protection hidden="1"/>
    </xf>
    <xf numFmtId="177" fontId="3" fillId="0" borderId="19" xfId="0" applyNumberFormat="1" applyFont="1" applyFill="1" applyBorder="1" applyAlignment="1" applyProtection="1">
      <protection hidden="1"/>
    </xf>
    <xf numFmtId="177" fontId="3" fillId="0" borderId="20" xfId="0" applyNumberFormat="1" applyFont="1" applyFill="1" applyBorder="1" applyAlignment="1" applyProtection="1">
      <protection hidden="1"/>
    </xf>
    <xf numFmtId="179" fontId="3" fillId="0" borderId="21" xfId="1" applyNumberFormat="1" applyFont="1" applyFill="1" applyBorder="1" applyAlignment="1" applyProtection="1">
      <protection hidden="1"/>
    </xf>
    <xf numFmtId="179" fontId="3" fillId="0" borderId="22" xfId="1" applyNumberFormat="1" applyFont="1" applyFill="1" applyBorder="1" applyAlignment="1" applyProtection="1">
      <protection hidden="1"/>
    </xf>
    <xf numFmtId="179" fontId="3" fillId="0" borderId="17" xfId="1" applyNumberFormat="1" applyFont="1" applyFill="1" applyBorder="1" applyAlignment="1" applyProtection="1">
      <protection hidden="1"/>
    </xf>
    <xf numFmtId="179" fontId="3" fillId="0" borderId="16" xfId="1" applyNumberFormat="1" applyFont="1" applyFill="1" applyBorder="1" applyAlignment="1" applyProtection="1">
      <protection hidden="1"/>
    </xf>
    <xf numFmtId="179" fontId="3" fillId="0" borderId="19" xfId="1" applyNumberFormat="1" applyFont="1" applyFill="1" applyBorder="1" applyAlignment="1" applyProtection="1">
      <protection hidden="1"/>
    </xf>
    <xf numFmtId="179" fontId="3" fillId="0" borderId="24" xfId="1" applyNumberFormat="1" applyFont="1" applyFill="1" applyBorder="1" applyAlignment="1" applyProtection="1">
      <protection hidden="1"/>
    </xf>
    <xf numFmtId="179" fontId="3" fillId="0" borderId="25" xfId="1" applyNumberFormat="1" applyFont="1" applyFill="1" applyBorder="1" applyAlignment="1" applyProtection="1">
      <protection hidden="1"/>
    </xf>
    <xf numFmtId="179" fontId="3" fillId="0" borderId="26" xfId="1" applyNumberFormat="1" applyFont="1" applyFill="1" applyBorder="1" applyAlignment="1" applyProtection="1">
      <protection hidden="1"/>
    </xf>
    <xf numFmtId="179" fontId="3" fillId="0" borderId="27" xfId="1" applyNumberFormat="1" applyFont="1" applyFill="1" applyBorder="1" applyAlignment="1" applyProtection="1">
      <protection hidden="1"/>
    </xf>
    <xf numFmtId="179" fontId="3" fillId="0" borderId="20" xfId="1" applyNumberFormat="1" applyFont="1" applyFill="1" applyBorder="1" applyAlignment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7" fillId="0" borderId="0" xfId="0" applyFont="1" applyFill="1" applyBorder="1" applyAlignment="1" applyProtection="1">
      <alignment horizontal="left" vertical="center"/>
      <protection hidden="1"/>
    </xf>
    <xf numFmtId="0" fontId="10" fillId="0" borderId="0" xfId="0" applyFont="1" applyFill="1" applyAlignment="1" applyProtection="1">
      <alignment vertical="center"/>
      <protection hidden="1"/>
    </xf>
    <xf numFmtId="0" fontId="8" fillId="0" borderId="0" xfId="0" applyFont="1" applyFill="1" applyBorder="1" applyAlignment="1" applyProtection="1">
      <alignment horizontal="center" vertical="top"/>
      <protection hidden="1"/>
    </xf>
    <xf numFmtId="0" fontId="14" fillId="0" borderId="0" xfId="0" applyFont="1">
      <alignment vertical="center"/>
    </xf>
    <xf numFmtId="9" fontId="14" fillId="0" borderId="0" xfId="2" applyFont="1">
      <alignment vertical="center"/>
    </xf>
    <xf numFmtId="0" fontId="2" fillId="0" borderId="0" xfId="0" applyFont="1">
      <alignment vertical="center"/>
    </xf>
    <xf numFmtId="179" fontId="16" fillId="0" borderId="0" xfId="0" applyNumberFormat="1" applyFont="1">
      <alignment vertical="center"/>
    </xf>
    <xf numFmtId="179" fontId="7" fillId="2" borderId="0" xfId="1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7" fillId="0" borderId="0" xfId="0" applyFont="1" applyProtection="1">
      <alignment vertical="center"/>
      <protection hidden="1"/>
    </xf>
    <xf numFmtId="0" fontId="14" fillId="0" borderId="0" xfId="0" applyFont="1" applyProtection="1">
      <alignment vertical="center"/>
      <protection hidden="1"/>
    </xf>
    <xf numFmtId="176" fontId="7" fillId="3" borderId="0" xfId="0" applyNumberFormat="1" applyFont="1" applyFill="1" applyBorder="1" applyAlignment="1" applyProtection="1">
      <alignment vertical="center"/>
      <protection locked="0"/>
    </xf>
    <xf numFmtId="177" fontId="3" fillId="0" borderId="18" xfId="0" applyNumberFormat="1" applyFont="1" applyFill="1" applyBorder="1" applyAlignment="1" applyProtection="1">
      <protection hidden="1"/>
    </xf>
    <xf numFmtId="177" fontId="3" fillId="0" borderId="21" xfId="0" applyNumberFormat="1" applyFont="1" applyFill="1" applyBorder="1" applyAlignment="1" applyProtection="1">
      <protection hidden="1"/>
    </xf>
    <xf numFmtId="179" fontId="3" fillId="0" borderId="32" xfId="1" applyNumberFormat="1" applyFont="1" applyFill="1" applyBorder="1" applyAlignment="1" applyProtection="1">
      <protection hidden="1"/>
    </xf>
    <xf numFmtId="177" fontId="13" fillId="3" borderId="5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9" fontId="11" fillId="0" borderId="0" xfId="2" applyFont="1">
      <alignment vertical="center"/>
    </xf>
    <xf numFmtId="0" fontId="8" fillId="0" borderId="0" xfId="0" applyFont="1">
      <alignment vertical="center"/>
    </xf>
    <xf numFmtId="179" fontId="3" fillId="0" borderId="29" xfId="1" applyNumberFormat="1" applyFont="1" applyFill="1" applyBorder="1" applyAlignment="1" applyProtection="1">
      <protection hidden="1"/>
    </xf>
    <xf numFmtId="179" fontId="3" fillId="0" borderId="30" xfId="1" applyNumberFormat="1" applyFont="1" applyFill="1" applyBorder="1" applyAlignment="1" applyProtection="1">
      <protection hidden="1"/>
    </xf>
    <xf numFmtId="179" fontId="3" fillId="0" borderId="33" xfId="1" applyNumberFormat="1" applyFont="1" applyFill="1" applyBorder="1" applyAlignment="1" applyProtection="1">
      <protection hidden="1"/>
    </xf>
    <xf numFmtId="179" fontId="3" fillId="0" borderId="34" xfId="1" applyNumberFormat="1" applyFont="1" applyFill="1" applyBorder="1" applyAlignment="1" applyProtection="1">
      <protection hidden="1"/>
    </xf>
    <xf numFmtId="177" fontId="3" fillId="0" borderId="31" xfId="0" applyNumberFormat="1" applyFont="1" applyFill="1" applyBorder="1" applyAlignment="1" applyProtection="1">
      <protection hidden="1"/>
    </xf>
    <xf numFmtId="177" fontId="3" fillId="0" borderId="37" xfId="0" applyNumberFormat="1" applyFont="1" applyFill="1" applyBorder="1" applyAlignment="1" applyProtection="1">
      <protection hidden="1"/>
    </xf>
    <xf numFmtId="179" fontId="3" fillId="0" borderId="31" xfId="1" applyNumberFormat="1" applyFont="1" applyFill="1" applyBorder="1" applyAlignment="1" applyProtection="1">
      <protection hidden="1"/>
    </xf>
    <xf numFmtId="179" fontId="3" fillId="0" borderId="36" xfId="1" applyNumberFormat="1" applyFont="1" applyFill="1" applyBorder="1" applyAlignment="1" applyProtection="1">
      <protection hidden="1"/>
    </xf>
    <xf numFmtId="179" fontId="3" fillId="0" borderId="35" xfId="1" applyNumberFormat="1" applyFont="1" applyFill="1" applyBorder="1" applyAlignment="1" applyProtection="1">
      <protection hidden="1"/>
    </xf>
    <xf numFmtId="177" fontId="13" fillId="3" borderId="7" xfId="0" applyNumberFormat="1" applyFont="1" applyFill="1" applyBorder="1" applyAlignment="1" applyProtection="1">
      <alignment horizontal="center" vertical="center"/>
      <protection hidden="1"/>
    </xf>
    <xf numFmtId="177" fontId="13" fillId="3" borderId="12" xfId="0" applyNumberFormat="1" applyFont="1" applyFill="1" applyBorder="1" applyAlignment="1" applyProtection="1">
      <alignment horizontal="center" vertical="center"/>
      <protection hidden="1"/>
    </xf>
    <xf numFmtId="177" fontId="13" fillId="3" borderId="8" xfId="0" applyNumberFormat="1" applyFont="1" applyFill="1" applyBorder="1" applyAlignment="1" applyProtection="1">
      <alignment horizontal="center" vertical="center"/>
      <protection hidden="1"/>
    </xf>
    <xf numFmtId="177" fontId="13" fillId="3" borderId="9" xfId="0" applyNumberFormat="1" applyFont="1" applyFill="1" applyBorder="1" applyAlignment="1" applyProtection="1">
      <alignment horizontal="center" vertical="center"/>
      <protection hidden="1"/>
    </xf>
    <xf numFmtId="0" fontId="18" fillId="0" borderId="38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hidden="1"/>
    </xf>
    <xf numFmtId="179" fontId="3" fillId="0" borderId="43" xfId="1" applyNumberFormat="1" applyFont="1" applyFill="1" applyBorder="1" applyAlignment="1" applyProtection="1">
      <protection hidden="1"/>
    </xf>
    <xf numFmtId="179" fontId="3" fillId="3" borderId="44" xfId="1" applyNumberFormat="1" applyFont="1" applyFill="1" applyBorder="1" applyAlignment="1" applyProtection="1">
      <protection locked="0"/>
    </xf>
    <xf numFmtId="179" fontId="3" fillId="3" borderId="17" xfId="1" applyNumberFormat="1" applyFont="1" applyFill="1" applyBorder="1" applyAlignment="1" applyProtection="1">
      <protection locked="0"/>
    </xf>
    <xf numFmtId="179" fontId="3" fillId="3" borderId="20" xfId="1" applyNumberFormat="1" applyFont="1" applyFill="1" applyBorder="1" applyAlignment="1" applyProtection="1">
      <protection locked="0"/>
    </xf>
    <xf numFmtId="177" fontId="15" fillId="3" borderId="45" xfId="0" applyNumberFormat="1" applyFont="1" applyFill="1" applyBorder="1" applyAlignment="1" applyProtection="1">
      <alignment horizontal="center" vertical="center" wrapText="1"/>
      <protection hidden="1"/>
    </xf>
    <xf numFmtId="177" fontId="15" fillId="3" borderId="46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14" xfId="0" applyNumberFormat="1" applyFont="1" applyFill="1" applyBorder="1" applyAlignment="1" applyProtection="1">
      <alignment horizontal="center" vertical="center" wrapText="1"/>
      <protection hidden="1"/>
    </xf>
    <xf numFmtId="179" fontId="3" fillId="0" borderId="44" xfId="1" applyNumberFormat="1" applyFont="1" applyFill="1" applyBorder="1" applyAlignment="1" applyProtection="1">
      <protection hidden="1"/>
    </xf>
    <xf numFmtId="177" fontId="13" fillId="3" borderId="23" xfId="0" applyNumberFormat="1" applyFont="1" applyFill="1" applyBorder="1" applyAlignment="1" applyProtection="1">
      <alignment horizontal="center" vertical="center" wrapText="1"/>
      <protection hidden="1"/>
    </xf>
    <xf numFmtId="177" fontId="15" fillId="3" borderId="24" xfId="0" applyNumberFormat="1" applyFont="1" applyFill="1" applyBorder="1" applyAlignment="1" applyProtection="1">
      <alignment horizontal="center" vertical="center" wrapText="1"/>
      <protection hidden="1"/>
    </xf>
    <xf numFmtId="179" fontId="3" fillId="3" borderId="43" xfId="1" applyNumberFormat="1" applyFont="1" applyFill="1" applyBorder="1" applyAlignment="1" applyProtection="1">
      <protection locked="0"/>
    </xf>
    <xf numFmtId="179" fontId="3" fillId="3" borderId="22" xfId="1" applyNumberFormat="1" applyFont="1" applyFill="1" applyBorder="1" applyAlignment="1" applyProtection="1">
      <protection locked="0"/>
    </xf>
    <xf numFmtId="179" fontId="3" fillId="3" borderId="24" xfId="1" applyNumberFormat="1" applyFont="1" applyFill="1" applyBorder="1" applyAlignment="1" applyProtection="1">
      <protection locked="0"/>
    </xf>
    <xf numFmtId="177" fontId="9" fillId="0" borderId="0" xfId="0" applyNumberFormat="1" applyFont="1" applyAlignment="1" applyProtection="1">
      <alignment horizontal="left" vertical="center"/>
      <protection hidden="1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 applyProtection="1">
      <alignment horizontal="center" vertical="center"/>
      <protection hidden="1"/>
    </xf>
    <xf numFmtId="9" fontId="14" fillId="0" borderId="0" xfId="2" applyFont="1" applyAlignment="1">
      <alignment horizontal="center" vertical="center"/>
    </xf>
    <xf numFmtId="9" fontId="14" fillId="0" borderId="0" xfId="0" applyNumberFormat="1" applyFont="1" applyAlignment="1" applyProtection="1">
      <alignment horizontal="center" vertical="center"/>
      <protection hidden="1"/>
    </xf>
    <xf numFmtId="177" fontId="13" fillId="3" borderId="5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6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10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77" fontId="13" fillId="3" borderId="2" xfId="0" applyNumberFormat="1" applyFont="1" applyFill="1" applyBorder="1" applyAlignment="1" applyProtection="1">
      <alignment horizontal="center"/>
      <protection hidden="1"/>
    </xf>
    <xf numFmtId="177" fontId="13" fillId="3" borderId="3" xfId="0" applyNumberFormat="1" applyFont="1" applyFill="1" applyBorder="1" applyAlignment="1" applyProtection="1">
      <alignment horizontal="center"/>
      <protection hidden="1"/>
    </xf>
    <xf numFmtId="177" fontId="13" fillId="3" borderId="4" xfId="0" applyNumberFormat="1" applyFont="1" applyFill="1" applyBorder="1" applyAlignment="1" applyProtection="1">
      <alignment horizontal="center"/>
      <protection hidden="1"/>
    </xf>
    <xf numFmtId="177" fontId="13" fillId="3" borderId="11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31" xfId="0" applyNumberFormat="1" applyFont="1" applyFill="1" applyBorder="1" applyAlignment="1" applyProtection="1">
      <alignment horizontal="center" vertical="center"/>
      <protection hidden="1"/>
    </xf>
    <xf numFmtId="177" fontId="13" fillId="3" borderId="42" xfId="0" applyNumberFormat="1" applyFont="1" applyFill="1" applyBorder="1" applyAlignment="1" applyProtection="1">
      <alignment horizontal="center" vertical="center"/>
      <protection hidden="1"/>
    </xf>
    <xf numFmtId="177" fontId="13" fillId="3" borderId="36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46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28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31" xfId="0" applyNumberFormat="1" applyFont="1" applyFill="1" applyBorder="1" applyAlignment="1" applyProtection="1">
      <alignment horizontal="center" vertical="center" wrapText="1"/>
      <protection hidden="1"/>
    </xf>
    <xf numFmtId="177" fontId="13" fillId="3" borderId="42" xfId="0" applyNumberFormat="1" applyFont="1" applyFill="1" applyBorder="1" applyAlignment="1" applyProtection="1">
      <alignment horizontal="center" vertical="center" wrapText="1"/>
      <protection hidden="1"/>
    </xf>
    <xf numFmtId="178" fontId="12" fillId="0" borderId="0" xfId="1" applyNumberFormat="1" applyFont="1" applyAlignment="1">
      <alignment vertical="center"/>
    </xf>
    <xf numFmtId="179" fontId="12" fillId="0" borderId="0" xfId="1" applyNumberFormat="1" applyFont="1" applyAlignment="1">
      <alignment vertical="center"/>
    </xf>
    <xf numFmtId="0" fontId="21" fillId="0" borderId="0" xfId="0" applyFont="1" applyAlignment="1" applyProtection="1">
      <alignment vertical="center"/>
      <protection hidden="1"/>
    </xf>
    <xf numFmtId="0" fontId="19" fillId="0" borderId="38" xfId="0" applyFont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1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T121"/>
  <sheetViews>
    <sheetView showGridLines="0" tabSelected="1" zoomScale="110" zoomScaleNormal="110" workbookViewId="0">
      <pane xSplit="5" ySplit="16" topLeftCell="F17" activePane="bottomRight" state="frozen"/>
      <selection pane="topRight" activeCell="F1" sqref="F1"/>
      <selection pane="bottomLeft" activeCell="A18" sqref="A18"/>
      <selection pane="bottomRight" activeCell="F27" sqref="F27"/>
    </sheetView>
  </sheetViews>
  <sheetFormatPr defaultRowHeight="13.5" x14ac:dyDescent="0.15"/>
  <cols>
    <col min="1" max="1" width="9" style="1"/>
    <col min="2" max="2" width="9" style="61"/>
    <col min="3" max="3" width="12.125" style="1" customWidth="1"/>
    <col min="4" max="4" width="13.125" style="1" customWidth="1"/>
    <col min="5" max="6" width="9" style="1"/>
    <col min="7" max="7" width="10.75" style="1" customWidth="1"/>
    <col min="8" max="8" width="9" style="1"/>
    <col min="9" max="9" width="12.75" style="1" customWidth="1"/>
    <col min="10" max="10" width="12.625" style="1" customWidth="1"/>
    <col min="11" max="11" width="10.375" style="1" customWidth="1"/>
    <col min="12" max="12" width="11.625" style="1" customWidth="1"/>
    <col min="13" max="13" width="12.375" style="1" customWidth="1"/>
    <col min="14" max="14" width="11.875" style="1" customWidth="1"/>
    <col min="15" max="15" width="14.5" style="1" customWidth="1"/>
    <col min="16" max="16" width="10.75" style="1" customWidth="1"/>
    <col min="17" max="17" width="10.25" style="1" customWidth="1"/>
    <col min="18" max="18" width="12.375" style="1" customWidth="1"/>
    <col min="19" max="19" width="12.125" style="1" customWidth="1"/>
    <col min="20" max="20" width="13.75" style="1" customWidth="1"/>
    <col min="21" max="16384" width="9" style="1"/>
  </cols>
  <sheetData>
    <row r="1" spans="2:20" ht="25.5" customHeight="1" x14ac:dyDescent="0.15">
      <c r="C1" s="104" t="s">
        <v>51</v>
      </c>
      <c r="D1" s="104"/>
      <c r="E1" s="104"/>
      <c r="F1" s="104"/>
      <c r="G1" s="104"/>
      <c r="H1" s="104"/>
      <c r="I1" s="104"/>
      <c r="J1" s="104"/>
      <c r="K1" s="118"/>
      <c r="L1" s="118"/>
      <c r="M1" s="61"/>
      <c r="N1" s="61"/>
      <c r="O1" s="61"/>
      <c r="P1" s="61"/>
      <c r="Q1" s="61"/>
      <c r="R1" s="61"/>
      <c r="S1" s="61"/>
      <c r="T1" s="61"/>
    </row>
    <row r="2" spans="2:20" ht="15" thickBot="1" x14ac:dyDescent="0.2">
      <c r="C2" s="2" t="s">
        <v>0</v>
      </c>
      <c r="D2" s="2"/>
      <c r="E2" s="2"/>
      <c r="F2" s="3"/>
      <c r="G2" s="2"/>
      <c r="H2" s="4"/>
      <c r="I2" s="5"/>
      <c r="J2" s="5"/>
      <c r="K2" s="45"/>
      <c r="L2" s="45"/>
      <c r="M2" s="61"/>
      <c r="N2" s="61"/>
      <c r="O2" s="61"/>
      <c r="P2" s="61"/>
      <c r="Q2" s="61"/>
      <c r="R2" s="61"/>
      <c r="S2" s="61"/>
      <c r="T2" s="61"/>
    </row>
    <row r="3" spans="2:20" ht="14.25" x14ac:dyDescent="0.15">
      <c r="B3" s="97">
        <f>VLOOKUP(F3, $O$3:$P$8, 2, 0)</f>
        <v>10</v>
      </c>
      <c r="C3" s="6" t="s">
        <v>1</v>
      </c>
      <c r="D3" s="7" t="s">
        <v>9</v>
      </c>
      <c r="E3" s="6" t="s">
        <v>36</v>
      </c>
      <c r="F3" s="7" t="s">
        <v>18</v>
      </c>
      <c r="G3" s="6" t="s">
        <v>5</v>
      </c>
      <c r="H3" s="7">
        <v>30</v>
      </c>
      <c r="I3" s="8" t="str">
        <f>IF(H3&gt;VLOOKUP(F3,保费保额表!$J$2:$K$7,2,FALSE),F3&amp;"最大投保年龄为"&amp;VLOOKUP(F3,保费保额表!$J$2:$K$7,2,FALSE)&amp;"周岁，请重新选择","")</f>
        <v/>
      </c>
      <c r="J3" s="9"/>
      <c r="K3" s="46"/>
      <c r="L3" s="46"/>
      <c r="M3" s="61"/>
      <c r="N3" s="61"/>
      <c r="O3" s="48" t="s">
        <v>16</v>
      </c>
      <c r="P3" s="48">
        <v>1</v>
      </c>
      <c r="Q3" s="48"/>
      <c r="R3" s="48">
        <v>0</v>
      </c>
      <c r="S3" s="49">
        <v>1</v>
      </c>
      <c r="T3" s="61"/>
    </row>
    <row r="4" spans="2:20" ht="15" thickBot="1" x14ac:dyDescent="0.2">
      <c r="B4" s="97" t="str">
        <f>B3&amp;"_"&amp;D3&amp;"_"&amp;H3</f>
        <v>10_男_30</v>
      </c>
      <c r="C4" s="2" t="s">
        <v>6</v>
      </c>
      <c r="D4" s="2"/>
      <c r="E4" s="2"/>
      <c r="F4" s="2"/>
      <c r="G4" s="2"/>
      <c r="H4" s="2"/>
      <c r="I4" s="2"/>
      <c r="J4" s="2"/>
      <c r="K4" s="45"/>
      <c r="L4" s="45"/>
      <c r="M4" s="61"/>
      <c r="N4" s="61"/>
      <c r="O4" s="48" t="s">
        <v>17</v>
      </c>
      <c r="P4" s="48">
        <v>3</v>
      </c>
      <c r="Q4" s="48"/>
      <c r="R4" s="48">
        <v>18</v>
      </c>
      <c r="S4" s="49">
        <v>1.6</v>
      </c>
      <c r="T4" s="61"/>
    </row>
    <row r="5" spans="2:20" ht="14.25" x14ac:dyDescent="0.15">
      <c r="B5" s="48"/>
      <c r="C5" s="10" t="s">
        <v>53</v>
      </c>
      <c r="D5" s="10"/>
      <c r="E5" s="6" t="s">
        <v>7</v>
      </c>
      <c r="F5" s="11">
        <v>100000</v>
      </c>
      <c r="G5" s="6" t="s">
        <v>28</v>
      </c>
      <c r="H5" s="12">
        <f ca="1">OFFSET(保费保额表!G1, MATCH(B4, 保费保额表!B2:B747, 0), 0)*F5/1000</f>
        <v>24300</v>
      </c>
      <c r="I5" s="6" t="s">
        <v>8</v>
      </c>
      <c r="J5" s="12">
        <f>F5*B3</f>
        <v>1000000</v>
      </c>
      <c r="K5" s="47"/>
      <c r="L5" s="47"/>
      <c r="M5" s="61"/>
      <c r="N5" s="61"/>
      <c r="O5" s="48" t="s">
        <v>10</v>
      </c>
      <c r="P5" s="48">
        <v>5</v>
      </c>
      <c r="Q5" s="48"/>
      <c r="R5" s="48">
        <v>41</v>
      </c>
      <c r="S5" s="49">
        <v>1.4</v>
      </c>
      <c r="T5" s="61"/>
    </row>
    <row r="6" spans="2:20" ht="14.25" x14ac:dyDescent="0.15">
      <c r="B6" s="48"/>
      <c r="C6" s="10"/>
      <c r="D6" s="10"/>
      <c r="E6" s="6"/>
      <c r="F6" s="12"/>
      <c r="G6" s="12"/>
      <c r="H6" s="12"/>
      <c r="I6" s="12"/>
      <c r="J6" s="12"/>
      <c r="K6" s="47"/>
      <c r="L6" s="47"/>
      <c r="M6" s="61"/>
      <c r="N6" s="61"/>
      <c r="O6" s="48" t="s">
        <v>18</v>
      </c>
      <c r="P6" s="48">
        <v>10</v>
      </c>
      <c r="Q6" s="48"/>
      <c r="R6" s="48">
        <v>61</v>
      </c>
      <c r="S6" s="49">
        <v>1.2</v>
      </c>
      <c r="T6" s="61"/>
    </row>
    <row r="7" spans="2:20" ht="14.25" x14ac:dyDescent="0.15">
      <c r="B7" s="48"/>
      <c r="C7" s="10"/>
      <c r="D7" s="10"/>
      <c r="E7" s="6"/>
      <c r="F7" s="12"/>
      <c r="G7" s="12"/>
      <c r="H7" s="12"/>
      <c r="I7" s="12"/>
      <c r="J7" s="12"/>
      <c r="K7" s="47"/>
      <c r="L7" s="47"/>
      <c r="M7" s="61"/>
      <c r="N7" s="61"/>
      <c r="O7" s="48" t="s">
        <v>19</v>
      </c>
      <c r="P7" s="48">
        <v>15</v>
      </c>
      <c r="Q7" s="48"/>
      <c r="R7" s="48"/>
      <c r="S7" s="48"/>
      <c r="T7" s="61"/>
    </row>
    <row r="8" spans="2:20" ht="14.25" x14ac:dyDescent="0.15">
      <c r="B8" s="48"/>
      <c r="C8" s="5"/>
      <c r="D8" s="5"/>
      <c r="E8" s="5"/>
      <c r="F8" s="5"/>
      <c r="G8" s="13"/>
      <c r="H8" s="14"/>
      <c r="I8" s="13"/>
      <c r="J8" s="15"/>
      <c r="K8" s="47"/>
      <c r="L8" s="47"/>
      <c r="M8" s="61"/>
      <c r="N8" s="61"/>
      <c r="O8" s="48" t="s">
        <v>4</v>
      </c>
      <c r="P8" s="48">
        <v>20</v>
      </c>
      <c r="Q8" s="48"/>
      <c r="R8" s="48"/>
      <c r="S8" s="48"/>
      <c r="T8" s="61"/>
    </row>
    <row r="9" spans="2:20" ht="14.25" x14ac:dyDescent="0.3">
      <c r="C9" s="10"/>
      <c r="D9" s="5"/>
      <c r="E9" s="16"/>
      <c r="F9" s="17"/>
      <c r="G9" s="13"/>
      <c r="H9" s="14"/>
      <c r="I9" s="13"/>
      <c r="J9" s="15"/>
      <c r="K9" s="47"/>
      <c r="L9" s="47"/>
      <c r="M9" s="61"/>
      <c r="N9" s="61"/>
      <c r="O9" s="61"/>
      <c r="P9" s="61"/>
      <c r="Q9" s="61"/>
      <c r="R9" s="61"/>
      <c r="S9" s="61"/>
      <c r="T9" s="61"/>
    </row>
    <row r="10" spans="2:20" ht="14.25" x14ac:dyDescent="0.3">
      <c r="C10" s="10"/>
      <c r="D10" s="5"/>
      <c r="E10" s="16"/>
      <c r="F10" s="17"/>
      <c r="G10" s="13"/>
      <c r="H10" s="14"/>
      <c r="I10" s="13"/>
      <c r="J10" s="15"/>
      <c r="K10" s="47"/>
      <c r="L10" s="47"/>
      <c r="M10" s="61"/>
      <c r="N10" s="61"/>
      <c r="O10" s="61"/>
      <c r="P10" s="61"/>
      <c r="Q10" s="61"/>
      <c r="R10" s="61"/>
      <c r="S10" s="61"/>
      <c r="T10" s="61"/>
    </row>
    <row r="11" spans="2:20" ht="14.25" x14ac:dyDescent="0.3">
      <c r="C11" s="10"/>
      <c r="D11" s="5"/>
      <c r="E11" s="16"/>
      <c r="F11" s="14"/>
      <c r="G11" s="13"/>
      <c r="H11" s="14"/>
      <c r="I11" s="13"/>
      <c r="J11" s="15"/>
      <c r="K11" s="47"/>
      <c r="L11" s="47"/>
      <c r="M11" s="61"/>
      <c r="N11" s="61"/>
      <c r="O11" s="61"/>
      <c r="P11" s="61"/>
      <c r="Q11" s="61"/>
      <c r="R11" s="61"/>
      <c r="S11" s="61"/>
      <c r="T11" s="61"/>
    </row>
    <row r="12" spans="2:20" ht="14.25" x14ac:dyDescent="0.3">
      <c r="C12" s="10"/>
      <c r="D12" s="5"/>
      <c r="E12" s="16"/>
      <c r="F12" s="14"/>
      <c r="G12" s="13"/>
      <c r="H12" s="14"/>
      <c r="I12" s="13"/>
      <c r="J12" s="15"/>
      <c r="K12" s="47"/>
      <c r="L12" s="47"/>
      <c r="M12" s="61"/>
      <c r="N12" s="61"/>
      <c r="O12" s="61"/>
      <c r="P12" s="61"/>
      <c r="Q12" s="61"/>
      <c r="R12" s="61"/>
      <c r="S12" s="61"/>
      <c r="T12" s="61"/>
    </row>
    <row r="15" spans="2:20" ht="14.25" x14ac:dyDescent="0.3">
      <c r="C15" s="105" t="s">
        <v>20</v>
      </c>
      <c r="D15" s="106"/>
      <c r="E15" s="107"/>
      <c r="F15" s="105" t="s">
        <v>54</v>
      </c>
      <c r="G15" s="106"/>
      <c r="H15" s="106"/>
      <c r="I15" s="106"/>
      <c r="J15" s="107"/>
    </row>
    <row r="16" spans="2:20" ht="14.25" x14ac:dyDescent="0.15">
      <c r="C16" s="101" t="s">
        <v>21</v>
      </c>
      <c r="D16" s="101" t="s">
        <v>22</v>
      </c>
      <c r="E16" s="102" t="s">
        <v>24</v>
      </c>
      <c r="F16" s="103" t="s">
        <v>25</v>
      </c>
      <c r="G16" s="22" t="s">
        <v>55</v>
      </c>
      <c r="H16" s="25" t="s">
        <v>56</v>
      </c>
      <c r="I16" s="25" t="s">
        <v>23</v>
      </c>
      <c r="J16" s="24" t="s">
        <v>57</v>
      </c>
    </row>
    <row r="17" spans="3:10" x14ac:dyDescent="0.3">
      <c r="C17" s="26">
        <v>1</v>
      </c>
      <c r="D17" s="27">
        <f>H3+1</f>
        <v>31</v>
      </c>
      <c r="E17" s="28">
        <f>IF(C17="","",IF(C17&lt;=$B$3, $F$5, 0))</f>
        <v>100000</v>
      </c>
      <c r="F17" s="40">
        <f>IF(C17="", "", SUM($E$17:E17))</f>
        <v>100000</v>
      </c>
      <c r="G17" s="35">
        <f>IF(C17="", "", IF(AND(C17&gt;=5, D17&lt;60), $H$5, 0))</f>
        <v>0</v>
      </c>
      <c r="H17" s="35">
        <f>IF(C17="", "", IF(D17&gt;=60, 2*$H$5, 0))</f>
        <v>0</v>
      </c>
      <c r="I17" s="36">
        <f ca="1">IF(C17="", "", ROUND($H$5/1000*OFFSET(现价表!$B$1, MATCH($B$4, 现价表!$B$2:$B$747, 0), C17+3), 0))</f>
        <v>38756</v>
      </c>
      <c r="J17" s="31">
        <f ca="1">IF(C17="", "", IF(D17&lt;=60, MAX(F17, I17), MAX(2*$H$5*20-SUM(H$16:H16), 0)))</f>
        <v>100000</v>
      </c>
    </row>
    <row r="18" spans="3:10" x14ac:dyDescent="0.3">
      <c r="C18" s="29">
        <f>IF(AND(C17&gt;0, C17&lt;99-$H$3), C17+1,"")</f>
        <v>2</v>
      </c>
      <c r="D18" s="30">
        <f>IF(C18="","",D17+1)</f>
        <v>32</v>
      </c>
      <c r="E18" s="31">
        <f t="shared" ref="E18:E81" si="0">IF(C18="","",IF(C18&lt;=$B$3, $F$5, 0))</f>
        <v>100000</v>
      </c>
      <c r="F18" s="41">
        <f>IF(C18="", "", SUM($E$17:E18))</f>
        <v>200000</v>
      </c>
      <c r="G18" s="35">
        <f t="shared" ref="G18:G81" si="1">IF(C18="", "", IF(AND(C18&gt;=5, D18&lt;60), $H$5, 0))</f>
        <v>0</v>
      </c>
      <c r="H18" s="35">
        <f t="shared" ref="H18:H81" si="2">IF(C18="", "", IF(D18&gt;=60, 2*$H$5, 0))</f>
        <v>0</v>
      </c>
      <c r="I18" s="36">
        <f ca="1">IF(C18="", "", ROUND($H$5/1000*OFFSET(现价表!$B$1, MATCH($B$4, 现价表!$B$2:$B$747, 0), C18+3), 0))</f>
        <v>90097</v>
      </c>
      <c r="J18" s="31">
        <f ca="1">IF(C18="", "", IF(D18&lt;=60, MAX(F18, I18), MAX(2*$H$5*20-SUM(H$16:H17), 0)))</f>
        <v>200000</v>
      </c>
    </row>
    <row r="19" spans="3:10" x14ac:dyDescent="0.3">
      <c r="C19" s="29">
        <f t="shared" ref="C19:C82" si="3">IF(AND(C18&gt;0, C18&lt;99-$H$3), C18+1,"")</f>
        <v>3</v>
      </c>
      <c r="D19" s="30">
        <f t="shared" ref="D19:D82" si="4">IF(C19="","",D18+1)</f>
        <v>33</v>
      </c>
      <c r="E19" s="31">
        <f t="shared" si="0"/>
        <v>100000</v>
      </c>
      <c r="F19" s="41">
        <f>IF(C19="", "", SUM($E$17:E19))</f>
        <v>300000</v>
      </c>
      <c r="G19" s="35">
        <f t="shared" si="1"/>
        <v>0</v>
      </c>
      <c r="H19" s="35">
        <f t="shared" si="2"/>
        <v>0</v>
      </c>
      <c r="I19" s="36">
        <f ca="1">IF(C19="", "", ROUND($H$5/1000*OFFSET(现价表!$B$1, MATCH($B$4, 现价表!$B$2:$B$747, 0), C19+3), 0))</f>
        <v>151695</v>
      </c>
      <c r="J19" s="31">
        <f ca="1">IF(C19="", "", IF(D19&lt;=60, MAX(F19, I19), MAX(2*$H$5*20-SUM(H$16:H18), 0)))</f>
        <v>300000</v>
      </c>
    </row>
    <row r="20" spans="3:10" x14ac:dyDescent="0.3">
      <c r="C20" s="29">
        <f t="shared" si="3"/>
        <v>4</v>
      </c>
      <c r="D20" s="30">
        <f t="shared" si="4"/>
        <v>34</v>
      </c>
      <c r="E20" s="31">
        <f t="shared" si="0"/>
        <v>100000</v>
      </c>
      <c r="F20" s="41">
        <f>IF(C20="", "", SUM($E$17:E20))</f>
        <v>400000</v>
      </c>
      <c r="G20" s="35">
        <f t="shared" si="1"/>
        <v>0</v>
      </c>
      <c r="H20" s="35">
        <f t="shared" si="2"/>
        <v>0</v>
      </c>
      <c r="I20" s="36">
        <f ca="1">IF(C20="", "", ROUND($H$5/1000*OFFSET(现价表!$B$1, MATCH($B$4, 现价表!$B$2:$B$747, 0), C20+3), 0))</f>
        <v>220972</v>
      </c>
      <c r="J20" s="31">
        <f ca="1">IF(C20="", "", IF(D20&lt;=60, MAX(F20, I20), MAX(2*$H$5*20-SUM(H$16:H19), 0)))</f>
        <v>400000</v>
      </c>
    </row>
    <row r="21" spans="3:10" x14ac:dyDescent="0.3">
      <c r="C21" s="29">
        <f t="shared" si="3"/>
        <v>5</v>
      </c>
      <c r="D21" s="30">
        <f t="shared" si="4"/>
        <v>35</v>
      </c>
      <c r="E21" s="31">
        <f t="shared" si="0"/>
        <v>100000</v>
      </c>
      <c r="F21" s="41">
        <f>IF(C21="", "", SUM($E$17:E21))</f>
        <v>500000</v>
      </c>
      <c r="G21" s="35">
        <f t="shared" ca="1" si="1"/>
        <v>24300</v>
      </c>
      <c r="H21" s="35">
        <f t="shared" si="2"/>
        <v>0</v>
      </c>
      <c r="I21" s="36">
        <f ca="1">IF(C21="", "", ROUND($H$5/1000*OFFSET(现价表!$B$1, MATCH($B$4, 现价表!$B$2:$B$747, 0), C21+3), 0))</f>
        <v>271992</v>
      </c>
      <c r="J21" s="31">
        <f ca="1">IF(C21="", "", IF(D21&lt;=60, MAX(F21, I21), MAX(2*$H$5*20-SUM(H$16:H20), 0)))</f>
        <v>500000</v>
      </c>
    </row>
    <row r="22" spans="3:10" x14ac:dyDescent="0.3">
      <c r="C22" s="29">
        <f t="shared" si="3"/>
        <v>6</v>
      </c>
      <c r="D22" s="30">
        <f t="shared" si="4"/>
        <v>36</v>
      </c>
      <c r="E22" s="31">
        <f t="shared" si="0"/>
        <v>100000</v>
      </c>
      <c r="F22" s="41">
        <f>IF(C22="", "", SUM($E$17:E22))</f>
        <v>600000</v>
      </c>
      <c r="G22" s="35">
        <f t="shared" ca="1" si="1"/>
        <v>24300</v>
      </c>
      <c r="H22" s="35">
        <f t="shared" si="2"/>
        <v>0</v>
      </c>
      <c r="I22" s="36">
        <f ca="1">IF(C22="", "", ROUND($H$5/1000*OFFSET(现价表!$B$1, MATCH($B$4, 现价表!$B$2:$B$747, 0), C22+3), 0))</f>
        <v>326444</v>
      </c>
      <c r="J22" s="31">
        <f ca="1">IF(C22="", "", IF(D22&lt;=60, MAX(F22, I22), MAX(2*$H$5*20-SUM(H$16:H21), 0)))</f>
        <v>600000</v>
      </c>
    </row>
    <row r="23" spans="3:10" x14ac:dyDescent="0.3">
      <c r="C23" s="29">
        <f t="shared" si="3"/>
        <v>7</v>
      </c>
      <c r="D23" s="30">
        <f t="shared" si="4"/>
        <v>37</v>
      </c>
      <c r="E23" s="31">
        <f t="shared" si="0"/>
        <v>100000</v>
      </c>
      <c r="F23" s="41">
        <f>IF(C23="", "", SUM($E$17:E23))</f>
        <v>700000</v>
      </c>
      <c r="G23" s="35">
        <f t="shared" ca="1" si="1"/>
        <v>24300</v>
      </c>
      <c r="H23" s="35">
        <f t="shared" si="2"/>
        <v>0</v>
      </c>
      <c r="I23" s="36">
        <f ca="1">IF(C23="", "", ROUND($H$5/1000*OFFSET(现价表!$B$1, MATCH($B$4, 现价表!$B$2:$B$747, 0), C23+3), 0))</f>
        <v>384518</v>
      </c>
      <c r="J23" s="31">
        <f ca="1">IF(C23="", "", IF(D23&lt;=60, MAX(F23, I23), MAX(2*$H$5*20-SUM(H$16:H22), 0)))</f>
        <v>700000</v>
      </c>
    </row>
    <row r="24" spans="3:10" x14ac:dyDescent="0.3">
      <c r="C24" s="29">
        <f t="shared" si="3"/>
        <v>8</v>
      </c>
      <c r="D24" s="30">
        <f t="shared" si="4"/>
        <v>38</v>
      </c>
      <c r="E24" s="31">
        <f t="shared" si="0"/>
        <v>100000</v>
      </c>
      <c r="F24" s="41">
        <f>IF(C24="", "", SUM($E$17:E24))</f>
        <v>800000</v>
      </c>
      <c r="G24" s="35">
        <f t="shared" ca="1" si="1"/>
        <v>24300</v>
      </c>
      <c r="H24" s="35">
        <f t="shared" si="2"/>
        <v>0</v>
      </c>
      <c r="I24" s="36">
        <f ca="1">IF(C24="", "", ROUND($H$5/1000*OFFSET(现价表!$B$1, MATCH($B$4, 现价表!$B$2:$B$747, 0), C24+3), 0))</f>
        <v>446418</v>
      </c>
      <c r="J24" s="31">
        <f ca="1">IF(C24="", "", IF(D24&lt;=60, MAX(F24, I24), MAX(2*$H$5*20-SUM(H$16:H23), 0)))</f>
        <v>800000</v>
      </c>
    </row>
    <row r="25" spans="3:10" x14ac:dyDescent="0.3">
      <c r="C25" s="29">
        <f t="shared" si="3"/>
        <v>9</v>
      </c>
      <c r="D25" s="30">
        <f t="shared" si="4"/>
        <v>39</v>
      </c>
      <c r="E25" s="31">
        <f t="shared" si="0"/>
        <v>100000</v>
      </c>
      <c r="F25" s="41">
        <f>IF(C25="", "", SUM($E$17:E25))</f>
        <v>900000</v>
      </c>
      <c r="G25" s="35">
        <f t="shared" ca="1" si="1"/>
        <v>24300</v>
      </c>
      <c r="H25" s="35">
        <f t="shared" si="2"/>
        <v>0</v>
      </c>
      <c r="I25" s="36">
        <f ca="1">IF(C25="", "", ROUND($H$5/1000*OFFSET(现价表!$B$1, MATCH($B$4, 现价表!$B$2:$B$747, 0), C25+3), 0))</f>
        <v>512353</v>
      </c>
      <c r="J25" s="31">
        <f ca="1">IF(C25="", "", IF(D25&lt;=60, MAX(F25, I25), MAX(2*$H$5*20-SUM(H$16:H24), 0)))</f>
        <v>900000</v>
      </c>
    </row>
    <row r="26" spans="3:10" x14ac:dyDescent="0.3">
      <c r="C26" s="29">
        <f t="shared" si="3"/>
        <v>10</v>
      </c>
      <c r="D26" s="30">
        <f t="shared" si="4"/>
        <v>40</v>
      </c>
      <c r="E26" s="31">
        <f t="shared" si="0"/>
        <v>100000</v>
      </c>
      <c r="F26" s="41">
        <f>IF(C26="", "", SUM($E$17:E26))</f>
        <v>1000000</v>
      </c>
      <c r="G26" s="35">
        <f t="shared" ca="1" si="1"/>
        <v>24300</v>
      </c>
      <c r="H26" s="35">
        <f t="shared" si="2"/>
        <v>0</v>
      </c>
      <c r="I26" s="36">
        <f ca="1">IF(C26="", "", ROUND($H$5/1000*OFFSET(现价表!$B$1, MATCH($B$4, 现价表!$B$2:$B$747, 0), C26+3), 0))</f>
        <v>582549</v>
      </c>
      <c r="J26" s="31">
        <f ca="1">IF(C26="", "", IF(D26&lt;=60, MAX(F26, I26), MAX(2*$H$5*20-SUM(H$16:H25), 0)))</f>
        <v>1000000</v>
      </c>
    </row>
    <row r="27" spans="3:10" x14ac:dyDescent="0.3">
      <c r="C27" s="29">
        <f t="shared" si="3"/>
        <v>11</v>
      </c>
      <c r="D27" s="30">
        <f t="shared" si="4"/>
        <v>41</v>
      </c>
      <c r="E27" s="31">
        <f t="shared" si="0"/>
        <v>0</v>
      </c>
      <c r="F27" s="41">
        <f>IF(C27="", "", SUM($E$17:E27))</f>
        <v>1000000</v>
      </c>
      <c r="G27" s="35">
        <f t="shared" ca="1" si="1"/>
        <v>24300</v>
      </c>
      <c r="H27" s="35">
        <f t="shared" si="2"/>
        <v>0</v>
      </c>
      <c r="I27" s="36">
        <f ca="1">IF(C27="", "", ROUND($H$5/1000*OFFSET(现价表!$B$1, MATCH($B$4, 现价表!$B$2:$B$747, 0), C27+3), 0))</f>
        <v>586847</v>
      </c>
      <c r="J27" s="31">
        <f ca="1">IF(C27="", "", IF(D27&lt;=60, MAX(F27, I27), MAX(2*$H$5*20-SUM(H$16:H26), 0)))</f>
        <v>1000000</v>
      </c>
    </row>
    <row r="28" spans="3:10" x14ac:dyDescent="0.3">
      <c r="C28" s="29">
        <f t="shared" si="3"/>
        <v>12</v>
      </c>
      <c r="D28" s="30">
        <f t="shared" si="4"/>
        <v>42</v>
      </c>
      <c r="E28" s="31">
        <f t="shared" si="0"/>
        <v>0</v>
      </c>
      <c r="F28" s="41">
        <f>IF(C28="", "", SUM($E$17:E28))</f>
        <v>1000000</v>
      </c>
      <c r="G28" s="35">
        <f t="shared" ca="1" si="1"/>
        <v>24300</v>
      </c>
      <c r="H28" s="35">
        <f t="shared" si="2"/>
        <v>0</v>
      </c>
      <c r="I28" s="36">
        <f ca="1">IF(C28="", "", ROUND($H$5/1000*OFFSET(现价表!$B$1, MATCH($B$4, 现价表!$B$2:$B$747, 0), C28+3), 0))</f>
        <v>591321</v>
      </c>
      <c r="J28" s="31">
        <f ca="1">IF(C28="", "", IF(D28&lt;=60, MAX(F28, I28), MAX(2*$H$5*20-SUM(H$16:H27), 0)))</f>
        <v>1000000</v>
      </c>
    </row>
    <row r="29" spans="3:10" x14ac:dyDescent="0.3">
      <c r="C29" s="29">
        <f t="shared" si="3"/>
        <v>13</v>
      </c>
      <c r="D29" s="30">
        <f t="shared" si="4"/>
        <v>43</v>
      </c>
      <c r="E29" s="31">
        <f t="shared" si="0"/>
        <v>0</v>
      </c>
      <c r="F29" s="41">
        <f>IF(C29="", "", SUM($E$17:E29))</f>
        <v>1000000</v>
      </c>
      <c r="G29" s="35">
        <f t="shared" ca="1" si="1"/>
        <v>24300</v>
      </c>
      <c r="H29" s="35">
        <f t="shared" si="2"/>
        <v>0</v>
      </c>
      <c r="I29" s="36">
        <f ca="1">IF(C29="", "", ROUND($H$5/1000*OFFSET(现价表!$B$1, MATCH($B$4, 现价表!$B$2:$B$747, 0), C29+3), 0))</f>
        <v>595977</v>
      </c>
      <c r="J29" s="31">
        <f ca="1">IF(C29="", "", IF(D29&lt;=60, MAX(F29, I29), MAX(2*$H$5*20-SUM(H$16:H28), 0)))</f>
        <v>1000000</v>
      </c>
    </row>
    <row r="30" spans="3:10" x14ac:dyDescent="0.3">
      <c r="C30" s="29">
        <f t="shared" si="3"/>
        <v>14</v>
      </c>
      <c r="D30" s="30">
        <f t="shared" si="4"/>
        <v>44</v>
      </c>
      <c r="E30" s="31">
        <f t="shared" si="0"/>
        <v>0</v>
      </c>
      <c r="F30" s="41">
        <f>IF(C30="", "", SUM($E$17:E30))</f>
        <v>1000000</v>
      </c>
      <c r="G30" s="35">
        <f t="shared" ca="1" si="1"/>
        <v>24300</v>
      </c>
      <c r="H30" s="35">
        <f t="shared" si="2"/>
        <v>0</v>
      </c>
      <c r="I30" s="36">
        <f ca="1">IF(C30="", "", ROUND($H$5/1000*OFFSET(现价表!$B$1, MATCH($B$4, 现价表!$B$2:$B$747, 0), C30+3), 0))</f>
        <v>600818</v>
      </c>
      <c r="J30" s="31">
        <f ca="1">IF(C30="", "", IF(D30&lt;=60, MAX(F30, I30), MAX(2*$H$5*20-SUM(H$16:H29), 0)))</f>
        <v>1000000</v>
      </c>
    </row>
    <row r="31" spans="3:10" x14ac:dyDescent="0.3">
      <c r="C31" s="29">
        <f t="shared" si="3"/>
        <v>15</v>
      </c>
      <c r="D31" s="30">
        <f t="shared" si="4"/>
        <v>45</v>
      </c>
      <c r="E31" s="31">
        <f t="shared" si="0"/>
        <v>0</v>
      </c>
      <c r="F31" s="41">
        <f>IF(C31="", "", SUM($E$17:E31))</f>
        <v>1000000</v>
      </c>
      <c r="G31" s="35">
        <f t="shared" ca="1" si="1"/>
        <v>24300</v>
      </c>
      <c r="H31" s="35">
        <f t="shared" si="2"/>
        <v>0</v>
      </c>
      <c r="I31" s="36">
        <f ca="1">IF(C31="", "", ROUND($H$5/1000*OFFSET(现价表!$B$1, MATCH($B$4, 现价表!$B$2:$B$747, 0), C31+3), 0))</f>
        <v>605855</v>
      </c>
      <c r="J31" s="31">
        <f ca="1">IF(C31="", "", IF(D31&lt;=60, MAX(F31, I31), MAX(2*$H$5*20-SUM(H$16:H30), 0)))</f>
        <v>1000000</v>
      </c>
    </row>
    <row r="32" spans="3:10" x14ac:dyDescent="0.3">
      <c r="C32" s="29">
        <f t="shared" si="3"/>
        <v>16</v>
      </c>
      <c r="D32" s="30">
        <f t="shared" si="4"/>
        <v>46</v>
      </c>
      <c r="E32" s="31">
        <f t="shared" si="0"/>
        <v>0</v>
      </c>
      <c r="F32" s="41">
        <f>IF(C32="", "", SUM($E$17:E32))</f>
        <v>1000000</v>
      </c>
      <c r="G32" s="35">
        <f t="shared" ca="1" si="1"/>
        <v>24300</v>
      </c>
      <c r="H32" s="35">
        <f t="shared" si="2"/>
        <v>0</v>
      </c>
      <c r="I32" s="36">
        <f ca="1">IF(C32="", "", ROUND($H$5/1000*OFFSET(现价表!$B$1, MATCH($B$4, 现价表!$B$2:$B$747, 0), C32+3), 0))</f>
        <v>611092</v>
      </c>
      <c r="J32" s="31">
        <f ca="1">IF(C32="", "", IF(D32&lt;=60, MAX(F32, I32), MAX(2*$H$5*20-SUM(H$16:H31), 0)))</f>
        <v>1000000</v>
      </c>
    </row>
    <row r="33" spans="3:10" x14ac:dyDescent="0.3">
      <c r="C33" s="29">
        <f t="shared" si="3"/>
        <v>17</v>
      </c>
      <c r="D33" s="30">
        <f t="shared" si="4"/>
        <v>47</v>
      </c>
      <c r="E33" s="31">
        <f t="shared" si="0"/>
        <v>0</v>
      </c>
      <c r="F33" s="41">
        <f>IF(C33="", "", SUM($E$17:E33))</f>
        <v>1000000</v>
      </c>
      <c r="G33" s="35">
        <f t="shared" ca="1" si="1"/>
        <v>24300</v>
      </c>
      <c r="H33" s="35">
        <f t="shared" si="2"/>
        <v>0</v>
      </c>
      <c r="I33" s="36">
        <f ca="1">IF(C33="", "", ROUND($H$5/1000*OFFSET(现价表!$B$1, MATCH($B$4, 现价表!$B$2:$B$747, 0), C33+3), 0))</f>
        <v>616535</v>
      </c>
      <c r="J33" s="31">
        <f ca="1">IF(C33="", "", IF(D33&lt;=60, MAX(F33, I33), MAX(2*$H$5*20-SUM(H$16:H32), 0)))</f>
        <v>1000000</v>
      </c>
    </row>
    <row r="34" spans="3:10" x14ac:dyDescent="0.3">
      <c r="C34" s="29">
        <f t="shared" si="3"/>
        <v>18</v>
      </c>
      <c r="D34" s="30">
        <f t="shared" si="4"/>
        <v>48</v>
      </c>
      <c r="E34" s="31">
        <f t="shared" si="0"/>
        <v>0</v>
      </c>
      <c r="F34" s="41">
        <f>IF(C34="", "", SUM($E$17:E34))</f>
        <v>1000000</v>
      </c>
      <c r="G34" s="35">
        <f t="shared" ca="1" si="1"/>
        <v>24300</v>
      </c>
      <c r="H34" s="35">
        <f t="shared" si="2"/>
        <v>0</v>
      </c>
      <c r="I34" s="36">
        <f ca="1">IF(C34="", "", ROUND($H$5/1000*OFFSET(现价表!$B$1, MATCH($B$4, 现价表!$B$2:$B$747, 0), C34+3), 0))</f>
        <v>622194</v>
      </c>
      <c r="J34" s="31">
        <f ca="1">IF(C34="", "", IF(D34&lt;=60, MAX(F34, I34), MAX(2*$H$5*20-SUM(H$16:H33), 0)))</f>
        <v>1000000</v>
      </c>
    </row>
    <row r="35" spans="3:10" x14ac:dyDescent="0.3">
      <c r="C35" s="29">
        <f t="shared" si="3"/>
        <v>19</v>
      </c>
      <c r="D35" s="30">
        <f t="shared" si="4"/>
        <v>49</v>
      </c>
      <c r="E35" s="31">
        <f t="shared" si="0"/>
        <v>0</v>
      </c>
      <c r="F35" s="41">
        <f>IF(C35="", "", SUM($E$17:E35))</f>
        <v>1000000</v>
      </c>
      <c r="G35" s="35">
        <f t="shared" ca="1" si="1"/>
        <v>24300</v>
      </c>
      <c r="H35" s="35">
        <f t="shared" si="2"/>
        <v>0</v>
      </c>
      <c r="I35" s="36">
        <f ca="1">IF(C35="", "", ROUND($H$5/1000*OFFSET(现价表!$B$1, MATCH($B$4, 现价表!$B$2:$B$747, 0), C35+3), 0))</f>
        <v>628075</v>
      </c>
      <c r="J35" s="31">
        <f ca="1">IF(C35="", "", IF(D35&lt;=60, MAX(F35, I35), MAX(2*$H$5*20-SUM(H$16:H34), 0)))</f>
        <v>1000000</v>
      </c>
    </row>
    <row r="36" spans="3:10" x14ac:dyDescent="0.3">
      <c r="C36" s="29">
        <f t="shared" si="3"/>
        <v>20</v>
      </c>
      <c r="D36" s="30">
        <f t="shared" si="4"/>
        <v>50</v>
      </c>
      <c r="E36" s="31">
        <f t="shared" si="0"/>
        <v>0</v>
      </c>
      <c r="F36" s="41">
        <f>IF(C36="", "", SUM($E$17:E36))</f>
        <v>1000000</v>
      </c>
      <c r="G36" s="35">
        <f t="shared" ca="1" si="1"/>
        <v>24300</v>
      </c>
      <c r="H36" s="35">
        <f t="shared" si="2"/>
        <v>0</v>
      </c>
      <c r="I36" s="36">
        <f ca="1">IF(C36="", "", ROUND($H$5/1000*OFFSET(现价表!$B$1, MATCH($B$4, 现价表!$B$2:$B$747, 0), C36+3), 0))</f>
        <v>634189</v>
      </c>
      <c r="J36" s="31">
        <f ca="1">IF(C36="", "", IF(D36&lt;=60, MAX(F36, I36), MAX(2*$H$5*20-SUM(H$16:H35), 0)))</f>
        <v>1000000</v>
      </c>
    </row>
    <row r="37" spans="3:10" x14ac:dyDescent="0.3">
      <c r="C37" s="29">
        <f t="shared" si="3"/>
        <v>21</v>
      </c>
      <c r="D37" s="30">
        <f t="shared" si="4"/>
        <v>51</v>
      </c>
      <c r="E37" s="31">
        <f t="shared" si="0"/>
        <v>0</v>
      </c>
      <c r="F37" s="41">
        <f>IF(C37="", "", SUM($E$17:E37))</f>
        <v>1000000</v>
      </c>
      <c r="G37" s="35">
        <f t="shared" ca="1" si="1"/>
        <v>24300</v>
      </c>
      <c r="H37" s="35">
        <f t="shared" si="2"/>
        <v>0</v>
      </c>
      <c r="I37" s="36">
        <f ca="1">IF(C37="", "", ROUND($H$5/1000*OFFSET(现价表!$B$1, MATCH($B$4, 现价表!$B$2:$B$747, 0), C37+3), 0))</f>
        <v>640543</v>
      </c>
      <c r="J37" s="31">
        <f ca="1">IF(C37="", "", IF(D37&lt;=60, MAX(F37, I37), MAX(2*$H$5*20-SUM(H$16:H36), 0)))</f>
        <v>1000000</v>
      </c>
    </row>
    <row r="38" spans="3:10" x14ac:dyDescent="0.3">
      <c r="C38" s="29">
        <f t="shared" si="3"/>
        <v>22</v>
      </c>
      <c r="D38" s="30">
        <f t="shared" si="4"/>
        <v>52</v>
      </c>
      <c r="E38" s="31">
        <f t="shared" si="0"/>
        <v>0</v>
      </c>
      <c r="F38" s="41">
        <f>IF(C38="", "", SUM($E$17:E38))</f>
        <v>1000000</v>
      </c>
      <c r="G38" s="35">
        <f t="shared" ca="1" si="1"/>
        <v>24300</v>
      </c>
      <c r="H38" s="35">
        <f t="shared" si="2"/>
        <v>0</v>
      </c>
      <c r="I38" s="36">
        <f ca="1">IF(C38="", "", ROUND($H$5/1000*OFFSET(现价表!$B$1, MATCH($B$4, 现价表!$B$2:$B$747, 0), C38+3), 0))</f>
        <v>647150</v>
      </c>
      <c r="J38" s="31">
        <f ca="1">IF(C38="", "", IF(D38&lt;=60, MAX(F38, I38), MAX(2*$H$5*20-SUM(H$16:H37), 0)))</f>
        <v>1000000</v>
      </c>
    </row>
    <row r="39" spans="3:10" x14ac:dyDescent="0.3">
      <c r="C39" s="29">
        <f t="shared" si="3"/>
        <v>23</v>
      </c>
      <c r="D39" s="30">
        <f t="shared" si="4"/>
        <v>53</v>
      </c>
      <c r="E39" s="31">
        <f t="shared" si="0"/>
        <v>0</v>
      </c>
      <c r="F39" s="41">
        <f>IF(C39="", "", SUM($E$17:E39))</f>
        <v>1000000</v>
      </c>
      <c r="G39" s="35">
        <f t="shared" ca="1" si="1"/>
        <v>24300</v>
      </c>
      <c r="H39" s="35">
        <f t="shared" si="2"/>
        <v>0</v>
      </c>
      <c r="I39" s="36">
        <f ca="1">IF(C39="", "", ROUND($H$5/1000*OFFSET(现价表!$B$1, MATCH($B$4, 现价表!$B$2:$B$747, 0), C39+3), 0))</f>
        <v>654015</v>
      </c>
      <c r="J39" s="31">
        <f ca="1">IF(C39="", "", IF(D39&lt;=60, MAX(F39, I39), MAX(2*$H$5*20-SUM(H$16:H38), 0)))</f>
        <v>1000000</v>
      </c>
    </row>
    <row r="40" spans="3:10" x14ac:dyDescent="0.3">
      <c r="C40" s="29">
        <f t="shared" si="3"/>
        <v>24</v>
      </c>
      <c r="D40" s="30">
        <f t="shared" si="4"/>
        <v>54</v>
      </c>
      <c r="E40" s="31">
        <f t="shared" si="0"/>
        <v>0</v>
      </c>
      <c r="F40" s="41">
        <f>IF(C40="", "", SUM($E$17:E40))</f>
        <v>1000000</v>
      </c>
      <c r="G40" s="35">
        <f t="shared" ca="1" si="1"/>
        <v>24300</v>
      </c>
      <c r="H40" s="35">
        <f t="shared" si="2"/>
        <v>0</v>
      </c>
      <c r="I40" s="36">
        <f ca="1">IF(C40="", "", ROUND($H$5/1000*OFFSET(现价表!$B$1, MATCH($B$4, 现价表!$B$2:$B$747, 0), C40+3), 0))</f>
        <v>661154</v>
      </c>
      <c r="J40" s="31">
        <f ca="1">IF(C40="", "", IF(D40&lt;=60, MAX(F40, I40), MAX(2*$H$5*20-SUM(H$16:H39), 0)))</f>
        <v>1000000</v>
      </c>
    </row>
    <row r="41" spans="3:10" x14ac:dyDescent="0.3">
      <c r="C41" s="29">
        <f t="shared" si="3"/>
        <v>25</v>
      </c>
      <c r="D41" s="30">
        <f t="shared" si="4"/>
        <v>55</v>
      </c>
      <c r="E41" s="31">
        <f t="shared" si="0"/>
        <v>0</v>
      </c>
      <c r="F41" s="41">
        <f>IF(C41="", "", SUM($E$17:E41))</f>
        <v>1000000</v>
      </c>
      <c r="G41" s="35">
        <f t="shared" ca="1" si="1"/>
        <v>24300</v>
      </c>
      <c r="H41" s="35">
        <f t="shared" si="2"/>
        <v>0</v>
      </c>
      <c r="I41" s="36">
        <f ca="1">IF(C41="", "", ROUND($H$5/1000*OFFSET(现价表!$B$1, MATCH($B$4, 现价表!$B$2:$B$747, 0), C41+3), 0))</f>
        <v>668580</v>
      </c>
      <c r="J41" s="31">
        <f ca="1">IF(C41="", "", IF(D41&lt;=60, MAX(F41, I41), MAX(2*$H$5*20-SUM(H$16:H40), 0)))</f>
        <v>1000000</v>
      </c>
    </row>
    <row r="42" spans="3:10" x14ac:dyDescent="0.3">
      <c r="C42" s="29">
        <f t="shared" si="3"/>
        <v>26</v>
      </c>
      <c r="D42" s="30">
        <f t="shared" si="4"/>
        <v>56</v>
      </c>
      <c r="E42" s="31">
        <f t="shared" si="0"/>
        <v>0</v>
      </c>
      <c r="F42" s="41">
        <f>IF(C42="", "", SUM($E$17:E42))</f>
        <v>1000000</v>
      </c>
      <c r="G42" s="35">
        <f t="shared" ca="1" si="1"/>
        <v>24300</v>
      </c>
      <c r="H42" s="35">
        <f t="shared" si="2"/>
        <v>0</v>
      </c>
      <c r="I42" s="36">
        <f ca="1">IF(C42="", "", ROUND($H$5/1000*OFFSET(现价表!$B$1, MATCH($B$4, 现价表!$B$2:$B$747, 0), C42+3), 0))</f>
        <v>676303</v>
      </c>
      <c r="J42" s="31">
        <f ca="1">IF(C42="", "", IF(D42&lt;=60, MAX(F42, I42), MAX(2*$H$5*20-SUM(H$16:H41), 0)))</f>
        <v>1000000</v>
      </c>
    </row>
    <row r="43" spans="3:10" x14ac:dyDescent="0.3">
      <c r="C43" s="29">
        <f t="shared" si="3"/>
        <v>27</v>
      </c>
      <c r="D43" s="30">
        <f t="shared" si="4"/>
        <v>57</v>
      </c>
      <c r="E43" s="31">
        <f t="shared" si="0"/>
        <v>0</v>
      </c>
      <c r="F43" s="41">
        <f>IF(C43="", "", SUM($E$17:E43))</f>
        <v>1000000</v>
      </c>
      <c r="G43" s="35">
        <f t="shared" ca="1" si="1"/>
        <v>24300</v>
      </c>
      <c r="H43" s="35">
        <f t="shared" si="2"/>
        <v>0</v>
      </c>
      <c r="I43" s="36">
        <f ca="1">IF(C43="", "", ROUND($H$5/1000*OFFSET(现价表!$B$1, MATCH($B$4, 现价表!$B$2:$B$747, 0), C43+3), 0))</f>
        <v>684341</v>
      </c>
      <c r="J43" s="31">
        <f ca="1">IF(C43="", "", IF(D43&lt;=60, MAX(F43, I43), MAX(2*$H$5*20-SUM(H$16:H42), 0)))</f>
        <v>1000000</v>
      </c>
    </row>
    <row r="44" spans="3:10" x14ac:dyDescent="0.3">
      <c r="C44" s="29">
        <f t="shared" si="3"/>
        <v>28</v>
      </c>
      <c r="D44" s="30">
        <f t="shared" si="4"/>
        <v>58</v>
      </c>
      <c r="E44" s="31">
        <f t="shared" si="0"/>
        <v>0</v>
      </c>
      <c r="F44" s="41">
        <f>IF(C44="", "", SUM($E$17:E44))</f>
        <v>1000000</v>
      </c>
      <c r="G44" s="35">
        <f t="shared" ca="1" si="1"/>
        <v>24300</v>
      </c>
      <c r="H44" s="35">
        <f t="shared" si="2"/>
        <v>0</v>
      </c>
      <c r="I44" s="36">
        <f ca="1">IF(C44="", "", ROUND($H$5/1000*OFFSET(现价表!$B$1, MATCH($B$4, 现价表!$B$2:$B$747, 0), C44+3), 0))</f>
        <v>692706</v>
      </c>
      <c r="J44" s="31">
        <f ca="1">IF(C44="", "", IF(D44&lt;=60, MAX(F44, I44), MAX(2*$H$5*20-SUM(H$16:H43), 0)))</f>
        <v>1000000</v>
      </c>
    </row>
    <row r="45" spans="3:10" x14ac:dyDescent="0.3">
      <c r="C45" s="29">
        <f t="shared" si="3"/>
        <v>29</v>
      </c>
      <c r="D45" s="30">
        <f t="shared" si="4"/>
        <v>59</v>
      </c>
      <c r="E45" s="31">
        <f t="shared" si="0"/>
        <v>0</v>
      </c>
      <c r="F45" s="41">
        <f>IF(C45="", "", SUM($E$17:E45))</f>
        <v>1000000</v>
      </c>
      <c r="G45" s="35">
        <f t="shared" ca="1" si="1"/>
        <v>24300</v>
      </c>
      <c r="H45" s="35">
        <f t="shared" si="2"/>
        <v>0</v>
      </c>
      <c r="I45" s="36">
        <f ca="1">IF(C45="", "", ROUND($H$5/1000*OFFSET(现价表!$B$1, MATCH($B$4, 现价表!$B$2:$B$747, 0), C45+3), 0))</f>
        <v>701412</v>
      </c>
      <c r="J45" s="31">
        <f ca="1">IF(C45="", "", IF(D45&lt;=60, MAX(F45, I45), MAX(2*$H$5*20-SUM(H$16:H44), 0)))</f>
        <v>1000000</v>
      </c>
    </row>
    <row r="46" spans="3:10" x14ac:dyDescent="0.3">
      <c r="C46" s="29">
        <f t="shared" si="3"/>
        <v>30</v>
      </c>
      <c r="D46" s="30">
        <f t="shared" si="4"/>
        <v>60</v>
      </c>
      <c r="E46" s="31">
        <f t="shared" si="0"/>
        <v>0</v>
      </c>
      <c r="F46" s="41">
        <f>IF(C46="", "", SUM($E$17:E46))</f>
        <v>1000000</v>
      </c>
      <c r="G46" s="35">
        <f t="shared" si="1"/>
        <v>0</v>
      </c>
      <c r="H46" s="35">
        <f t="shared" ca="1" si="2"/>
        <v>48600</v>
      </c>
      <c r="I46" s="36">
        <f ca="1">IF(C46="", "", ROUND($H$5/1000*OFFSET(现价表!$B$1, MATCH($B$4, 现价表!$B$2:$B$747, 0), C46+3), 0))</f>
        <v>686183</v>
      </c>
      <c r="J46" s="31">
        <f ca="1">IF(C46="", "", IF(D46&lt;=60, MAX(F46, I46), MAX(2*$H$5*20-SUM(H$16:H45), 0)))</f>
        <v>1000000</v>
      </c>
    </row>
    <row r="47" spans="3:10" x14ac:dyDescent="0.3">
      <c r="C47" s="29">
        <f t="shared" si="3"/>
        <v>31</v>
      </c>
      <c r="D47" s="30">
        <f t="shared" si="4"/>
        <v>61</v>
      </c>
      <c r="E47" s="31">
        <f t="shared" si="0"/>
        <v>0</v>
      </c>
      <c r="F47" s="41">
        <f>IF(C47="", "", SUM($E$17:E47))</f>
        <v>1000000</v>
      </c>
      <c r="G47" s="35">
        <f t="shared" si="1"/>
        <v>0</v>
      </c>
      <c r="H47" s="35">
        <f t="shared" ca="1" si="2"/>
        <v>48600</v>
      </c>
      <c r="I47" s="36">
        <f ca="1">IF(C47="", "", ROUND($H$5/1000*OFFSET(现价表!$B$1, MATCH($B$4, 现价表!$B$2:$B$747, 0), C47+3), 0))</f>
        <v>0</v>
      </c>
      <c r="J47" s="31">
        <f ca="1">IF(C47="", "", IF(D47&lt;=60, MAX(F47, I47), MAX(2*$H$5*20-SUM(H$16:H46), 0)))</f>
        <v>923400</v>
      </c>
    </row>
    <row r="48" spans="3:10" x14ac:dyDescent="0.3">
      <c r="C48" s="29">
        <f t="shared" si="3"/>
        <v>32</v>
      </c>
      <c r="D48" s="30">
        <f t="shared" si="4"/>
        <v>62</v>
      </c>
      <c r="E48" s="31">
        <f t="shared" si="0"/>
        <v>0</v>
      </c>
      <c r="F48" s="41">
        <f>IF(C48="", "", SUM($E$17:E48))</f>
        <v>1000000</v>
      </c>
      <c r="G48" s="35">
        <f t="shared" si="1"/>
        <v>0</v>
      </c>
      <c r="H48" s="35">
        <f t="shared" ca="1" si="2"/>
        <v>48600</v>
      </c>
      <c r="I48" s="36">
        <f ca="1">IF(C48="", "", ROUND($H$5/1000*OFFSET(现价表!$B$1, MATCH($B$4, 现价表!$B$2:$B$747, 0), C48+3), 0))</f>
        <v>0</v>
      </c>
      <c r="J48" s="31">
        <f ca="1">IF(C48="", "", IF(D48&lt;=60, MAX(F48, I48), MAX(2*$H$5*20-SUM(H$16:H47), 0)))</f>
        <v>874800</v>
      </c>
    </row>
    <row r="49" spans="3:10" x14ac:dyDescent="0.3">
      <c r="C49" s="29">
        <f t="shared" si="3"/>
        <v>33</v>
      </c>
      <c r="D49" s="30">
        <f t="shared" si="4"/>
        <v>63</v>
      </c>
      <c r="E49" s="31">
        <f t="shared" si="0"/>
        <v>0</v>
      </c>
      <c r="F49" s="41">
        <f>IF(C49="", "", SUM($E$17:E49))</f>
        <v>1000000</v>
      </c>
      <c r="G49" s="35">
        <f t="shared" si="1"/>
        <v>0</v>
      </c>
      <c r="H49" s="35">
        <f t="shared" ca="1" si="2"/>
        <v>48600</v>
      </c>
      <c r="I49" s="36">
        <f ca="1">IF(C49="", "", ROUND($H$5/1000*OFFSET(现价表!$B$1, MATCH($B$4, 现价表!$B$2:$B$747, 0), C49+3), 0))</f>
        <v>0</v>
      </c>
      <c r="J49" s="31">
        <f ca="1">IF(C49="", "", IF(D49&lt;=60, MAX(F49, I49), MAX(2*$H$5*20-SUM(H$16:H48), 0)))</f>
        <v>826200</v>
      </c>
    </row>
    <row r="50" spans="3:10" x14ac:dyDescent="0.3">
      <c r="C50" s="29">
        <f t="shared" si="3"/>
        <v>34</v>
      </c>
      <c r="D50" s="30">
        <f t="shared" si="4"/>
        <v>64</v>
      </c>
      <c r="E50" s="31">
        <f t="shared" si="0"/>
        <v>0</v>
      </c>
      <c r="F50" s="41">
        <f>IF(C50="", "", SUM($E$17:E50))</f>
        <v>1000000</v>
      </c>
      <c r="G50" s="35">
        <f t="shared" si="1"/>
        <v>0</v>
      </c>
      <c r="H50" s="35">
        <f t="shared" ca="1" si="2"/>
        <v>48600</v>
      </c>
      <c r="I50" s="36">
        <f ca="1">IF(C50="", "", ROUND($H$5/1000*OFFSET(现价表!$B$1, MATCH($B$4, 现价表!$B$2:$B$747, 0), C50+3), 0))</f>
        <v>0</v>
      </c>
      <c r="J50" s="31">
        <f ca="1">IF(C50="", "", IF(D50&lt;=60, MAX(F50, I50), MAX(2*$H$5*20-SUM(H$16:H49), 0)))</f>
        <v>777600</v>
      </c>
    </row>
    <row r="51" spans="3:10" x14ac:dyDescent="0.3">
      <c r="C51" s="29">
        <f t="shared" si="3"/>
        <v>35</v>
      </c>
      <c r="D51" s="30">
        <f t="shared" si="4"/>
        <v>65</v>
      </c>
      <c r="E51" s="31">
        <f t="shared" si="0"/>
        <v>0</v>
      </c>
      <c r="F51" s="41">
        <f>IF(C51="", "", SUM($E$17:E51))</f>
        <v>1000000</v>
      </c>
      <c r="G51" s="35">
        <f t="shared" si="1"/>
        <v>0</v>
      </c>
      <c r="H51" s="35">
        <f t="shared" ca="1" si="2"/>
        <v>48600</v>
      </c>
      <c r="I51" s="36">
        <f ca="1">IF(C51="", "", ROUND($H$5/1000*OFFSET(现价表!$B$1, MATCH($B$4, 现价表!$B$2:$B$747, 0), C51+3), 0))</f>
        <v>0</v>
      </c>
      <c r="J51" s="31">
        <f ca="1">IF(C51="", "", IF(D51&lt;=60, MAX(F51, I51), MAX(2*$H$5*20-SUM(H$16:H50), 0)))</f>
        <v>729000</v>
      </c>
    </row>
    <row r="52" spans="3:10" x14ac:dyDescent="0.3">
      <c r="C52" s="29">
        <f t="shared" si="3"/>
        <v>36</v>
      </c>
      <c r="D52" s="30">
        <f t="shared" si="4"/>
        <v>66</v>
      </c>
      <c r="E52" s="31">
        <f t="shared" si="0"/>
        <v>0</v>
      </c>
      <c r="F52" s="41">
        <f>IF(C52="", "", SUM($E$17:E52))</f>
        <v>1000000</v>
      </c>
      <c r="G52" s="35">
        <f t="shared" si="1"/>
        <v>0</v>
      </c>
      <c r="H52" s="35">
        <f t="shared" ca="1" si="2"/>
        <v>48600</v>
      </c>
      <c r="I52" s="36">
        <f ca="1">IF(C52="", "", ROUND($H$5/1000*OFFSET(现价表!$B$1, MATCH($B$4, 现价表!$B$2:$B$747, 0), C52+3), 0))</f>
        <v>0</v>
      </c>
      <c r="J52" s="31">
        <f ca="1">IF(C52="", "", IF(D52&lt;=60, MAX(F52, I52), MAX(2*$H$5*20-SUM(H$16:H51), 0)))</f>
        <v>680400</v>
      </c>
    </row>
    <row r="53" spans="3:10" x14ac:dyDescent="0.3">
      <c r="C53" s="29">
        <f t="shared" si="3"/>
        <v>37</v>
      </c>
      <c r="D53" s="30">
        <f t="shared" si="4"/>
        <v>67</v>
      </c>
      <c r="E53" s="31">
        <f t="shared" si="0"/>
        <v>0</v>
      </c>
      <c r="F53" s="41">
        <f>IF(C53="", "", SUM($E$17:E53))</f>
        <v>1000000</v>
      </c>
      <c r="G53" s="35">
        <f t="shared" si="1"/>
        <v>0</v>
      </c>
      <c r="H53" s="35">
        <f t="shared" ca="1" si="2"/>
        <v>48600</v>
      </c>
      <c r="I53" s="36">
        <f ca="1">IF(C53="", "", ROUND($H$5/1000*OFFSET(现价表!$B$1, MATCH($B$4, 现价表!$B$2:$B$747, 0), C53+3), 0))</f>
        <v>0</v>
      </c>
      <c r="J53" s="31">
        <f ca="1">IF(C53="", "", IF(D53&lt;=60, MAX(F53, I53), MAX(2*$H$5*20-SUM(H$16:H52), 0)))</f>
        <v>631800</v>
      </c>
    </row>
    <row r="54" spans="3:10" x14ac:dyDescent="0.3">
      <c r="C54" s="29">
        <f t="shared" si="3"/>
        <v>38</v>
      </c>
      <c r="D54" s="30">
        <f t="shared" si="4"/>
        <v>68</v>
      </c>
      <c r="E54" s="31">
        <f t="shared" si="0"/>
        <v>0</v>
      </c>
      <c r="F54" s="41">
        <f>IF(C54="", "", SUM($E$17:E54))</f>
        <v>1000000</v>
      </c>
      <c r="G54" s="35">
        <f t="shared" si="1"/>
        <v>0</v>
      </c>
      <c r="H54" s="35">
        <f t="shared" ca="1" si="2"/>
        <v>48600</v>
      </c>
      <c r="I54" s="36">
        <f ca="1">IF(C54="", "", ROUND($H$5/1000*OFFSET(现价表!$B$1, MATCH($B$4, 现价表!$B$2:$B$747, 0), C54+3), 0))</f>
        <v>0</v>
      </c>
      <c r="J54" s="31">
        <f ca="1">IF(C54="", "", IF(D54&lt;=60, MAX(F54, I54), MAX(2*$H$5*20-SUM(H$16:H53), 0)))</f>
        <v>583200</v>
      </c>
    </row>
    <row r="55" spans="3:10" x14ac:dyDescent="0.3">
      <c r="C55" s="29">
        <f t="shared" si="3"/>
        <v>39</v>
      </c>
      <c r="D55" s="30">
        <f t="shared" si="4"/>
        <v>69</v>
      </c>
      <c r="E55" s="31">
        <f t="shared" si="0"/>
        <v>0</v>
      </c>
      <c r="F55" s="41">
        <f>IF(C55="", "", SUM($E$17:E55))</f>
        <v>1000000</v>
      </c>
      <c r="G55" s="35">
        <f t="shared" si="1"/>
        <v>0</v>
      </c>
      <c r="H55" s="35">
        <f t="shared" ca="1" si="2"/>
        <v>48600</v>
      </c>
      <c r="I55" s="36">
        <f ca="1">IF(C55="", "", ROUND($H$5/1000*OFFSET(现价表!$B$1, MATCH($B$4, 现价表!$B$2:$B$747, 0), C55+3), 0))</f>
        <v>0</v>
      </c>
      <c r="J55" s="31">
        <f ca="1">IF(C55="", "", IF(D55&lt;=60, MAX(F55, I55), MAX(2*$H$5*20-SUM(H$16:H54), 0)))</f>
        <v>534600</v>
      </c>
    </row>
    <row r="56" spans="3:10" x14ac:dyDescent="0.3">
      <c r="C56" s="29">
        <f t="shared" si="3"/>
        <v>40</v>
      </c>
      <c r="D56" s="30">
        <f t="shared" si="4"/>
        <v>70</v>
      </c>
      <c r="E56" s="31">
        <f t="shared" si="0"/>
        <v>0</v>
      </c>
      <c r="F56" s="41">
        <f>IF(C56="", "", SUM($E$17:E56))</f>
        <v>1000000</v>
      </c>
      <c r="G56" s="35">
        <f t="shared" si="1"/>
        <v>0</v>
      </c>
      <c r="H56" s="35">
        <f t="shared" ca="1" si="2"/>
        <v>48600</v>
      </c>
      <c r="I56" s="36">
        <f ca="1">IF(C56="", "", ROUND($H$5/1000*OFFSET(现价表!$B$1, MATCH($B$4, 现价表!$B$2:$B$747, 0), C56+3), 0))</f>
        <v>0</v>
      </c>
      <c r="J56" s="31">
        <f ca="1">IF(C56="", "", IF(D56&lt;=60, MAX(F56, I56), MAX(2*$H$5*20-SUM(H$16:H55), 0)))</f>
        <v>486000</v>
      </c>
    </row>
    <row r="57" spans="3:10" x14ac:dyDescent="0.3">
      <c r="C57" s="29">
        <f t="shared" si="3"/>
        <v>41</v>
      </c>
      <c r="D57" s="30">
        <f t="shared" si="4"/>
        <v>71</v>
      </c>
      <c r="E57" s="31">
        <f t="shared" si="0"/>
        <v>0</v>
      </c>
      <c r="F57" s="41">
        <f>IF(C57="", "", SUM($E$17:E57))</f>
        <v>1000000</v>
      </c>
      <c r="G57" s="35">
        <f t="shared" si="1"/>
        <v>0</v>
      </c>
      <c r="H57" s="35">
        <f t="shared" ca="1" si="2"/>
        <v>48600</v>
      </c>
      <c r="I57" s="36">
        <f ca="1">IF(C57="", "", ROUND($H$5/1000*OFFSET(现价表!$B$1, MATCH($B$4, 现价表!$B$2:$B$747, 0), C57+3), 0))</f>
        <v>0</v>
      </c>
      <c r="J57" s="31">
        <f ca="1">IF(C57="", "", IF(D57&lt;=60, MAX(F57, I57), MAX(2*$H$5*20-SUM(H$16:H56), 0)))</f>
        <v>437400</v>
      </c>
    </row>
    <row r="58" spans="3:10" x14ac:dyDescent="0.3">
      <c r="C58" s="29">
        <f t="shared" si="3"/>
        <v>42</v>
      </c>
      <c r="D58" s="30">
        <f t="shared" si="4"/>
        <v>72</v>
      </c>
      <c r="E58" s="31">
        <f t="shared" si="0"/>
        <v>0</v>
      </c>
      <c r="F58" s="41">
        <f>IF(C58="", "", SUM($E$17:E58))</f>
        <v>1000000</v>
      </c>
      <c r="G58" s="35">
        <f t="shared" si="1"/>
        <v>0</v>
      </c>
      <c r="H58" s="35">
        <f t="shared" ca="1" si="2"/>
        <v>48600</v>
      </c>
      <c r="I58" s="36">
        <f ca="1">IF(C58="", "", ROUND($H$5/1000*OFFSET(现价表!$B$1, MATCH($B$4, 现价表!$B$2:$B$747, 0), C58+3), 0))</f>
        <v>0</v>
      </c>
      <c r="J58" s="31">
        <f ca="1">IF(C58="", "", IF(D58&lt;=60, MAX(F58, I58), MAX(2*$H$5*20-SUM(H$16:H57), 0)))</f>
        <v>388800</v>
      </c>
    </row>
    <row r="59" spans="3:10" x14ac:dyDescent="0.3">
      <c r="C59" s="29">
        <f t="shared" si="3"/>
        <v>43</v>
      </c>
      <c r="D59" s="30">
        <f t="shared" si="4"/>
        <v>73</v>
      </c>
      <c r="E59" s="31">
        <f t="shared" si="0"/>
        <v>0</v>
      </c>
      <c r="F59" s="41">
        <f>IF(C59="", "", SUM($E$17:E59))</f>
        <v>1000000</v>
      </c>
      <c r="G59" s="35">
        <f t="shared" si="1"/>
        <v>0</v>
      </c>
      <c r="H59" s="35">
        <f t="shared" ca="1" si="2"/>
        <v>48600</v>
      </c>
      <c r="I59" s="36">
        <f ca="1">IF(C59="", "", ROUND($H$5/1000*OFFSET(现价表!$B$1, MATCH($B$4, 现价表!$B$2:$B$747, 0), C59+3), 0))</f>
        <v>0</v>
      </c>
      <c r="J59" s="31">
        <f ca="1">IF(C59="", "", IF(D59&lt;=60, MAX(F59, I59), MAX(2*$H$5*20-SUM(H$16:H58), 0)))</f>
        <v>340200</v>
      </c>
    </row>
    <row r="60" spans="3:10" x14ac:dyDescent="0.3">
      <c r="C60" s="29">
        <f t="shared" si="3"/>
        <v>44</v>
      </c>
      <c r="D60" s="30">
        <f t="shared" si="4"/>
        <v>74</v>
      </c>
      <c r="E60" s="31">
        <f t="shared" si="0"/>
        <v>0</v>
      </c>
      <c r="F60" s="41">
        <f>IF(C60="", "", SUM($E$17:E60))</f>
        <v>1000000</v>
      </c>
      <c r="G60" s="35">
        <f t="shared" si="1"/>
        <v>0</v>
      </c>
      <c r="H60" s="35">
        <f t="shared" ca="1" si="2"/>
        <v>48600</v>
      </c>
      <c r="I60" s="36">
        <f ca="1">IF(C60="", "", ROUND($H$5/1000*OFFSET(现价表!$B$1, MATCH($B$4, 现价表!$B$2:$B$747, 0), C60+3), 0))</f>
        <v>0</v>
      </c>
      <c r="J60" s="31">
        <f ca="1">IF(C60="", "", IF(D60&lt;=60, MAX(F60, I60), MAX(2*$H$5*20-SUM(H$16:H59), 0)))</f>
        <v>291600</v>
      </c>
    </row>
    <row r="61" spans="3:10" x14ac:dyDescent="0.3">
      <c r="C61" s="29">
        <f t="shared" si="3"/>
        <v>45</v>
      </c>
      <c r="D61" s="30">
        <f t="shared" si="4"/>
        <v>75</v>
      </c>
      <c r="E61" s="31">
        <f t="shared" si="0"/>
        <v>0</v>
      </c>
      <c r="F61" s="41">
        <f>IF(C61="", "", SUM($E$17:E61))</f>
        <v>1000000</v>
      </c>
      <c r="G61" s="35">
        <f t="shared" si="1"/>
        <v>0</v>
      </c>
      <c r="H61" s="35">
        <f t="shared" ca="1" si="2"/>
        <v>48600</v>
      </c>
      <c r="I61" s="36">
        <f ca="1">IF(C61="", "", ROUND($H$5/1000*OFFSET(现价表!$B$1, MATCH($B$4, 现价表!$B$2:$B$747, 0), C61+3), 0))</f>
        <v>0</v>
      </c>
      <c r="J61" s="31">
        <f ca="1">IF(C61="", "", IF(D61&lt;=60, MAX(F61, I61), MAX(2*$H$5*20-SUM(H$16:H60), 0)))</f>
        <v>243000</v>
      </c>
    </row>
    <row r="62" spans="3:10" x14ac:dyDescent="0.3">
      <c r="C62" s="29">
        <f t="shared" si="3"/>
        <v>46</v>
      </c>
      <c r="D62" s="30">
        <f t="shared" si="4"/>
        <v>76</v>
      </c>
      <c r="E62" s="31">
        <f t="shared" si="0"/>
        <v>0</v>
      </c>
      <c r="F62" s="41">
        <f>IF(C62="", "", SUM($E$17:E62))</f>
        <v>1000000</v>
      </c>
      <c r="G62" s="35">
        <f t="shared" si="1"/>
        <v>0</v>
      </c>
      <c r="H62" s="35">
        <f t="shared" ca="1" si="2"/>
        <v>48600</v>
      </c>
      <c r="I62" s="36">
        <f ca="1">IF(C62="", "", ROUND($H$5/1000*OFFSET(现价表!$B$1, MATCH($B$4, 现价表!$B$2:$B$747, 0), C62+3), 0))</f>
        <v>0</v>
      </c>
      <c r="J62" s="31">
        <f ca="1">IF(C62="", "", IF(D62&lt;=60, MAX(F62, I62), MAX(2*$H$5*20-SUM(H$16:H61), 0)))</f>
        <v>194400</v>
      </c>
    </row>
    <row r="63" spans="3:10" x14ac:dyDescent="0.3">
      <c r="C63" s="29">
        <f t="shared" si="3"/>
        <v>47</v>
      </c>
      <c r="D63" s="30">
        <f t="shared" si="4"/>
        <v>77</v>
      </c>
      <c r="E63" s="31">
        <f t="shared" si="0"/>
        <v>0</v>
      </c>
      <c r="F63" s="41">
        <f>IF(C63="", "", SUM($E$17:E63))</f>
        <v>1000000</v>
      </c>
      <c r="G63" s="35">
        <f t="shared" si="1"/>
        <v>0</v>
      </c>
      <c r="H63" s="35">
        <f t="shared" ca="1" si="2"/>
        <v>48600</v>
      </c>
      <c r="I63" s="36">
        <f ca="1">IF(C63="", "", ROUND($H$5/1000*OFFSET(现价表!$B$1, MATCH($B$4, 现价表!$B$2:$B$747, 0), C63+3), 0))</f>
        <v>0</v>
      </c>
      <c r="J63" s="31">
        <f ca="1">IF(C63="", "", IF(D63&lt;=60, MAX(F63, I63), MAX(2*$H$5*20-SUM(H$16:H62), 0)))</f>
        <v>145800</v>
      </c>
    </row>
    <row r="64" spans="3:10" x14ac:dyDescent="0.3">
      <c r="C64" s="29">
        <f t="shared" si="3"/>
        <v>48</v>
      </c>
      <c r="D64" s="30">
        <f t="shared" si="4"/>
        <v>78</v>
      </c>
      <c r="E64" s="31">
        <f t="shared" si="0"/>
        <v>0</v>
      </c>
      <c r="F64" s="41">
        <f>IF(C64="", "", SUM($E$17:E64))</f>
        <v>1000000</v>
      </c>
      <c r="G64" s="35">
        <f t="shared" si="1"/>
        <v>0</v>
      </c>
      <c r="H64" s="35">
        <f t="shared" ca="1" si="2"/>
        <v>48600</v>
      </c>
      <c r="I64" s="36">
        <f ca="1">IF(C64="", "", ROUND($H$5/1000*OFFSET(现价表!$B$1, MATCH($B$4, 现价表!$B$2:$B$747, 0), C64+3), 0))</f>
        <v>0</v>
      </c>
      <c r="J64" s="31">
        <f ca="1">IF(C64="", "", IF(D64&lt;=60, MAX(F64, I64), MAX(2*$H$5*20-SUM(H$16:H63), 0)))</f>
        <v>97200</v>
      </c>
    </row>
    <row r="65" spans="3:10" x14ac:dyDescent="0.3">
      <c r="C65" s="29">
        <f t="shared" si="3"/>
        <v>49</v>
      </c>
      <c r="D65" s="30">
        <f t="shared" si="4"/>
        <v>79</v>
      </c>
      <c r="E65" s="31">
        <f t="shared" si="0"/>
        <v>0</v>
      </c>
      <c r="F65" s="41">
        <f>IF(C65="", "", SUM($E$17:E65))</f>
        <v>1000000</v>
      </c>
      <c r="G65" s="35">
        <f t="shared" si="1"/>
        <v>0</v>
      </c>
      <c r="H65" s="35">
        <f t="shared" ca="1" si="2"/>
        <v>48600</v>
      </c>
      <c r="I65" s="36">
        <f ca="1">IF(C65="", "", ROUND($H$5/1000*OFFSET(现价表!$B$1, MATCH($B$4, 现价表!$B$2:$B$747, 0), C65+3), 0))</f>
        <v>0</v>
      </c>
      <c r="J65" s="31">
        <f ca="1">IF(C65="", "", IF(D65&lt;=60, MAX(F65, I65), MAX(2*$H$5*20-SUM(H$16:H64), 0)))</f>
        <v>48600</v>
      </c>
    </row>
    <row r="66" spans="3:10" x14ac:dyDescent="0.3">
      <c r="C66" s="29">
        <f t="shared" si="3"/>
        <v>50</v>
      </c>
      <c r="D66" s="30">
        <f t="shared" si="4"/>
        <v>80</v>
      </c>
      <c r="E66" s="31">
        <f t="shared" si="0"/>
        <v>0</v>
      </c>
      <c r="F66" s="41">
        <f>IF(C66="", "", SUM($E$17:E66))</f>
        <v>1000000</v>
      </c>
      <c r="G66" s="35">
        <f t="shared" si="1"/>
        <v>0</v>
      </c>
      <c r="H66" s="35">
        <f t="shared" ca="1" si="2"/>
        <v>48600</v>
      </c>
      <c r="I66" s="36">
        <f ca="1">IF(C66="", "", ROUND($H$5/1000*OFFSET(现价表!$B$1, MATCH($B$4, 现价表!$B$2:$B$747, 0), C66+3), 0))</f>
        <v>0</v>
      </c>
      <c r="J66" s="31">
        <f ca="1">IF(C66="", "", IF(D66&lt;=60, MAX(F66, I66), MAX(2*$H$5*20-SUM(H$16:H65), 0)))</f>
        <v>0</v>
      </c>
    </row>
    <row r="67" spans="3:10" x14ac:dyDescent="0.3">
      <c r="C67" s="29">
        <f t="shared" si="3"/>
        <v>51</v>
      </c>
      <c r="D67" s="30">
        <f t="shared" si="4"/>
        <v>81</v>
      </c>
      <c r="E67" s="31">
        <f t="shared" si="0"/>
        <v>0</v>
      </c>
      <c r="F67" s="41">
        <f>IF(C67="", "", SUM($E$17:E67))</f>
        <v>1000000</v>
      </c>
      <c r="G67" s="35">
        <f t="shared" si="1"/>
        <v>0</v>
      </c>
      <c r="H67" s="35">
        <f t="shared" ca="1" si="2"/>
        <v>48600</v>
      </c>
      <c r="I67" s="36">
        <f ca="1">IF(C67="", "", ROUND($H$5/1000*OFFSET(现价表!$B$1, MATCH($B$4, 现价表!$B$2:$B$747, 0), C67+3), 0))</f>
        <v>0</v>
      </c>
      <c r="J67" s="31">
        <f ca="1">IF(C67="", "", IF(D67&lt;=60, MAX(F67, I67), MAX(2*$H$5*20-SUM(H$16:H66), 0)))</f>
        <v>0</v>
      </c>
    </row>
    <row r="68" spans="3:10" x14ac:dyDescent="0.3">
      <c r="C68" s="29">
        <f t="shared" si="3"/>
        <v>52</v>
      </c>
      <c r="D68" s="30">
        <f t="shared" si="4"/>
        <v>82</v>
      </c>
      <c r="E68" s="31">
        <f t="shared" si="0"/>
        <v>0</v>
      </c>
      <c r="F68" s="41">
        <f>IF(C68="", "", SUM($E$17:E68))</f>
        <v>1000000</v>
      </c>
      <c r="G68" s="35">
        <f t="shared" si="1"/>
        <v>0</v>
      </c>
      <c r="H68" s="35">
        <f t="shared" ca="1" si="2"/>
        <v>48600</v>
      </c>
      <c r="I68" s="36">
        <f ca="1">IF(C68="", "", ROUND($H$5/1000*OFFSET(现价表!$B$1, MATCH($B$4, 现价表!$B$2:$B$747, 0), C68+3), 0))</f>
        <v>0</v>
      </c>
      <c r="J68" s="31">
        <f ca="1">IF(C68="", "", IF(D68&lt;=60, MAX(F68, I68), MAX(2*$H$5*20-SUM(H$16:H67), 0)))</f>
        <v>0</v>
      </c>
    </row>
    <row r="69" spans="3:10" x14ac:dyDescent="0.3">
      <c r="C69" s="29">
        <f t="shared" si="3"/>
        <v>53</v>
      </c>
      <c r="D69" s="30">
        <f t="shared" si="4"/>
        <v>83</v>
      </c>
      <c r="E69" s="31">
        <f t="shared" si="0"/>
        <v>0</v>
      </c>
      <c r="F69" s="41">
        <f>IF(C69="", "", SUM($E$17:E69))</f>
        <v>1000000</v>
      </c>
      <c r="G69" s="35">
        <f t="shared" si="1"/>
        <v>0</v>
      </c>
      <c r="H69" s="35">
        <f t="shared" ca="1" si="2"/>
        <v>48600</v>
      </c>
      <c r="I69" s="36">
        <f ca="1">IF(C69="", "", ROUND($H$5/1000*OFFSET(现价表!$B$1, MATCH($B$4, 现价表!$B$2:$B$747, 0), C69+3), 0))</f>
        <v>0</v>
      </c>
      <c r="J69" s="31">
        <f ca="1">IF(C69="", "", IF(D69&lt;=60, MAX(F69, I69), MAX(2*$H$5*20-SUM(H$16:H68), 0)))</f>
        <v>0</v>
      </c>
    </row>
    <row r="70" spans="3:10" x14ac:dyDescent="0.3">
      <c r="C70" s="29">
        <f t="shared" si="3"/>
        <v>54</v>
      </c>
      <c r="D70" s="30">
        <f t="shared" si="4"/>
        <v>84</v>
      </c>
      <c r="E70" s="31">
        <f t="shared" si="0"/>
        <v>0</v>
      </c>
      <c r="F70" s="41">
        <f>IF(C70="", "", SUM($E$17:E70))</f>
        <v>1000000</v>
      </c>
      <c r="G70" s="35">
        <f t="shared" si="1"/>
        <v>0</v>
      </c>
      <c r="H70" s="35">
        <f t="shared" ca="1" si="2"/>
        <v>48600</v>
      </c>
      <c r="I70" s="36">
        <f ca="1">IF(C70="", "", ROUND($H$5/1000*OFFSET(现价表!$B$1, MATCH($B$4, 现价表!$B$2:$B$747, 0), C70+3), 0))</f>
        <v>0</v>
      </c>
      <c r="J70" s="31">
        <f ca="1">IF(C70="", "", IF(D70&lt;=60, MAX(F70, I70), MAX(2*$H$5*20-SUM(H$16:H69), 0)))</f>
        <v>0</v>
      </c>
    </row>
    <row r="71" spans="3:10" x14ac:dyDescent="0.3">
      <c r="C71" s="29">
        <f t="shared" si="3"/>
        <v>55</v>
      </c>
      <c r="D71" s="30">
        <f t="shared" si="4"/>
        <v>85</v>
      </c>
      <c r="E71" s="31">
        <f t="shared" si="0"/>
        <v>0</v>
      </c>
      <c r="F71" s="41">
        <f>IF(C71="", "", SUM($E$17:E71))</f>
        <v>1000000</v>
      </c>
      <c r="G71" s="35">
        <f t="shared" si="1"/>
        <v>0</v>
      </c>
      <c r="H71" s="35">
        <f t="shared" ca="1" si="2"/>
        <v>48600</v>
      </c>
      <c r="I71" s="36">
        <f ca="1">IF(C71="", "", ROUND($H$5/1000*OFFSET(现价表!$B$1, MATCH($B$4, 现价表!$B$2:$B$747, 0), C71+3), 0))</f>
        <v>0</v>
      </c>
      <c r="J71" s="31">
        <f ca="1">IF(C71="", "", IF(D71&lt;=60, MAX(F71, I71), MAX(2*$H$5*20-SUM(H$16:H70), 0)))</f>
        <v>0</v>
      </c>
    </row>
    <row r="72" spans="3:10" x14ac:dyDescent="0.3">
      <c r="C72" s="29">
        <f t="shared" si="3"/>
        <v>56</v>
      </c>
      <c r="D72" s="30">
        <f t="shared" si="4"/>
        <v>86</v>
      </c>
      <c r="E72" s="31">
        <f t="shared" si="0"/>
        <v>0</v>
      </c>
      <c r="F72" s="41">
        <f>IF(C72="", "", SUM($E$17:E72))</f>
        <v>1000000</v>
      </c>
      <c r="G72" s="35">
        <f t="shared" si="1"/>
        <v>0</v>
      </c>
      <c r="H72" s="35">
        <f t="shared" ca="1" si="2"/>
        <v>48600</v>
      </c>
      <c r="I72" s="36">
        <f ca="1">IF(C72="", "", ROUND($H$5/1000*OFFSET(现价表!$B$1, MATCH($B$4, 现价表!$B$2:$B$747, 0), C72+3), 0))</f>
        <v>0</v>
      </c>
      <c r="J72" s="31">
        <f ca="1">IF(C72="", "", IF(D72&lt;=60, MAX(F72, I72), MAX(2*$H$5*20-SUM(H$16:H71), 0)))</f>
        <v>0</v>
      </c>
    </row>
    <row r="73" spans="3:10" x14ac:dyDescent="0.3">
      <c r="C73" s="29">
        <f t="shared" si="3"/>
        <v>57</v>
      </c>
      <c r="D73" s="30">
        <f t="shared" si="4"/>
        <v>87</v>
      </c>
      <c r="E73" s="31">
        <f t="shared" si="0"/>
        <v>0</v>
      </c>
      <c r="F73" s="41">
        <f>IF(C73="", "", SUM($E$17:E73))</f>
        <v>1000000</v>
      </c>
      <c r="G73" s="35">
        <f t="shared" si="1"/>
        <v>0</v>
      </c>
      <c r="H73" s="35">
        <f t="shared" ca="1" si="2"/>
        <v>48600</v>
      </c>
      <c r="I73" s="36">
        <f ca="1">IF(C73="", "", ROUND($H$5/1000*OFFSET(现价表!$B$1, MATCH($B$4, 现价表!$B$2:$B$747, 0), C73+3), 0))</f>
        <v>0</v>
      </c>
      <c r="J73" s="31">
        <f ca="1">IF(C73="", "", IF(D73&lt;=60, MAX(F73, I73), MAX(2*$H$5*20-SUM(H$16:H72), 0)))</f>
        <v>0</v>
      </c>
    </row>
    <row r="74" spans="3:10" x14ac:dyDescent="0.3">
      <c r="C74" s="29">
        <f t="shared" si="3"/>
        <v>58</v>
      </c>
      <c r="D74" s="30">
        <f t="shared" si="4"/>
        <v>88</v>
      </c>
      <c r="E74" s="31">
        <f t="shared" si="0"/>
        <v>0</v>
      </c>
      <c r="F74" s="41">
        <f>IF(C74="", "", SUM($E$17:E74))</f>
        <v>1000000</v>
      </c>
      <c r="G74" s="35">
        <f t="shared" si="1"/>
        <v>0</v>
      </c>
      <c r="H74" s="35">
        <f t="shared" ca="1" si="2"/>
        <v>48600</v>
      </c>
      <c r="I74" s="36">
        <f ca="1">IF(C74="", "", ROUND($H$5/1000*OFFSET(现价表!$B$1, MATCH($B$4, 现价表!$B$2:$B$747, 0), C74+3), 0))</f>
        <v>0</v>
      </c>
      <c r="J74" s="31">
        <f ca="1">IF(C74="", "", IF(D74&lt;=60, MAX(F74, I74), MAX(2*$H$5*20-SUM(H$16:H73), 0)))</f>
        <v>0</v>
      </c>
    </row>
    <row r="75" spans="3:10" x14ac:dyDescent="0.3">
      <c r="C75" s="29">
        <f t="shared" si="3"/>
        <v>59</v>
      </c>
      <c r="D75" s="30">
        <f t="shared" si="4"/>
        <v>89</v>
      </c>
      <c r="E75" s="31">
        <f t="shared" si="0"/>
        <v>0</v>
      </c>
      <c r="F75" s="41">
        <f>IF(C75="", "", SUM($E$17:E75))</f>
        <v>1000000</v>
      </c>
      <c r="G75" s="35">
        <f t="shared" si="1"/>
        <v>0</v>
      </c>
      <c r="H75" s="35">
        <f t="shared" ca="1" si="2"/>
        <v>48600</v>
      </c>
      <c r="I75" s="36">
        <f ca="1">IF(C75="", "", ROUND($H$5/1000*OFFSET(现价表!$B$1, MATCH($B$4, 现价表!$B$2:$B$747, 0), C75+3), 0))</f>
        <v>0</v>
      </c>
      <c r="J75" s="31">
        <f ca="1">IF(C75="", "", IF(D75&lt;=60, MAX(F75, I75), MAX(2*$H$5*20-SUM(H$16:H74), 0)))</f>
        <v>0</v>
      </c>
    </row>
    <row r="76" spans="3:10" x14ac:dyDescent="0.3">
      <c r="C76" s="29">
        <f t="shared" si="3"/>
        <v>60</v>
      </c>
      <c r="D76" s="30">
        <f t="shared" si="4"/>
        <v>90</v>
      </c>
      <c r="E76" s="31">
        <f t="shared" si="0"/>
        <v>0</v>
      </c>
      <c r="F76" s="41">
        <f>IF(C76="", "", SUM($E$17:E76))</f>
        <v>1000000</v>
      </c>
      <c r="G76" s="35">
        <f t="shared" si="1"/>
        <v>0</v>
      </c>
      <c r="H76" s="35">
        <f t="shared" ca="1" si="2"/>
        <v>48600</v>
      </c>
      <c r="I76" s="36">
        <f ca="1">IF(C76="", "", ROUND($H$5/1000*OFFSET(现价表!$B$1, MATCH($B$4, 现价表!$B$2:$B$747, 0), C76+3), 0))</f>
        <v>0</v>
      </c>
      <c r="J76" s="31">
        <f ca="1">IF(C76="", "", IF(D76&lt;=60, MAX(F76, I76), MAX(2*$H$5*20-SUM(H$16:H75), 0)))</f>
        <v>0</v>
      </c>
    </row>
    <row r="77" spans="3:10" x14ac:dyDescent="0.3">
      <c r="C77" s="29">
        <f t="shared" si="3"/>
        <v>61</v>
      </c>
      <c r="D77" s="30">
        <f t="shared" si="4"/>
        <v>91</v>
      </c>
      <c r="E77" s="31">
        <f t="shared" si="0"/>
        <v>0</v>
      </c>
      <c r="F77" s="41">
        <f>IF(C77="", "", SUM($E$17:E77))</f>
        <v>1000000</v>
      </c>
      <c r="G77" s="35">
        <f t="shared" si="1"/>
        <v>0</v>
      </c>
      <c r="H77" s="35">
        <f t="shared" ca="1" si="2"/>
        <v>48600</v>
      </c>
      <c r="I77" s="36">
        <f ca="1">IF(C77="", "", ROUND($H$5/1000*OFFSET(现价表!$B$1, MATCH($B$4, 现价表!$B$2:$B$747, 0), C77+3), 0))</f>
        <v>0</v>
      </c>
      <c r="J77" s="31">
        <f ca="1">IF(C77="", "", IF(D77&lt;=60, MAX(F77, I77), MAX(2*$H$5*20-SUM(H$16:H76), 0)))</f>
        <v>0</v>
      </c>
    </row>
    <row r="78" spans="3:10" x14ac:dyDescent="0.3">
      <c r="C78" s="29">
        <f t="shared" si="3"/>
        <v>62</v>
      </c>
      <c r="D78" s="30">
        <f t="shared" si="4"/>
        <v>92</v>
      </c>
      <c r="E78" s="31">
        <f t="shared" si="0"/>
        <v>0</v>
      </c>
      <c r="F78" s="41">
        <f>IF(C78="", "", SUM($E$17:E78))</f>
        <v>1000000</v>
      </c>
      <c r="G78" s="35">
        <f t="shared" si="1"/>
        <v>0</v>
      </c>
      <c r="H78" s="35">
        <f t="shared" ca="1" si="2"/>
        <v>48600</v>
      </c>
      <c r="I78" s="36">
        <f ca="1">IF(C78="", "", ROUND($H$5/1000*OFFSET(现价表!$B$1, MATCH($B$4, 现价表!$B$2:$B$747, 0), C78+3), 0))</f>
        <v>0</v>
      </c>
      <c r="J78" s="31">
        <f ca="1">IF(C78="", "", IF(D78&lt;=60, MAX(F78, I78), MAX(2*$H$5*20-SUM(H$16:H77), 0)))</f>
        <v>0</v>
      </c>
    </row>
    <row r="79" spans="3:10" x14ac:dyDescent="0.3">
      <c r="C79" s="29">
        <f t="shared" si="3"/>
        <v>63</v>
      </c>
      <c r="D79" s="30">
        <f t="shared" si="4"/>
        <v>93</v>
      </c>
      <c r="E79" s="31">
        <f t="shared" si="0"/>
        <v>0</v>
      </c>
      <c r="F79" s="41">
        <f>IF(C79="", "", SUM($E$17:E79))</f>
        <v>1000000</v>
      </c>
      <c r="G79" s="35">
        <f t="shared" si="1"/>
        <v>0</v>
      </c>
      <c r="H79" s="35">
        <f t="shared" ca="1" si="2"/>
        <v>48600</v>
      </c>
      <c r="I79" s="36">
        <f ca="1">IF(C79="", "", ROUND($H$5/1000*OFFSET(现价表!$B$1, MATCH($B$4, 现价表!$B$2:$B$747, 0), C79+3), 0))</f>
        <v>0</v>
      </c>
      <c r="J79" s="31">
        <f ca="1">IF(C79="", "", IF(D79&lt;=60, MAX(F79, I79), MAX(2*$H$5*20-SUM(H$16:H78), 0)))</f>
        <v>0</v>
      </c>
    </row>
    <row r="80" spans="3:10" x14ac:dyDescent="0.3">
      <c r="C80" s="29">
        <f t="shared" si="3"/>
        <v>64</v>
      </c>
      <c r="D80" s="30">
        <f t="shared" si="4"/>
        <v>94</v>
      </c>
      <c r="E80" s="31">
        <f t="shared" si="0"/>
        <v>0</v>
      </c>
      <c r="F80" s="41">
        <f>IF(C80="", "", SUM($E$17:E80))</f>
        <v>1000000</v>
      </c>
      <c r="G80" s="35">
        <f t="shared" si="1"/>
        <v>0</v>
      </c>
      <c r="H80" s="35">
        <f t="shared" ca="1" si="2"/>
        <v>48600</v>
      </c>
      <c r="I80" s="36">
        <f ca="1">IF(C80="", "", ROUND($H$5/1000*OFFSET(现价表!$B$1, MATCH($B$4, 现价表!$B$2:$B$747, 0), C80+3), 0))</f>
        <v>0</v>
      </c>
      <c r="J80" s="31">
        <f ca="1">IF(C80="", "", IF(D80&lt;=60, MAX(F80, I80), MAX(2*$H$5*20-SUM(H$16:H79), 0)))</f>
        <v>0</v>
      </c>
    </row>
    <row r="81" spans="3:10" x14ac:dyDescent="0.3">
      <c r="C81" s="29">
        <f t="shared" si="3"/>
        <v>65</v>
      </c>
      <c r="D81" s="30">
        <f t="shared" si="4"/>
        <v>95</v>
      </c>
      <c r="E81" s="31">
        <f t="shared" si="0"/>
        <v>0</v>
      </c>
      <c r="F81" s="41">
        <f>IF(C81="", "", SUM($E$17:E81))</f>
        <v>1000000</v>
      </c>
      <c r="G81" s="35">
        <f t="shared" si="1"/>
        <v>0</v>
      </c>
      <c r="H81" s="35">
        <f t="shared" ca="1" si="2"/>
        <v>48600</v>
      </c>
      <c r="I81" s="36">
        <f ca="1">IF(C81="", "", ROUND($H$5/1000*OFFSET(现价表!$B$1, MATCH($B$4, 现价表!$B$2:$B$747, 0), C81+3), 0))</f>
        <v>0</v>
      </c>
      <c r="J81" s="31">
        <f ca="1">IF(C81="", "", IF(D81&lt;=60, MAX(F81, I81), MAX(2*$H$5*20-SUM(H$16:H80), 0)))</f>
        <v>0</v>
      </c>
    </row>
    <row r="82" spans="3:10" x14ac:dyDescent="0.3">
      <c r="C82" s="29">
        <f t="shared" si="3"/>
        <v>66</v>
      </c>
      <c r="D82" s="30">
        <f t="shared" si="4"/>
        <v>96</v>
      </c>
      <c r="E82" s="31">
        <f t="shared" ref="E82:E121" si="5">IF(C82="","",IF(C82&lt;=$B$3, $F$5, 0))</f>
        <v>0</v>
      </c>
      <c r="F82" s="41">
        <f>IF(C82="", "", SUM($E$17:E82))</f>
        <v>1000000</v>
      </c>
      <c r="G82" s="35">
        <f t="shared" ref="G82:G121" si="6">IF(C82="", "", IF(AND(C82&gt;=5, D82&lt;60), $H$5, 0))</f>
        <v>0</v>
      </c>
      <c r="H82" s="35">
        <f t="shared" ref="H82:H121" ca="1" si="7">IF(C82="", "", IF(D82&gt;=60, 2*$H$5, 0))</f>
        <v>48600</v>
      </c>
      <c r="I82" s="36">
        <f ca="1">IF(C82="", "", ROUND($H$5/1000*OFFSET(现价表!$B$1, MATCH($B$4, 现价表!$B$2:$B$747, 0), C82+3), 0))</f>
        <v>0</v>
      </c>
      <c r="J82" s="31">
        <f ca="1">IF(C82="", "", IF(D82&lt;=60, MAX(F82, I82), MAX(2*$H$5*20-SUM(H$16:H81), 0)))</f>
        <v>0</v>
      </c>
    </row>
    <row r="83" spans="3:10" x14ac:dyDescent="0.3">
      <c r="C83" s="29">
        <f t="shared" ref="C83:C121" si="8">IF(AND(C82&gt;0, C82&lt;99-$H$3), C82+1,"")</f>
        <v>67</v>
      </c>
      <c r="D83" s="30">
        <f t="shared" ref="D83:D121" si="9">IF(C83="","",D82+1)</f>
        <v>97</v>
      </c>
      <c r="E83" s="31">
        <f t="shared" si="5"/>
        <v>0</v>
      </c>
      <c r="F83" s="41">
        <f>IF(C83="", "", SUM($E$17:E83))</f>
        <v>1000000</v>
      </c>
      <c r="G83" s="35">
        <f t="shared" si="6"/>
        <v>0</v>
      </c>
      <c r="H83" s="35">
        <f t="shared" ca="1" si="7"/>
        <v>48600</v>
      </c>
      <c r="I83" s="36">
        <f ca="1">IF(C83="", "", ROUND($H$5/1000*OFFSET(现价表!$B$1, MATCH($B$4, 现价表!$B$2:$B$747, 0), C83+3), 0))</f>
        <v>0</v>
      </c>
      <c r="J83" s="31">
        <f ca="1">IF(C83="", "", IF(D83&lt;=60, MAX(F83, I83), MAX(2*$H$5*20-SUM(H$16:H82), 0)))</f>
        <v>0</v>
      </c>
    </row>
    <row r="84" spans="3:10" x14ac:dyDescent="0.3">
      <c r="C84" s="29">
        <f t="shared" si="8"/>
        <v>68</v>
      </c>
      <c r="D84" s="30">
        <f t="shared" si="9"/>
        <v>98</v>
      </c>
      <c r="E84" s="31">
        <f t="shared" si="5"/>
        <v>0</v>
      </c>
      <c r="F84" s="41">
        <f>IF(C84="", "", SUM($E$17:E84))</f>
        <v>1000000</v>
      </c>
      <c r="G84" s="35">
        <f t="shared" si="6"/>
        <v>0</v>
      </c>
      <c r="H84" s="35">
        <f t="shared" ca="1" si="7"/>
        <v>48600</v>
      </c>
      <c r="I84" s="36">
        <f ca="1">IF(C84="", "", ROUND($H$5/1000*OFFSET(现价表!$B$1, MATCH($B$4, 现价表!$B$2:$B$747, 0), C84+3), 0))</f>
        <v>0</v>
      </c>
      <c r="J84" s="31">
        <f ca="1">IF(C84="", "", IF(D84&lt;=60, MAX(F84, I84), MAX(2*$H$5*20-SUM(H$16:H83), 0)))</f>
        <v>0</v>
      </c>
    </row>
    <row r="85" spans="3:10" x14ac:dyDescent="0.3">
      <c r="C85" s="29">
        <f t="shared" si="8"/>
        <v>69</v>
      </c>
      <c r="D85" s="30">
        <f t="shared" si="9"/>
        <v>99</v>
      </c>
      <c r="E85" s="31">
        <f t="shared" si="5"/>
        <v>0</v>
      </c>
      <c r="F85" s="41">
        <f>IF(C85="", "", SUM($E$17:E85))</f>
        <v>1000000</v>
      </c>
      <c r="G85" s="35">
        <f t="shared" si="6"/>
        <v>0</v>
      </c>
      <c r="H85" s="35">
        <f t="shared" ca="1" si="7"/>
        <v>48600</v>
      </c>
      <c r="I85" s="36">
        <f ca="1">IF(C85="", "", ROUND($H$5/1000*OFFSET(现价表!$B$1, MATCH($B$4, 现价表!$B$2:$B$747, 0), C85+3), 0))</f>
        <v>0</v>
      </c>
      <c r="J85" s="31">
        <f ca="1">IF(C85="", "", IF(D85&lt;=60, MAX(F85, I85), MAX(2*$H$5*20-SUM(H$16:H84), 0)))</f>
        <v>0</v>
      </c>
    </row>
    <row r="86" spans="3:10" x14ac:dyDescent="0.3">
      <c r="C86" s="29" t="str">
        <f t="shared" si="8"/>
        <v/>
      </c>
      <c r="D86" s="30" t="str">
        <f t="shared" si="9"/>
        <v/>
      </c>
      <c r="E86" s="31" t="str">
        <f t="shared" si="5"/>
        <v/>
      </c>
      <c r="F86" s="41" t="str">
        <f>IF(C86="", "", SUM($E$17:E86))</f>
        <v/>
      </c>
      <c r="G86" s="35" t="str">
        <f t="shared" si="6"/>
        <v/>
      </c>
      <c r="H86" s="35" t="str">
        <f t="shared" si="7"/>
        <v/>
      </c>
      <c r="I86" s="30" t="str">
        <f ca="1">IF(C86="", "", ROUND($H$5/1000*OFFSET(现价表!$B$1, MATCH($B$4, 现价表!$B$2:$B$747, 0), C86+3), 0))</f>
        <v/>
      </c>
      <c r="J86" s="31" t="str">
        <f>IF(C86="", "", IF(D86&lt;=60, MAX(F86, I86), MAX(2*$H$5*20-SUM(H$16:H85), 0)))</f>
        <v/>
      </c>
    </row>
    <row r="87" spans="3:10" x14ac:dyDescent="0.3">
      <c r="C87" s="29" t="str">
        <f t="shared" si="8"/>
        <v/>
      </c>
      <c r="D87" s="30" t="str">
        <f t="shared" si="9"/>
        <v/>
      </c>
      <c r="E87" s="31" t="str">
        <f t="shared" si="5"/>
        <v/>
      </c>
      <c r="F87" s="41" t="str">
        <f>IF(C87="", "", SUM($E$17:E87))</f>
        <v/>
      </c>
      <c r="G87" s="35" t="str">
        <f t="shared" si="6"/>
        <v/>
      </c>
      <c r="H87" s="35" t="str">
        <f t="shared" si="7"/>
        <v/>
      </c>
      <c r="I87" s="30" t="str">
        <f ca="1">IF(C87="", "", ROUND($H$5/1000*OFFSET(现价表!$B$1, MATCH($B$4, 现价表!$B$2:$B$747, 0), C87+3), 0))</f>
        <v/>
      </c>
      <c r="J87" s="31" t="str">
        <f>IF(C87="", "", IF(D87&lt;=60, MAX(F87, I87), MAX(2*$H$5*20-SUM(H$16:H86), 0)))</f>
        <v/>
      </c>
    </row>
    <row r="88" spans="3:10" x14ac:dyDescent="0.3">
      <c r="C88" s="29" t="str">
        <f t="shared" si="8"/>
        <v/>
      </c>
      <c r="D88" s="30" t="str">
        <f t="shared" si="9"/>
        <v/>
      </c>
      <c r="E88" s="31" t="str">
        <f t="shared" si="5"/>
        <v/>
      </c>
      <c r="F88" s="41" t="str">
        <f>IF(C88="", "", SUM($E$17:E88))</f>
        <v/>
      </c>
      <c r="G88" s="35" t="str">
        <f t="shared" si="6"/>
        <v/>
      </c>
      <c r="H88" s="35" t="str">
        <f t="shared" si="7"/>
        <v/>
      </c>
      <c r="I88" s="30" t="str">
        <f ca="1">IF(C88="", "", ROUND($H$5/1000*OFFSET(现价表!$B$1, MATCH($B$4, 现价表!$B$2:$B$747, 0), C88+3), 0))</f>
        <v/>
      </c>
      <c r="J88" s="31" t="str">
        <f>IF(C88="", "", IF(D88&lt;=60, MAX(F88, I88), MAX(2*$H$5*20-SUM(H$16:H87), 0)))</f>
        <v/>
      </c>
    </row>
    <row r="89" spans="3:10" x14ac:dyDescent="0.3">
      <c r="C89" s="29" t="str">
        <f t="shared" si="8"/>
        <v/>
      </c>
      <c r="D89" s="30" t="str">
        <f t="shared" si="9"/>
        <v/>
      </c>
      <c r="E89" s="31" t="str">
        <f t="shared" si="5"/>
        <v/>
      </c>
      <c r="F89" s="41" t="str">
        <f>IF(C89="", "", SUM($E$17:E89))</f>
        <v/>
      </c>
      <c r="G89" s="35" t="str">
        <f t="shared" si="6"/>
        <v/>
      </c>
      <c r="H89" s="35" t="str">
        <f t="shared" si="7"/>
        <v/>
      </c>
      <c r="I89" s="30" t="str">
        <f ca="1">IF(C89="", "", ROUND($H$5/1000*OFFSET(现价表!$B$1, MATCH($B$4, 现价表!$B$2:$B$747, 0), C89+3), 0))</f>
        <v/>
      </c>
      <c r="J89" s="31" t="str">
        <f>IF(C89="", "", IF(D89&lt;=60, MAX(F89, I89), MAX(2*$H$5*20-SUM(H$16:H88), 0)))</f>
        <v/>
      </c>
    </row>
    <row r="90" spans="3:10" x14ac:dyDescent="0.3">
      <c r="C90" s="29" t="str">
        <f t="shared" si="8"/>
        <v/>
      </c>
      <c r="D90" s="30" t="str">
        <f t="shared" si="9"/>
        <v/>
      </c>
      <c r="E90" s="31" t="str">
        <f t="shared" si="5"/>
        <v/>
      </c>
      <c r="F90" s="41" t="str">
        <f>IF(C90="", "", SUM($E$17:E90))</f>
        <v/>
      </c>
      <c r="G90" s="35" t="str">
        <f t="shared" si="6"/>
        <v/>
      </c>
      <c r="H90" s="35" t="str">
        <f t="shared" si="7"/>
        <v/>
      </c>
      <c r="I90" s="30" t="str">
        <f ca="1">IF(C90="", "", ROUND($H$5/1000*OFFSET(现价表!$B$1, MATCH($B$4, 现价表!$B$2:$B$747, 0), C90+3), 0))</f>
        <v/>
      </c>
      <c r="J90" s="31" t="str">
        <f>IF(C90="", "", IF(D90&lt;=60, MAX(F90, I90), MAX(2*$H$5*20-SUM(H$16:H89), 0)))</f>
        <v/>
      </c>
    </row>
    <row r="91" spans="3:10" x14ac:dyDescent="0.3">
      <c r="C91" s="29" t="str">
        <f t="shared" si="8"/>
        <v/>
      </c>
      <c r="D91" s="30" t="str">
        <f t="shared" si="9"/>
        <v/>
      </c>
      <c r="E91" s="31" t="str">
        <f t="shared" si="5"/>
        <v/>
      </c>
      <c r="F91" s="41" t="str">
        <f>IF(C91="", "", SUM($E$17:E91))</f>
        <v/>
      </c>
      <c r="G91" s="35" t="str">
        <f t="shared" si="6"/>
        <v/>
      </c>
      <c r="H91" s="35" t="str">
        <f t="shared" si="7"/>
        <v/>
      </c>
      <c r="I91" s="30" t="str">
        <f ca="1">IF(C91="", "", ROUND($H$5/1000*OFFSET(现价表!$B$1, MATCH($B$4, 现价表!$B$2:$B$747, 0), C91+3), 0))</f>
        <v/>
      </c>
      <c r="J91" s="31" t="str">
        <f>IF(C91="", "", IF(D91&lt;=60, MAX(F91, I91), MAX(2*$H$5*20-SUM(H$16:H90), 0)))</f>
        <v/>
      </c>
    </row>
    <row r="92" spans="3:10" x14ac:dyDescent="0.3">
      <c r="C92" s="29" t="str">
        <f t="shared" si="8"/>
        <v/>
      </c>
      <c r="D92" s="30" t="str">
        <f t="shared" si="9"/>
        <v/>
      </c>
      <c r="E92" s="31" t="str">
        <f t="shared" si="5"/>
        <v/>
      </c>
      <c r="F92" s="41" t="str">
        <f>IF(C92="", "", SUM($E$17:E92))</f>
        <v/>
      </c>
      <c r="G92" s="35" t="str">
        <f t="shared" si="6"/>
        <v/>
      </c>
      <c r="H92" s="35" t="str">
        <f t="shared" si="7"/>
        <v/>
      </c>
      <c r="I92" s="30" t="str">
        <f ca="1">IF(C92="", "", ROUND($H$5/1000*OFFSET(现价表!$B$1, MATCH($B$4, 现价表!$B$2:$B$747, 0), C92+3), 0))</f>
        <v/>
      </c>
      <c r="J92" s="31" t="str">
        <f>IF(C92="", "", IF(D92&lt;=60, MAX(F92, I92), MAX(2*$H$5*20-SUM(H$16:H91), 0)))</f>
        <v/>
      </c>
    </row>
    <row r="93" spans="3:10" x14ac:dyDescent="0.3">
      <c r="C93" s="29" t="str">
        <f t="shared" si="8"/>
        <v/>
      </c>
      <c r="D93" s="30" t="str">
        <f t="shared" si="9"/>
        <v/>
      </c>
      <c r="E93" s="31" t="str">
        <f t="shared" si="5"/>
        <v/>
      </c>
      <c r="F93" s="41" t="str">
        <f>IF(C93="", "", SUM($E$17:E93))</f>
        <v/>
      </c>
      <c r="G93" s="35" t="str">
        <f t="shared" si="6"/>
        <v/>
      </c>
      <c r="H93" s="35" t="str">
        <f t="shared" si="7"/>
        <v/>
      </c>
      <c r="I93" s="30" t="str">
        <f ca="1">IF(C93="", "", ROUND($H$5/1000*OFFSET(现价表!$B$1, MATCH($B$4, 现价表!$B$2:$B$747, 0), C93+3), 0))</f>
        <v/>
      </c>
      <c r="J93" s="31" t="str">
        <f>IF(C93="", "", IF(D93&lt;=60, MAX(F93, I93), MAX(2*$H$5*20-SUM(H$16:H92), 0)))</f>
        <v/>
      </c>
    </row>
    <row r="94" spans="3:10" x14ac:dyDescent="0.3">
      <c r="C94" s="29" t="str">
        <f t="shared" si="8"/>
        <v/>
      </c>
      <c r="D94" s="30" t="str">
        <f t="shared" si="9"/>
        <v/>
      </c>
      <c r="E94" s="31" t="str">
        <f t="shared" si="5"/>
        <v/>
      </c>
      <c r="F94" s="41" t="str">
        <f>IF(C94="", "", SUM($E$17:E94))</f>
        <v/>
      </c>
      <c r="G94" s="35" t="str">
        <f t="shared" si="6"/>
        <v/>
      </c>
      <c r="H94" s="35" t="str">
        <f t="shared" si="7"/>
        <v/>
      </c>
      <c r="I94" s="30" t="str">
        <f ca="1">IF(C94="", "", ROUND($H$5/1000*OFFSET(现价表!$B$1, MATCH($B$4, 现价表!$B$2:$B$747, 0), C94+3), 0))</f>
        <v/>
      </c>
      <c r="J94" s="31" t="str">
        <f>IF(C94="", "", IF(D94&lt;=60, MAX(F94, I94), MAX(2*$H$5*20-SUM(H$16:H93), 0)))</f>
        <v/>
      </c>
    </row>
    <row r="95" spans="3:10" x14ac:dyDescent="0.3">
      <c r="C95" s="29" t="str">
        <f t="shared" si="8"/>
        <v/>
      </c>
      <c r="D95" s="30" t="str">
        <f t="shared" si="9"/>
        <v/>
      </c>
      <c r="E95" s="31" t="str">
        <f t="shared" si="5"/>
        <v/>
      </c>
      <c r="F95" s="41" t="str">
        <f>IF(C95="", "", SUM($E$17:E95))</f>
        <v/>
      </c>
      <c r="G95" s="35" t="str">
        <f t="shared" si="6"/>
        <v/>
      </c>
      <c r="H95" s="35" t="str">
        <f t="shared" si="7"/>
        <v/>
      </c>
      <c r="I95" s="30" t="str">
        <f ca="1">IF(C95="", "", ROUND($H$5/1000*OFFSET(现价表!$B$1, MATCH($B$4, 现价表!$B$2:$B$747, 0), C95+3), 0))</f>
        <v/>
      </c>
      <c r="J95" s="31" t="str">
        <f>IF(C95="", "", IF(D95&lt;=60, MAX(F95, I95), MAX(2*$H$5*20-SUM(H$16:H94), 0)))</f>
        <v/>
      </c>
    </row>
    <row r="96" spans="3:10" x14ac:dyDescent="0.3">
      <c r="C96" s="29" t="str">
        <f t="shared" si="8"/>
        <v/>
      </c>
      <c r="D96" s="30" t="str">
        <f t="shared" si="9"/>
        <v/>
      </c>
      <c r="E96" s="31" t="str">
        <f t="shared" si="5"/>
        <v/>
      </c>
      <c r="F96" s="41" t="str">
        <f>IF(C96="", "", SUM($E$17:E96))</f>
        <v/>
      </c>
      <c r="G96" s="35" t="str">
        <f t="shared" si="6"/>
        <v/>
      </c>
      <c r="H96" s="35" t="str">
        <f t="shared" si="7"/>
        <v/>
      </c>
      <c r="I96" s="30" t="str">
        <f ca="1">IF(C96="", "", ROUND($H$5/1000*OFFSET(现价表!$B$1, MATCH($B$4, 现价表!$B$2:$B$747, 0), C96+3), 0))</f>
        <v/>
      </c>
      <c r="J96" s="31" t="str">
        <f>IF(C96="", "", IF(D96&lt;=60, MAX(F96, I96), MAX(2*$H$5*20-SUM(H$16:H95), 0)))</f>
        <v/>
      </c>
    </row>
    <row r="97" spans="3:10" x14ac:dyDescent="0.3">
      <c r="C97" s="29" t="str">
        <f t="shared" si="8"/>
        <v/>
      </c>
      <c r="D97" s="30" t="str">
        <f t="shared" si="9"/>
        <v/>
      </c>
      <c r="E97" s="31" t="str">
        <f t="shared" si="5"/>
        <v/>
      </c>
      <c r="F97" s="41" t="str">
        <f>IF(C97="", "", SUM($E$17:E97))</f>
        <v/>
      </c>
      <c r="G97" s="35" t="str">
        <f t="shared" si="6"/>
        <v/>
      </c>
      <c r="H97" s="35" t="str">
        <f t="shared" si="7"/>
        <v/>
      </c>
      <c r="I97" s="30" t="str">
        <f ca="1">IF(C97="", "", ROUND($H$5/1000*OFFSET(现价表!$B$1, MATCH($B$4, 现价表!$B$2:$B$747, 0), C97+3), 0))</f>
        <v/>
      </c>
      <c r="J97" s="31" t="str">
        <f>IF(C97="", "", IF(D97&lt;=60, MAX(F97, I97), MAX(2*$H$5*20-SUM(H$16:H96), 0)))</f>
        <v/>
      </c>
    </row>
    <row r="98" spans="3:10" x14ac:dyDescent="0.3">
      <c r="C98" s="29" t="str">
        <f t="shared" si="8"/>
        <v/>
      </c>
      <c r="D98" s="30" t="str">
        <f t="shared" si="9"/>
        <v/>
      </c>
      <c r="E98" s="31" t="str">
        <f t="shared" si="5"/>
        <v/>
      </c>
      <c r="F98" s="41" t="str">
        <f>IF(C98="", "", SUM($E$17:E98))</f>
        <v/>
      </c>
      <c r="G98" s="35" t="str">
        <f t="shared" si="6"/>
        <v/>
      </c>
      <c r="H98" s="35" t="str">
        <f t="shared" si="7"/>
        <v/>
      </c>
      <c r="I98" s="30" t="str">
        <f ca="1">IF(C98="", "", ROUND($H$5/1000*OFFSET(现价表!$B$1, MATCH($B$4, 现价表!$B$2:$B$747, 0), C98+3), 0))</f>
        <v/>
      </c>
      <c r="J98" s="31" t="str">
        <f>IF(C98="", "", IF(D98&lt;=60, MAX(F98, I98), MAX(2*$H$5*20-SUM(H$16:H97), 0)))</f>
        <v/>
      </c>
    </row>
    <row r="99" spans="3:10" x14ac:dyDescent="0.3">
      <c r="C99" s="29" t="str">
        <f t="shared" si="8"/>
        <v/>
      </c>
      <c r="D99" s="30" t="str">
        <f t="shared" si="9"/>
        <v/>
      </c>
      <c r="E99" s="31" t="str">
        <f t="shared" si="5"/>
        <v/>
      </c>
      <c r="F99" s="41" t="str">
        <f>IF(C99="", "", SUM($E$17:E99))</f>
        <v/>
      </c>
      <c r="G99" s="35" t="str">
        <f t="shared" si="6"/>
        <v/>
      </c>
      <c r="H99" s="35" t="str">
        <f t="shared" si="7"/>
        <v/>
      </c>
      <c r="I99" s="30" t="str">
        <f ca="1">IF(C99="", "", ROUND($H$5/1000*OFFSET(现价表!$B$1, MATCH($B$4, 现价表!$B$2:$B$747, 0), C99+3), 0))</f>
        <v/>
      </c>
      <c r="J99" s="31" t="str">
        <f>IF(C99="", "", IF(D99&lt;=60, MAX(F99, I99), MAX(2*$H$5*20-SUM(H$16:H98), 0)))</f>
        <v/>
      </c>
    </row>
    <row r="100" spans="3:10" x14ac:dyDescent="0.3">
      <c r="C100" s="29" t="str">
        <f t="shared" si="8"/>
        <v/>
      </c>
      <c r="D100" s="30" t="str">
        <f t="shared" si="9"/>
        <v/>
      </c>
      <c r="E100" s="31" t="str">
        <f t="shared" si="5"/>
        <v/>
      </c>
      <c r="F100" s="41" t="str">
        <f>IF(C100="", "", SUM($E$17:E100))</f>
        <v/>
      </c>
      <c r="G100" s="35" t="str">
        <f t="shared" si="6"/>
        <v/>
      </c>
      <c r="H100" s="35" t="str">
        <f t="shared" si="7"/>
        <v/>
      </c>
      <c r="I100" s="30" t="str">
        <f ca="1">IF(C100="", "", ROUND($H$5/1000*OFFSET(现价表!$B$1, MATCH($B$4, 现价表!$B$2:$B$747, 0), C100+3), 0))</f>
        <v/>
      </c>
      <c r="J100" s="31" t="str">
        <f>IF(C100="", "", IF(D100&lt;=60, MAX(F100, I100), MAX(2*$H$5*20-SUM(H$16:H99), 0)))</f>
        <v/>
      </c>
    </row>
    <row r="101" spans="3:10" x14ac:dyDescent="0.3">
      <c r="C101" s="29" t="str">
        <f t="shared" si="8"/>
        <v/>
      </c>
      <c r="D101" s="30" t="str">
        <f t="shared" si="9"/>
        <v/>
      </c>
      <c r="E101" s="31" t="str">
        <f t="shared" si="5"/>
        <v/>
      </c>
      <c r="F101" s="41" t="str">
        <f>IF(C101="", "", SUM($E$17:E101))</f>
        <v/>
      </c>
      <c r="G101" s="35" t="str">
        <f t="shared" si="6"/>
        <v/>
      </c>
      <c r="H101" s="35" t="str">
        <f t="shared" si="7"/>
        <v/>
      </c>
      <c r="I101" s="30" t="str">
        <f ca="1">IF(C101="", "", ROUND($H$5/1000*OFFSET(现价表!$B$1, MATCH($B$4, 现价表!$B$2:$B$747, 0), C101+3), 0))</f>
        <v/>
      </c>
      <c r="J101" s="31" t="str">
        <f>IF(C101="", "", IF(D101&lt;=60, MAX(F101, I101), MAX(2*$H$5*20-SUM(H$16:H100), 0)))</f>
        <v/>
      </c>
    </row>
    <row r="102" spans="3:10" x14ac:dyDescent="0.3">
      <c r="C102" s="29" t="str">
        <f t="shared" si="8"/>
        <v/>
      </c>
      <c r="D102" s="30" t="str">
        <f t="shared" si="9"/>
        <v/>
      </c>
      <c r="E102" s="31" t="str">
        <f t="shared" si="5"/>
        <v/>
      </c>
      <c r="F102" s="41" t="str">
        <f>IF(C102="", "", SUM($E$17:E102))</f>
        <v/>
      </c>
      <c r="G102" s="35" t="str">
        <f t="shared" si="6"/>
        <v/>
      </c>
      <c r="H102" s="35" t="str">
        <f t="shared" si="7"/>
        <v/>
      </c>
      <c r="I102" s="30" t="str">
        <f ca="1">IF(C102="", "", ROUND($H$5/1000*OFFSET(现价表!$B$1, MATCH($B$4, 现价表!$B$2:$B$747, 0), C102+3), 0))</f>
        <v/>
      </c>
      <c r="J102" s="31" t="str">
        <f>IF(C102="", "", IF(D102&lt;=60, MAX(F102, I102), MAX(2*$H$5*20-SUM(H$16:H101), 0)))</f>
        <v/>
      </c>
    </row>
    <row r="103" spans="3:10" x14ac:dyDescent="0.3">
      <c r="C103" s="29" t="str">
        <f t="shared" si="8"/>
        <v/>
      </c>
      <c r="D103" s="30" t="str">
        <f t="shared" si="9"/>
        <v/>
      </c>
      <c r="E103" s="31" t="str">
        <f t="shared" si="5"/>
        <v/>
      </c>
      <c r="F103" s="41" t="str">
        <f>IF(C103="", "", SUM($E$17:E103))</f>
        <v/>
      </c>
      <c r="G103" s="35" t="str">
        <f t="shared" si="6"/>
        <v/>
      </c>
      <c r="H103" s="35" t="str">
        <f t="shared" si="7"/>
        <v/>
      </c>
      <c r="I103" s="30" t="str">
        <f ca="1">IF(C103="", "", ROUND($H$5/1000*OFFSET(现价表!$B$1, MATCH($B$4, 现价表!$B$2:$B$747, 0), C103+3), 0))</f>
        <v/>
      </c>
      <c r="J103" s="31" t="str">
        <f>IF(C103="", "", IF(D103&lt;=60, MAX(F103, I103), MAX(2*$H$5*20-SUM(H$16:H102), 0)))</f>
        <v/>
      </c>
    </row>
    <row r="104" spans="3:10" x14ac:dyDescent="0.3">
      <c r="C104" s="29" t="str">
        <f t="shared" si="8"/>
        <v/>
      </c>
      <c r="D104" s="30" t="str">
        <f t="shared" si="9"/>
        <v/>
      </c>
      <c r="E104" s="31" t="str">
        <f t="shared" si="5"/>
        <v/>
      </c>
      <c r="F104" s="41" t="str">
        <f>IF(C104="", "", SUM($E$17:E104))</f>
        <v/>
      </c>
      <c r="G104" s="35" t="str">
        <f t="shared" si="6"/>
        <v/>
      </c>
      <c r="H104" s="35" t="str">
        <f t="shared" si="7"/>
        <v/>
      </c>
      <c r="I104" s="30" t="str">
        <f ca="1">IF(C104="", "", ROUND($H$5/1000*OFFSET(现价表!$B$1, MATCH($B$4, 现价表!$B$2:$B$747, 0), C104+3), 0))</f>
        <v/>
      </c>
      <c r="J104" s="31" t="str">
        <f>IF(C104="", "", IF(D104&lt;=60, MAX(F104, I104), MAX(2*$H$5*20-SUM(H$16:H103), 0)))</f>
        <v/>
      </c>
    </row>
    <row r="105" spans="3:10" x14ac:dyDescent="0.3">
      <c r="C105" s="29" t="str">
        <f t="shared" si="8"/>
        <v/>
      </c>
      <c r="D105" s="30" t="str">
        <f t="shared" si="9"/>
        <v/>
      </c>
      <c r="E105" s="31" t="str">
        <f t="shared" si="5"/>
        <v/>
      </c>
      <c r="F105" s="41" t="str">
        <f>IF(C105="", "", SUM($E$17:E105))</f>
        <v/>
      </c>
      <c r="G105" s="35" t="str">
        <f t="shared" si="6"/>
        <v/>
      </c>
      <c r="H105" s="35" t="str">
        <f t="shared" si="7"/>
        <v/>
      </c>
      <c r="I105" s="30" t="str">
        <f ca="1">IF(C105="", "", ROUND($H$5/1000*OFFSET(现价表!$B$1, MATCH($B$4, 现价表!$B$2:$B$747, 0), C105+3), 0))</f>
        <v/>
      </c>
      <c r="J105" s="31" t="str">
        <f>IF(C105="", "", IF(D105&lt;=60, MAX(F105, I105), MAX(2*$H$5*20-SUM(H$16:H104), 0)))</f>
        <v/>
      </c>
    </row>
    <row r="106" spans="3:10" x14ac:dyDescent="0.3">
      <c r="C106" s="29" t="str">
        <f t="shared" si="8"/>
        <v/>
      </c>
      <c r="D106" s="30" t="str">
        <f t="shared" si="9"/>
        <v/>
      </c>
      <c r="E106" s="31" t="str">
        <f t="shared" si="5"/>
        <v/>
      </c>
      <c r="F106" s="41" t="str">
        <f>IF(C106="", "", SUM($E$17:E106))</f>
        <v/>
      </c>
      <c r="G106" s="35" t="str">
        <f t="shared" si="6"/>
        <v/>
      </c>
      <c r="H106" s="35" t="str">
        <f t="shared" si="7"/>
        <v/>
      </c>
      <c r="I106" s="30" t="str">
        <f ca="1">IF(C106="", "", ROUND($H$5/1000*OFFSET(现价表!$B$1, MATCH($B$4, 现价表!$B$2:$B$747, 0), C106+3), 0))</f>
        <v/>
      </c>
      <c r="J106" s="31" t="str">
        <f>IF(C106="", "", IF(D106&lt;=60, MAX(F106, I106), MAX(2*$H$5*20-SUM(H$16:H105), 0)))</f>
        <v/>
      </c>
    </row>
    <row r="107" spans="3:10" x14ac:dyDescent="0.3">
      <c r="C107" s="29" t="str">
        <f t="shared" si="8"/>
        <v/>
      </c>
      <c r="D107" s="30" t="str">
        <f t="shared" si="9"/>
        <v/>
      </c>
      <c r="E107" s="31" t="str">
        <f t="shared" si="5"/>
        <v/>
      </c>
      <c r="F107" s="41" t="str">
        <f>IF(C107="", "", SUM($E$17:E107))</f>
        <v/>
      </c>
      <c r="G107" s="35" t="str">
        <f t="shared" si="6"/>
        <v/>
      </c>
      <c r="H107" s="35" t="str">
        <f t="shared" si="7"/>
        <v/>
      </c>
      <c r="I107" s="30" t="str">
        <f ca="1">IF(C107="", "", ROUND($H$5/1000*OFFSET(现价表!$B$1, MATCH($B$4, 现价表!$B$2:$B$747, 0), C107+3), 0))</f>
        <v/>
      </c>
      <c r="J107" s="31" t="str">
        <f>IF(C107="", "", IF(D107&lt;=60, MAX(F107, I107), MAX(2*$H$5*20-SUM(H$16:H106), 0)))</f>
        <v/>
      </c>
    </row>
    <row r="108" spans="3:10" x14ac:dyDescent="0.3">
      <c r="C108" s="29" t="str">
        <f t="shared" si="8"/>
        <v/>
      </c>
      <c r="D108" s="30" t="str">
        <f t="shared" si="9"/>
        <v/>
      </c>
      <c r="E108" s="31" t="str">
        <f t="shared" si="5"/>
        <v/>
      </c>
      <c r="F108" s="41" t="str">
        <f>IF(C108="", "", SUM($E$17:E108))</f>
        <v/>
      </c>
      <c r="G108" s="35" t="str">
        <f t="shared" si="6"/>
        <v/>
      </c>
      <c r="H108" s="35" t="str">
        <f t="shared" si="7"/>
        <v/>
      </c>
      <c r="I108" s="30" t="str">
        <f ca="1">IF(C108="", "", ROUND($H$5/1000*OFFSET(现价表!$B$1, MATCH($B$4, 现价表!$B$2:$B$747, 0), C108+3), 0))</f>
        <v/>
      </c>
      <c r="J108" s="31" t="str">
        <f>IF(C108="", "", IF(D108&lt;=60, MAX(F108, I108), MAX(2*$H$5*20-SUM(H$16:H107), 0)))</f>
        <v/>
      </c>
    </row>
    <row r="109" spans="3:10" x14ac:dyDescent="0.3">
      <c r="C109" s="29" t="str">
        <f t="shared" si="8"/>
        <v/>
      </c>
      <c r="D109" s="30" t="str">
        <f t="shared" si="9"/>
        <v/>
      </c>
      <c r="E109" s="31" t="str">
        <f t="shared" si="5"/>
        <v/>
      </c>
      <c r="F109" s="41" t="str">
        <f>IF(C109="", "", SUM($E$17:E109))</f>
        <v/>
      </c>
      <c r="G109" s="35" t="str">
        <f t="shared" si="6"/>
        <v/>
      </c>
      <c r="H109" s="35" t="str">
        <f t="shared" si="7"/>
        <v/>
      </c>
      <c r="I109" s="30" t="str">
        <f ca="1">IF(C109="", "", ROUND($H$5/1000*OFFSET(现价表!$B$1, MATCH($B$4, 现价表!$B$2:$B$747, 0), C109+3), 0))</f>
        <v/>
      </c>
      <c r="J109" s="31" t="str">
        <f>IF(C109="", "", IF(D109&lt;=60, MAX(F109, I109), MAX(2*$H$5*20-SUM(H$16:H108), 0)))</f>
        <v/>
      </c>
    </row>
    <row r="110" spans="3:10" x14ac:dyDescent="0.3">
      <c r="C110" s="29" t="str">
        <f t="shared" si="8"/>
        <v/>
      </c>
      <c r="D110" s="30" t="str">
        <f t="shared" si="9"/>
        <v/>
      </c>
      <c r="E110" s="31" t="str">
        <f t="shared" si="5"/>
        <v/>
      </c>
      <c r="F110" s="41" t="str">
        <f>IF(C110="", "", SUM($E$17:E110))</f>
        <v/>
      </c>
      <c r="G110" s="35" t="str">
        <f t="shared" si="6"/>
        <v/>
      </c>
      <c r="H110" s="35" t="str">
        <f t="shared" si="7"/>
        <v/>
      </c>
      <c r="I110" s="30" t="str">
        <f ca="1">IF(C110="", "", ROUND($H$5/1000*OFFSET(现价表!$B$1, MATCH($B$4, 现价表!$B$2:$B$747, 0), C110+3), 0))</f>
        <v/>
      </c>
      <c r="J110" s="31" t="str">
        <f>IF(C110="", "", IF(D110&lt;=60, MAX(F110, I110), MAX(2*$H$5*20-SUM(H$16:H109), 0)))</f>
        <v/>
      </c>
    </row>
    <row r="111" spans="3:10" x14ac:dyDescent="0.3">
      <c r="C111" s="29" t="str">
        <f t="shared" si="8"/>
        <v/>
      </c>
      <c r="D111" s="30" t="str">
        <f t="shared" si="9"/>
        <v/>
      </c>
      <c r="E111" s="31" t="str">
        <f t="shared" si="5"/>
        <v/>
      </c>
      <c r="F111" s="41" t="str">
        <f>IF(C111="", "", SUM($E$17:E111))</f>
        <v/>
      </c>
      <c r="G111" s="35" t="str">
        <f t="shared" si="6"/>
        <v/>
      </c>
      <c r="H111" s="35" t="str">
        <f t="shared" si="7"/>
        <v/>
      </c>
      <c r="I111" s="30" t="str">
        <f ca="1">IF(C111="", "", ROUND($H$5/1000*OFFSET(现价表!$B$1, MATCH($B$4, 现价表!$B$2:$B$747, 0), C111+3), 0))</f>
        <v/>
      </c>
      <c r="J111" s="31" t="str">
        <f>IF(C111="", "", IF(D111&lt;=60, MAX(F111, I111), MAX(2*$H$5*20-SUM(H$16:H110), 0)))</f>
        <v/>
      </c>
    </row>
    <row r="112" spans="3:10" x14ac:dyDescent="0.3">
      <c r="C112" s="29" t="str">
        <f t="shared" si="8"/>
        <v/>
      </c>
      <c r="D112" s="30" t="str">
        <f t="shared" si="9"/>
        <v/>
      </c>
      <c r="E112" s="31" t="str">
        <f t="shared" si="5"/>
        <v/>
      </c>
      <c r="F112" s="41" t="str">
        <f>IF(C112="", "", SUM($E$17:E112))</f>
        <v/>
      </c>
      <c r="G112" s="35" t="str">
        <f t="shared" si="6"/>
        <v/>
      </c>
      <c r="H112" s="35" t="str">
        <f t="shared" si="7"/>
        <v/>
      </c>
      <c r="I112" s="30" t="str">
        <f ca="1">IF(C112="", "", ROUND($H$5/1000*OFFSET(现价表!$B$1, MATCH($B$4, 现价表!$B$2:$B$747, 0), C112+3), 0))</f>
        <v/>
      </c>
      <c r="J112" s="31" t="str">
        <f>IF(C112="", "", IF(D112&lt;=60, MAX(F112, I112), MAX(2*$H$5*20-SUM(H$16:H111), 0)))</f>
        <v/>
      </c>
    </row>
    <row r="113" spans="3:10" x14ac:dyDescent="0.3">
      <c r="C113" s="29" t="str">
        <f t="shared" si="8"/>
        <v/>
      </c>
      <c r="D113" s="30" t="str">
        <f t="shared" si="9"/>
        <v/>
      </c>
      <c r="E113" s="31" t="str">
        <f t="shared" si="5"/>
        <v/>
      </c>
      <c r="F113" s="41" t="str">
        <f>IF(C113="", "", SUM($E$17:E113))</f>
        <v/>
      </c>
      <c r="G113" s="35" t="str">
        <f t="shared" si="6"/>
        <v/>
      </c>
      <c r="H113" s="35" t="str">
        <f t="shared" si="7"/>
        <v/>
      </c>
      <c r="I113" s="30" t="str">
        <f ca="1">IF(C113="", "", ROUND($H$5/1000*OFFSET(现价表!$B$1, MATCH($B$4, 现价表!$B$2:$B$747, 0), C113+3), 0))</f>
        <v/>
      </c>
      <c r="J113" s="31" t="str">
        <f>IF(C113="", "", IF(D113&lt;=60, MAX(F113, I113), MAX(2*$H$5*20-SUM(H$16:H112), 0)))</f>
        <v/>
      </c>
    </row>
    <row r="114" spans="3:10" x14ac:dyDescent="0.3">
      <c r="C114" s="29" t="str">
        <f t="shared" si="8"/>
        <v/>
      </c>
      <c r="D114" s="30" t="str">
        <f t="shared" si="9"/>
        <v/>
      </c>
      <c r="E114" s="31" t="str">
        <f t="shared" si="5"/>
        <v/>
      </c>
      <c r="F114" s="41" t="str">
        <f>IF(C114="", "", SUM($E$17:E114))</f>
        <v/>
      </c>
      <c r="G114" s="35" t="str">
        <f t="shared" si="6"/>
        <v/>
      </c>
      <c r="H114" s="35" t="str">
        <f t="shared" si="7"/>
        <v/>
      </c>
      <c r="I114" s="30" t="str">
        <f ca="1">IF(C114="", "", ROUND($H$5/1000*OFFSET(现价表!$B$1, MATCH($B$4, 现价表!$B$2:$B$747, 0), C114+3), 0))</f>
        <v/>
      </c>
      <c r="J114" s="31" t="str">
        <f>IF(C114="", "", IF(D114&lt;=60, MAX(F114, I114), MAX(2*$H$5*20-SUM(H$16:H113), 0)))</f>
        <v/>
      </c>
    </row>
    <row r="115" spans="3:10" x14ac:dyDescent="0.3">
      <c r="C115" s="29" t="str">
        <f t="shared" si="8"/>
        <v/>
      </c>
      <c r="D115" s="30" t="str">
        <f t="shared" si="9"/>
        <v/>
      </c>
      <c r="E115" s="31" t="str">
        <f t="shared" si="5"/>
        <v/>
      </c>
      <c r="F115" s="41" t="str">
        <f>IF(C115="", "", SUM($E$17:E115))</f>
        <v/>
      </c>
      <c r="G115" s="35" t="str">
        <f t="shared" si="6"/>
        <v/>
      </c>
      <c r="H115" s="35" t="str">
        <f t="shared" si="7"/>
        <v/>
      </c>
      <c r="I115" s="30" t="str">
        <f ca="1">IF(C115="", "", ROUND($H$5/1000*OFFSET(现价表!$B$1, MATCH($B$4, 现价表!$B$2:$B$747, 0), C115+3), 0))</f>
        <v/>
      </c>
      <c r="J115" s="31" t="str">
        <f>IF(C115="", "", IF(D115&lt;=60, MAX(F115, I115), MAX(2*$H$5*20-SUM(H$16:H114), 0)))</f>
        <v/>
      </c>
    </row>
    <row r="116" spans="3:10" x14ac:dyDescent="0.3">
      <c r="C116" s="29" t="str">
        <f t="shared" si="8"/>
        <v/>
      </c>
      <c r="D116" s="30" t="str">
        <f t="shared" si="9"/>
        <v/>
      </c>
      <c r="E116" s="31" t="str">
        <f t="shared" si="5"/>
        <v/>
      </c>
      <c r="F116" s="41" t="str">
        <f>IF(C116="", "", SUM($E$17:E116))</f>
        <v/>
      </c>
      <c r="G116" s="35" t="str">
        <f t="shared" si="6"/>
        <v/>
      </c>
      <c r="H116" s="35" t="str">
        <f t="shared" si="7"/>
        <v/>
      </c>
      <c r="I116" s="30" t="str">
        <f ca="1">IF(C116="", "", ROUND($H$5/1000*OFFSET(现价表!$B$1, MATCH($B$4, 现价表!$B$2:$B$747, 0), C116+3), 0))</f>
        <v/>
      </c>
      <c r="J116" s="31" t="str">
        <f>IF(C116="", "", IF(D116&lt;=60, MAX(F116, I116), MAX(2*$H$5*20-SUM(H$16:H115), 0)))</f>
        <v/>
      </c>
    </row>
    <row r="117" spans="3:10" x14ac:dyDescent="0.3">
      <c r="C117" s="29" t="str">
        <f t="shared" si="8"/>
        <v/>
      </c>
      <c r="D117" s="30" t="str">
        <f t="shared" si="9"/>
        <v/>
      </c>
      <c r="E117" s="31" t="str">
        <f t="shared" si="5"/>
        <v/>
      </c>
      <c r="F117" s="41" t="str">
        <f>IF(C117="", "", SUM($E$17:E117))</f>
        <v/>
      </c>
      <c r="G117" s="35" t="str">
        <f t="shared" si="6"/>
        <v/>
      </c>
      <c r="H117" s="35" t="str">
        <f t="shared" si="7"/>
        <v/>
      </c>
      <c r="I117" s="30" t="str">
        <f ca="1">IF(C117="", "", ROUND($H$5/1000*OFFSET(现价表!$B$1, MATCH($B$4, 现价表!$B$2:$B$747, 0), C117+3), 0))</f>
        <v/>
      </c>
      <c r="J117" s="31" t="str">
        <f>IF(C117="", "", IF(D117&lt;=60, MAX(F117, I117), MAX(2*$H$5*20-SUM(H$16:H116), 0)))</f>
        <v/>
      </c>
    </row>
    <row r="118" spans="3:10" x14ac:dyDescent="0.3">
      <c r="C118" s="29" t="str">
        <f t="shared" si="8"/>
        <v/>
      </c>
      <c r="D118" s="30" t="str">
        <f t="shared" si="9"/>
        <v/>
      </c>
      <c r="E118" s="31" t="str">
        <f t="shared" si="5"/>
        <v/>
      </c>
      <c r="F118" s="41" t="str">
        <f>IF(C118="", "", SUM($E$17:E118))</f>
        <v/>
      </c>
      <c r="G118" s="35" t="str">
        <f t="shared" si="6"/>
        <v/>
      </c>
      <c r="H118" s="35" t="str">
        <f t="shared" si="7"/>
        <v/>
      </c>
      <c r="I118" s="30" t="str">
        <f ca="1">IF(C118="", "", ROUND($H$5/1000*OFFSET(现价表!$B$1, MATCH($B$4, 现价表!$B$2:$B$747, 0), C118+3), 0))</f>
        <v/>
      </c>
      <c r="J118" s="31" t="str">
        <f>IF(C118="", "", IF(D118&lt;=60, MAX(F118, I118), MAX(2*$H$5*20-SUM(H$16:H117), 0)))</f>
        <v/>
      </c>
    </row>
    <row r="119" spans="3:10" x14ac:dyDescent="0.3">
      <c r="C119" s="29" t="str">
        <f t="shared" si="8"/>
        <v/>
      </c>
      <c r="D119" s="30" t="str">
        <f t="shared" si="9"/>
        <v/>
      </c>
      <c r="E119" s="31" t="str">
        <f t="shared" si="5"/>
        <v/>
      </c>
      <c r="F119" s="41" t="str">
        <f>IF(C119="", "", SUM($E$17:E119))</f>
        <v/>
      </c>
      <c r="G119" s="35" t="str">
        <f t="shared" si="6"/>
        <v/>
      </c>
      <c r="H119" s="35" t="str">
        <f t="shared" si="7"/>
        <v/>
      </c>
      <c r="I119" s="30" t="str">
        <f ca="1">IF(C119="", "", ROUND($H$5/1000*OFFSET(现价表!$B$1, MATCH($B$4, 现价表!$B$2:$B$747, 0), C119+3), 0))</f>
        <v/>
      </c>
      <c r="J119" s="31" t="str">
        <f>IF(C119="", "", IF(D119&lt;=60, MAX(F119, I119), MAX(2*$H$5*20-SUM(H$16:H118), 0)))</f>
        <v/>
      </c>
    </row>
    <row r="120" spans="3:10" x14ac:dyDescent="0.3">
      <c r="C120" s="29" t="str">
        <f t="shared" si="8"/>
        <v/>
      </c>
      <c r="D120" s="30" t="str">
        <f t="shared" si="9"/>
        <v/>
      </c>
      <c r="E120" s="31" t="str">
        <f t="shared" si="5"/>
        <v/>
      </c>
      <c r="F120" s="41" t="str">
        <f>IF(C120="", "", SUM($E$17:E120))</f>
        <v/>
      </c>
      <c r="G120" s="35" t="str">
        <f t="shared" si="6"/>
        <v/>
      </c>
      <c r="H120" s="35" t="str">
        <f t="shared" si="7"/>
        <v/>
      </c>
      <c r="I120" s="30" t="str">
        <f ca="1">IF(C120="", "", ROUND($H$5/1000*OFFSET(现价表!$B$1, MATCH($B$4, 现价表!$B$2:$B$747, 0), C120+3), 0))</f>
        <v/>
      </c>
      <c r="J120" s="31" t="str">
        <f>IF(C120="", "", IF(D120&lt;=60, MAX(F120, I120), MAX(2*$H$5*20-SUM(H$16:H119), 0)))</f>
        <v/>
      </c>
    </row>
    <row r="121" spans="3:10" x14ac:dyDescent="0.3">
      <c r="C121" s="32" t="str">
        <f t="shared" si="8"/>
        <v/>
      </c>
      <c r="D121" s="33" t="str">
        <f t="shared" si="9"/>
        <v/>
      </c>
      <c r="E121" s="34" t="str">
        <f t="shared" si="5"/>
        <v/>
      </c>
      <c r="F121" s="42" t="str">
        <f>IF(C121="", "", SUM($E$17:E121))</f>
        <v/>
      </c>
      <c r="G121" s="38" t="str">
        <f t="shared" si="6"/>
        <v/>
      </c>
      <c r="H121" s="43" t="str">
        <f t="shared" si="7"/>
        <v/>
      </c>
      <c r="I121" s="39" t="str">
        <f ca="1">IF(C121="", "", ROUND($H$5/1000*OFFSET(现价表!$B$1, MATCH($B$4, 现价表!$B$2:$B$747, 0), C121+3), 0))</f>
        <v/>
      </c>
      <c r="J121" s="34" t="str">
        <f>IF(C121="", "", IF(D121&lt;=60, MAX(F121, I121), MAX(2*$H$5*20-SUM(H$16:H120), 0)))</f>
        <v/>
      </c>
    </row>
  </sheetData>
  <sheetProtection algorithmName="SHA-512" hashValue="NTaqB9p5JOU0tD91L7sN04PSVCFbMNDeDV4bnFlrYs0l9Sh1JvxmqEl/BFu7PTu3Re9lZ1+r9ZlYO9GVUR4Rlg==" saltValue="o74PrZZoHIwVsLONlkesQg==" spinCount="100000" sheet="1" objects="1" scenarios="1"/>
  <mergeCells count="3">
    <mergeCell ref="C1:J1"/>
    <mergeCell ref="C15:E15"/>
    <mergeCell ref="F15:J15"/>
  </mergeCells>
  <phoneticPr fontId="5" type="noConversion"/>
  <conditionalFormatting sqref="C17:J121">
    <cfRule type="expression" dxfId="9" priority="9">
      <formula>MOD(ROW()-ROW($C$17)+1,5)=0</formula>
    </cfRule>
  </conditionalFormatting>
  <conditionalFormatting sqref="I121">
    <cfRule type="expression" dxfId="8" priority="1">
      <formula>MOD(ROW()-ROW($C$18)+1,5)=0</formula>
    </cfRule>
  </conditionalFormatting>
  <dataValidations count="3">
    <dataValidation type="list" allowBlank="1" showInputMessage="1" showErrorMessage="1" sqref="F9:F10">
      <formula1>"是,否"</formula1>
    </dataValidation>
    <dataValidation type="list" allowBlank="1" showInputMessage="1" showErrorMessage="1" sqref="F3">
      <formula1>"一次性付清,3年交,5年交,10年交"</formula1>
    </dataValidation>
    <dataValidation type="list" allowBlank="1" showInputMessage="1" showErrorMessage="1" sqref="D3">
      <formula1>"男,女"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X122"/>
  <sheetViews>
    <sheetView showGridLines="0" zoomScale="110" zoomScaleNormal="110" workbookViewId="0">
      <pane xSplit="4" ySplit="17" topLeftCell="E18" activePane="bottomRight" state="frozen"/>
      <selection pane="topRight" activeCell="E1" sqref="E1"/>
      <selection pane="bottomLeft" activeCell="A18" sqref="A18"/>
      <selection pane="bottomRight" activeCell="G32" sqref="G32"/>
    </sheetView>
  </sheetViews>
  <sheetFormatPr defaultRowHeight="14.25" x14ac:dyDescent="0.15"/>
  <cols>
    <col min="1" max="2" width="9" style="50"/>
    <col min="3" max="3" width="12.5" style="1" customWidth="1"/>
    <col min="4" max="4" width="13.375" style="1" customWidth="1"/>
    <col min="5" max="5" width="12.375" style="1" customWidth="1"/>
    <col min="6" max="6" width="11.75" style="1" customWidth="1"/>
    <col min="7" max="7" width="12.75" style="1" customWidth="1"/>
    <col min="8" max="9" width="11.875" style="1" customWidth="1"/>
    <col min="10" max="10" width="10.125" style="1" customWidth="1"/>
    <col min="11" max="11" width="9.75" style="1" customWidth="1"/>
    <col min="12" max="13" width="11.875" style="1" customWidth="1"/>
    <col min="14" max="14" width="10.875" style="1" customWidth="1"/>
    <col min="15" max="15" width="10.125" style="1" customWidth="1"/>
    <col min="16" max="16" width="12" style="1" customWidth="1"/>
    <col min="17" max="17" width="11.625" style="1" customWidth="1"/>
    <col min="18" max="18" width="9" style="1"/>
    <col min="19" max="19" width="11.875" style="1" customWidth="1"/>
    <col min="20" max="20" width="10.875" style="1" customWidth="1"/>
    <col min="21" max="21" width="10.75" style="1" customWidth="1"/>
    <col min="22" max="22" width="10.25" style="1" customWidth="1"/>
    <col min="23" max="23" width="9" style="1"/>
    <col min="24" max="24" width="12.125" style="1" customWidth="1"/>
    <col min="25" max="16384" width="9" style="50"/>
  </cols>
  <sheetData>
    <row r="1" spans="2:24" ht="27.75" customHeight="1" x14ac:dyDescent="0.15">
      <c r="C1" s="104" t="s">
        <v>52</v>
      </c>
      <c r="D1" s="104"/>
      <c r="E1" s="104"/>
      <c r="F1" s="104"/>
      <c r="G1" s="104"/>
      <c r="H1" s="104"/>
      <c r="I1" s="104"/>
      <c r="J1" s="104"/>
      <c r="K1" s="82"/>
      <c r="L1" s="44"/>
      <c r="M1" s="44"/>
      <c r="N1" s="44"/>
      <c r="O1" s="44"/>
      <c r="P1" s="44"/>
      <c r="Q1" s="44"/>
      <c r="R1" s="44"/>
      <c r="S1" s="44"/>
    </row>
    <row r="2" spans="2:24" ht="15" thickBot="1" x14ac:dyDescent="0.2">
      <c r="C2" s="2" t="s">
        <v>0</v>
      </c>
      <c r="D2" s="2"/>
      <c r="E2" s="2"/>
      <c r="F2" s="3"/>
      <c r="G2" s="2"/>
      <c r="H2" s="4"/>
      <c r="I2" s="5"/>
      <c r="J2" s="5"/>
      <c r="K2" s="5"/>
      <c r="P2" s="61"/>
      <c r="Q2" s="61"/>
      <c r="R2" s="62"/>
      <c r="S2" s="62"/>
      <c r="T2" s="61"/>
      <c r="U2" s="61"/>
      <c r="V2" s="61"/>
      <c r="W2" s="61"/>
      <c r="X2" s="61"/>
    </row>
    <row r="3" spans="2:24" x14ac:dyDescent="0.15">
      <c r="B3" s="53">
        <f>VLOOKUP(F3, $O$3:$P$8, 2, 0)</f>
        <v>10</v>
      </c>
      <c r="C3" s="6" t="s">
        <v>1</v>
      </c>
      <c r="D3" s="17" t="str">
        <f>利益演示!D3</f>
        <v>男</v>
      </c>
      <c r="E3" s="6" t="s">
        <v>3</v>
      </c>
      <c r="F3" s="17" t="str">
        <f>利益演示!F3</f>
        <v>10年交</v>
      </c>
      <c r="G3" s="6" t="s">
        <v>5</v>
      </c>
      <c r="H3" s="17">
        <f>利益演示!H3</f>
        <v>30</v>
      </c>
      <c r="I3" s="8" t="str">
        <f>IF(H3&gt;VLOOKUP(F3,保费保额表!$J$2:$K$7,2,FALSE),F3&amp;"最大投保年龄为"&amp;VLOOKUP(F3,保费保额表!$J$2:$K$7,2,FALSE)&amp;"周岁，请重新选择","")</f>
        <v/>
      </c>
      <c r="J3" s="9"/>
      <c r="K3" s="9"/>
      <c r="O3" s="48" t="s">
        <v>16</v>
      </c>
      <c r="P3" s="48">
        <v>1</v>
      </c>
      <c r="Q3" s="48"/>
      <c r="R3" s="97" t="s">
        <v>40</v>
      </c>
      <c r="S3" s="97" t="s">
        <v>41</v>
      </c>
      <c r="T3" s="48"/>
      <c r="U3" s="98" t="s">
        <v>38</v>
      </c>
      <c r="V3" s="98" t="s">
        <v>39</v>
      </c>
      <c r="W3" s="63"/>
      <c r="X3" s="61"/>
    </row>
    <row r="4" spans="2:24" ht="15" thickBot="1" x14ac:dyDescent="0.2">
      <c r="B4" s="53" t="str">
        <f>B3&amp;"_"&amp;D3&amp;"_"&amp;H3</f>
        <v>10_男_30</v>
      </c>
      <c r="C4" s="2" t="s">
        <v>6</v>
      </c>
      <c r="D4" s="2"/>
      <c r="E4" s="2"/>
      <c r="F4" s="2"/>
      <c r="G4" s="2"/>
      <c r="H4" s="2"/>
      <c r="I4" s="2"/>
      <c r="J4" s="2"/>
      <c r="K4" s="5"/>
      <c r="O4" s="48" t="s">
        <v>17</v>
      </c>
      <c r="P4" s="48">
        <v>3</v>
      </c>
      <c r="Q4" s="48"/>
      <c r="R4" s="97">
        <v>0</v>
      </c>
      <c r="S4" s="99">
        <v>1</v>
      </c>
      <c r="T4" s="48"/>
      <c r="U4" s="53">
        <v>1</v>
      </c>
      <c r="V4" s="100">
        <v>0.03</v>
      </c>
      <c r="W4" s="63"/>
      <c r="X4" s="61"/>
    </row>
    <row r="5" spans="2:24" x14ac:dyDescent="0.15">
      <c r="B5" s="64"/>
      <c r="C5" s="10" t="s">
        <v>58</v>
      </c>
      <c r="D5" s="10"/>
      <c r="E5" s="6" t="s">
        <v>7</v>
      </c>
      <c r="F5" s="52">
        <f>利益演示!F5</f>
        <v>100000</v>
      </c>
      <c r="G5" s="6" t="s">
        <v>28</v>
      </c>
      <c r="H5" s="12">
        <f ca="1">利益演示!H5</f>
        <v>24300</v>
      </c>
      <c r="I5" s="6" t="s">
        <v>8</v>
      </c>
      <c r="J5" s="12">
        <f>利益演示!J5</f>
        <v>1000000</v>
      </c>
      <c r="K5" s="12"/>
      <c r="O5" s="48" t="s">
        <v>10</v>
      </c>
      <c r="P5" s="48">
        <v>5</v>
      </c>
      <c r="Q5" s="48"/>
      <c r="R5" s="97">
        <v>18</v>
      </c>
      <c r="S5" s="99">
        <v>1.6</v>
      </c>
      <c r="T5" s="48"/>
      <c r="U5" s="53">
        <v>2</v>
      </c>
      <c r="V5" s="100">
        <v>0.01</v>
      </c>
      <c r="W5" s="63"/>
      <c r="X5" s="61"/>
    </row>
    <row r="6" spans="2:24" x14ac:dyDescent="0.15">
      <c r="B6" s="64"/>
      <c r="C6" s="10" t="s">
        <v>50</v>
      </c>
      <c r="D6" s="10"/>
      <c r="E6" s="6" t="s">
        <v>37</v>
      </c>
      <c r="F6" s="56">
        <v>1000</v>
      </c>
      <c r="G6" s="12"/>
      <c r="H6" s="12"/>
      <c r="I6" s="12"/>
      <c r="J6" s="12"/>
      <c r="K6" s="12"/>
      <c r="O6" s="48" t="s">
        <v>18</v>
      </c>
      <c r="P6" s="48">
        <v>10</v>
      </c>
      <c r="Q6" s="48"/>
      <c r="R6" s="97">
        <v>42</v>
      </c>
      <c r="S6" s="99">
        <v>1.4</v>
      </c>
      <c r="T6" s="48"/>
      <c r="U6" s="53">
        <v>3</v>
      </c>
      <c r="V6" s="100">
        <v>0.01</v>
      </c>
      <c r="W6" s="63"/>
      <c r="X6" s="61"/>
    </row>
    <row r="7" spans="2:24" x14ac:dyDescent="0.15">
      <c r="C7" s="10"/>
      <c r="D7" s="10"/>
      <c r="E7" s="6"/>
      <c r="F7" s="12"/>
      <c r="G7" s="12"/>
      <c r="H7" s="12"/>
      <c r="I7" s="12"/>
      <c r="J7" s="12"/>
      <c r="K7" s="12"/>
      <c r="O7" s="48" t="s">
        <v>19</v>
      </c>
      <c r="P7" s="48">
        <v>15</v>
      </c>
      <c r="Q7" s="48"/>
      <c r="R7" s="97">
        <v>62</v>
      </c>
      <c r="S7" s="99">
        <v>1.2</v>
      </c>
      <c r="T7" s="48"/>
      <c r="U7" s="53">
        <v>4</v>
      </c>
      <c r="V7" s="100">
        <v>0.01</v>
      </c>
      <c r="W7" s="61"/>
      <c r="X7" s="61"/>
    </row>
    <row r="8" spans="2:24" x14ac:dyDescent="0.15">
      <c r="C8" s="5"/>
      <c r="D8" s="5"/>
      <c r="E8" s="5"/>
      <c r="F8" s="5"/>
      <c r="G8" s="13"/>
      <c r="H8" s="14"/>
      <c r="I8" s="13"/>
      <c r="J8" s="15"/>
      <c r="K8" s="15"/>
      <c r="O8" s="48" t="s">
        <v>4</v>
      </c>
      <c r="P8" s="48">
        <v>20</v>
      </c>
      <c r="Q8" s="48"/>
      <c r="R8" s="48"/>
      <c r="S8" s="48"/>
      <c r="T8" s="48"/>
      <c r="U8" s="53">
        <v>5</v>
      </c>
      <c r="V8" s="100">
        <v>0.01</v>
      </c>
      <c r="W8" s="61"/>
      <c r="X8" s="61"/>
    </row>
    <row r="9" spans="2:24" x14ac:dyDescent="0.3">
      <c r="C9" s="8"/>
      <c r="D9" s="5"/>
      <c r="E9" s="16"/>
      <c r="F9" s="17"/>
      <c r="G9" s="13"/>
      <c r="H9" s="14"/>
      <c r="I9" s="13"/>
      <c r="J9" s="15"/>
      <c r="K9" s="15"/>
      <c r="O9" s="48"/>
      <c r="P9" s="48"/>
      <c r="Q9" s="48"/>
      <c r="R9" s="48"/>
      <c r="S9" s="48"/>
      <c r="T9" s="48"/>
      <c r="U9" s="53">
        <v>6</v>
      </c>
      <c r="V9" s="100">
        <v>0</v>
      </c>
      <c r="W9" s="61"/>
      <c r="X9" s="61"/>
    </row>
    <row r="10" spans="2:24" x14ac:dyDescent="0.3">
      <c r="C10" s="10"/>
      <c r="D10" s="5"/>
      <c r="E10" s="16"/>
      <c r="F10" s="17"/>
      <c r="G10" s="13"/>
      <c r="H10" s="14"/>
      <c r="I10" s="13"/>
      <c r="J10" s="15"/>
      <c r="K10" s="15"/>
      <c r="O10" s="48"/>
      <c r="P10" s="48"/>
      <c r="Q10" s="48"/>
      <c r="R10" s="48"/>
      <c r="S10" s="48"/>
      <c r="T10" s="48"/>
      <c r="U10" s="48"/>
      <c r="V10" s="48"/>
      <c r="W10" s="61"/>
      <c r="X10" s="61"/>
    </row>
    <row r="11" spans="2:24" x14ac:dyDescent="0.3">
      <c r="C11" s="10"/>
      <c r="D11" s="5"/>
      <c r="E11" s="16"/>
      <c r="F11" s="14"/>
      <c r="G11" s="13"/>
      <c r="H11" s="14"/>
      <c r="I11" s="13"/>
      <c r="J11" s="15"/>
      <c r="K11" s="15"/>
    </row>
    <row r="12" spans="2:24" x14ac:dyDescent="0.3">
      <c r="C12" s="10"/>
      <c r="D12" s="5"/>
      <c r="E12" s="16"/>
      <c r="F12" s="14"/>
      <c r="G12" s="13"/>
      <c r="H12" s="14"/>
      <c r="I12" s="13"/>
      <c r="J12" s="15"/>
      <c r="K12" s="15"/>
    </row>
    <row r="13" spans="2:24" x14ac:dyDescent="0.15">
      <c r="G13" s="51"/>
      <c r="H13" s="51"/>
      <c r="I13" s="51"/>
      <c r="J13" s="51"/>
      <c r="K13" s="51"/>
      <c r="L13" s="51"/>
      <c r="M13" s="51"/>
      <c r="N13" s="51"/>
    </row>
    <row r="14" spans="2:24" x14ac:dyDescent="0.15">
      <c r="O14" s="96" t="str">
        <f ca="1">IF(MIN(Q18:OFFSET(Q18, 105-$H$3-1, 0))&lt;=0, LEFT(O15, 4)&amp;"下账户价值不支持此部分领取方案！", "")</f>
        <v/>
      </c>
      <c r="T14" s="96" t="str">
        <f ca="1">IF(MIN(V18:OFFSET(V18, 105-$H$3-1, 0))&lt;=0, LEFT(T15, 4)&amp;"下账户价值不支持此部分领取方案！", "")</f>
        <v/>
      </c>
    </row>
    <row r="15" spans="2:24" ht="14.25" customHeight="1" x14ac:dyDescent="0.3">
      <c r="C15" s="105" t="s">
        <v>20</v>
      </c>
      <c r="D15" s="107"/>
      <c r="E15" s="109" t="s">
        <v>37</v>
      </c>
      <c r="F15" s="89" t="s">
        <v>31</v>
      </c>
      <c r="G15" s="89" t="s">
        <v>30</v>
      </c>
      <c r="H15" s="111" t="s">
        <v>32</v>
      </c>
      <c r="I15" s="113" t="s">
        <v>33</v>
      </c>
      <c r="J15" s="114" t="s">
        <v>34</v>
      </c>
      <c r="K15" s="111" t="s">
        <v>49</v>
      </c>
      <c r="L15" s="91" t="s">
        <v>35</v>
      </c>
      <c r="M15" s="111" t="s">
        <v>42</v>
      </c>
      <c r="N15" s="113" t="s">
        <v>43</v>
      </c>
      <c r="O15" s="105" t="s">
        <v>60</v>
      </c>
      <c r="P15" s="106"/>
      <c r="Q15" s="106"/>
      <c r="R15" s="106"/>
      <c r="S15" s="107"/>
      <c r="T15" s="105" t="s">
        <v>61</v>
      </c>
      <c r="U15" s="106"/>
      <c r="V15" s="106"/>
      <c r="W15" s="106"/>
      <c r="X15" s="107"/>
    </row>
    <row r="16" spans="2:24" x14ac:dyDescent="0.15">
      <c r="B16" s="54"/>
      <c r="C16" s="60" t="s">
        <v>21</v>
      </c>
      <c r="D16" s="60" t="s">
        <v>22</v>
      </c>
      <c r="E16" s="110"/>
      <c r="F16" s="87" t="s">
        <v>59</v>
      </c>
      <c r="G16" s="88" t="s">
        <v>29</v>
      </c>
      <c r="H16" s="112"/>
      <c r="I16" s="108"/>
      <c r="J16" s="115"/>
      <c r="K16" s="112"/>
      <c r="L16" s="92" t="s">
        <v>29</v>
      </c>
      <c r="M16" s="112"/>
      <c r="N16" s="108"/>
      <c r="O16" s="74" t="s">
        <v>44</v>
      </c>
      <c r="P16" s="75" t="s">
        <v>45</v>
      </c>
      <c r="Q16" s="23" t="s">
        <v>46</v>
      </c>
      <c r="R16" s="76" t="s">
        <v>47</v>
      </c>
      <c r="S16" s="77" t="s">
        <v>48</v>
      </c>
      <c r="T16" s="74" t="s">
        <v>44</v>
      </c>
      <c r="U16" s="75" t="s">
        <v>45</v>
      </c>
      <c r="V16" s="23" t="s">
        <v>46</v>
      </c>
      <c r="W16" s="76" t="s">
        <v>47</v>
      </c>
      <c r="X16" s="77" t="s">
        <v>48</v>
      </c>
    </row>
    <row r="17" spans="2:24" hidden="1" x14ac:dyDescent="0.3">
      <c r="B17" s="55"/>
      <c r="C17" s="69"/>
      <c r="D17" s="70"/>
      <c r="E17" s="59"/>
      <c r="F17" s="83"/>
      <c r="G17" s="84"/>
      <c r="H17" s="90"/>
      <c r="I17" s="65"/>
      <c r="J17" s="59"/>
      <c r="K17" s="90"/>
      <c r="L17" s="93"/>
      <c r="M17" s="90"/>
      <c r="N17" s="67"/>
      <c r="O17" s="71"/>
      <c r="P17" s="72"/>
      <c r="Q17" s="72"/>
      <c r="R17" s="72"/>
      <c r="S17" s="73"/>
      <c r="T17" s="71"/>
      <c r="U17" s="72"/>
      <c r="V17" s="72"/>
      <c r="W17" s="72"/>
      <c r="X17" s="73"/>
    </row>
    <row r="18" spans="2:24" x14ac:dyDescent="0.3">
      <c r="B18" s="55"/>
      <c r="C18" s="29">
        <v>1</v>
      </c>
      <c r="D18" s="57">
        <f>H3+1</f>
        <v>31</v>
      </c>
      <c r="E18" s="59">
        <f>IF(C18="", "", IF(C18=1, $F$6, 0))</f>
        <v>1000</v>
      </c>
      <c r="F18" s="84"/>
      <c r="G18" s="84"/>
      <c r="H18" s="90">
        <f ca="1">IF(C18="", "", IF(AND(C18&gt;=6, D18&lt;=60), OFFSET(利益演示!$G$16, C18-1, 0), IF(D18&gt;60, OFFSET(利益演示!$H$16, C18-1, 0), 0)))</f>
        <v>0</v>
      </c>
      <c r="I18" s="65">
        <f ca="1">IF(C18="", "", SUM($E$18:H18))</f>
        <v>1000</v>
      </c>
      <c r="J18" s="59">
        <f ca="1">IF(C18="","",E18*1%+F18*1%+G18*3%+H18*1%)</f>
        <v>10</v>
      </c>
      <c r="K18" s="90">
        <f ca="1">IF(C18="", "", ROUND(IF(C18=6, SUM(OFFSET(H17, -4, 0):H17)*1%, IF(C18&gt;6,H17*1%, 0)),0))</f>
        <v>0</v>
      </c>
      <c r="L18" s="93"/>
      <c r="M18" s="90">
        <f t="shared" ref="M18:M49" si="0">IF(C18="", "", L18*VLOOKUP(C18, $U$4:$V$9, 2))</f>
        <v>0</v>
      </c>
      <c r="N18" s="67">
        <f ca="1">IF(C18="", "", MAX(I18-SUM(L$17:L17), 0))</f>
        <v>1000</v>
      </c>
      <c r="O18" s="37">
        <f ca="1">IF($C18="", "", IF(AND($C18&gt;1, Q17&lt;=0), 0, Q17+SUM($E18:$H18)-$J18+K18))</f>
        <v>990</v>
      </c>
      <c r="P18" s="36">
        <f ca="1">IF($C18="", "", IF(O18&lt;=0, 0, MAX(VLOOKUP($D18-1, $R$4:$S$7, 2)*$N18-O18, 0)*OFFSET(鑫意锁风险保险费!$B$5, $D18-1, IF($D$3="男", 1, 2))/1000))</f>
        <v>0.48799999999999999</v>
      </c>
      <c r="Q18" s="36">
        <f ca="1">IF($C18="", "", MAX((O18-P18)*(1+2%)-L18, 0))</f>
        <v>1009.30224</v>
      </c>
      <c r="R18" s="36">
        <f t="shared" ref="R18:R49" ca="1" si="1">IF($C18="", "", Q18*(1-VLOOKUP($C18, $U$4:$V$9, 2)))</f>
        <v>979.0231728</v>
      </c>
      <c r="S18" s="35">
        <f ca="1">IF($C18="", "", IF(Q18&lt;=0, 0, MAX(VLOOKUP($D18, $R$4:$S$7, 2)*N18, Q18)))</f>
        <v>1600</v>
      </c>
      <c r="T18" s="37">
        <f ca="1">IF($C18="", "", IF(AND($C18&gt;1, V17&lt;=0), 0, V17+SUM($E18:$H18)-$J18+K18))</f>
        <v>990</v>
      </c>
      <c r="U18" s="36">
        <f ca="1">IF($C18="", "", IF(T18&lt;=0, 0, MAX(VLOOKUP($D18-1, $R$4:$S$7, 2)*$N18-T18, 0)*OFFSET(鑫意锁风险保险费!$B$5, $D18-1, IF($D$3="男", 1, 2))/1000))</f>
        <v>0.48799999999999999</v>
      </c>
      <c r="V18" s="36">
        <f ca="1">IF($C18="", "", MAX((T18-U18)*(1+4%)-$L18, 0))</f>
        <v>1029.09248</v>
      </c>
      <c r="W18" s="36">
        <f t="shared" ref="W18:W49" ca="1" si="2">IF($C18="", "", V18*(1-VLOOKUP($C18, $U$4:$V$9, 2)))</f>
        <v>998.2197056</v>
      </c>
      <c r="X18" s="31">
        <f ca="1">IF($C18="", "", IF(V18&lt;=0, 0, MAX(VLOOKUP($D18, $R$4:$S$7, 2)*$N18, V18)))</f>
        <v>1600</v>
      </c>
    </row>
    <row r="19" spans="2:24" x14ac:dyDescent="0.3">
      <c r="B19" s="55"/>
      <c r="C19" s="29">
        <f>IF(AND(C18&gt;0, C18&lt;99-$H$3), C18+1,"")</f>
        <v>2</v>
      </c>
      <c r="D19" s="57">
        <f>IF(C19="","",D18+1)</f>
        <v>32</v>
      </c>
      <c r="E19" s="37">
        <f t="shared" ref="E19:E82" si="3">IF(C19="", "", IF(C19=1, $F$6, 0))</f>
        <v>0</v>
      </c>
      <c r="F19" s="85"/>
      <c r="G19" s="85"/>
      <c r="H19" s="90">
        <f ca="1">IF(C19="", "", IF(AND(C19&gt;=6, D19&lt;=60), OFFSET(利益演示!$G$16, C19-1, 0), IF(D19&gt;60, OFFSET(利益演示!$H$16, C19-1, 0), 0)))</f>
        <v>0</v>
      </c>
      <c r="I19" s="65">
        <f ca="1">IF(C19="", "", SUM($E$18:H19))</f>
        <v>1000</v>
      </c>
      <c r="J19" s="59">
        <f t="shared" ref="J19:J82" ca="1" si="4">IF(C19="","",E19*1%+F19*1%+G19*3%+H19*1%)</f>
        <v>0</v>
      </c>
      <c r="K19" s="90">
        <f ca="1">IF(C19="", "", ROUND(IF(C19=6, SUM(OFFSET(H18, -4, 0):H18)*1%, IF(C19&gt;6,H18*1%, 0)),0))</f>
        <v>0</v>
      </c>
      <c r="L19" s="94"/>
      <c r="M19" s="90">
        <f t="shared" si="0"/>
        <v>0</v>
      </c>
      <c r="N19" s="67">
        <f ca="1">IF(C19="", "", MAX(I19-SUM(L$17:L18), 0))</f>
        <v>1000</v>
      </c>
      <c r="O19" s="37">
        <f t="shared" ref="O19:O82" ca="1" si="5">IF($C19="", "", IF(AND($C19&gt;1, Q18&lt;=0), 0, Q18+SUM($E19:$H19)-$J19+K19))</f>
        <v>1009.30224</v>
      </c>
      <c r="P19" s="35">
        <f ca="1">IF($C19="", "", IF(O19&lt;=0, 0, MAX(VLOOKUP($D19-1, $R$4:$S$7, 2)*$N19-O19, 0)*OFFSET(鑫意锁风险保险费!$B$5, $D19-1, IF($D$3="男", 1, 2))/1000))</f>
        <v>0.50209309599999996</v>
      </c>
      <c r="Q19" s="36">
        <f t="shared" ref="Q19:Q82" ca="1" si="6">IF($C19="", "", MAX((O19-P19)*(1+2%)-L19, 0))</f>
        <v>1028.9761498420801</v>
      </c>
      <c r="R19" s="35">
        <f t="shared" ca="1" si="1"/>
        <v>1018.6863883436592</v>
      </c>
      <c r="S19" s="31">
        <f t="shared" ref="S19:S82" ca="1" si="7">IF($C19="", "", IF(Q19&lt;=0, 0, MAX(VLOOKUP($D19, $R$4:$S$7, 2)*N19, Q19)))</f>
        <v>1600</v>
      </c>
      <c r="T19" s="37">
        <f t="shared" ref="T19:T82" ca="1" si="8">IF($C19="", "", IF(AND($C19&gt;1, V18&lt;=0), 0, V18+SUM($E19:$H19)-$J19+K19))</f>
        <v>1029.09248</v>
      </c>
      <c r="U19" s="35">
        <f ca="1">IF($C19="", "", IF(T19&lt;=0, 0, MAX(VLOOKUP($D19-1, $R$4:$S$7, 2)*$N19-T19, 0)*OFFSET(鑫意锁风险保险费!$B$5, $D19-1, IF($D$3="男", 1, 2))/1000))</f>
        <v>0.48527139199999997</v>
      </c>
      <c r="V19" s="36">
        <f t="shared" ref="V19:V82" ca="1" si="9">IF($C19="", "", MAX((T19-U19)*(1+4%)-$L19, 0))</f>
        <v>1069.7514969523202</v>
      </c>
      <c r="W19" s="35">
        <f t="shared" ca="1" si="2"/>
        <v>1059.053981982797</v>
      </c>
      <c r="X19" s="31">
        <f t="shared" ref="X19:X82" ca="1" si="10">IF($C19="", "", IF(V19&lt;=0, 0, MAX(VLOOKUP($D19, $R$4:$S$7, 2)*$N19, V19)))</f>
        <v>1600</v>
      </c>
    </row>
    <row r="20" spans="2:24" x14ac:dyDescent="0.3">
      <c r="B20" s="55"/>
      <c r="C20" s="29">
        <f t="shared" ref="C20:C83" si="11">IF(AND(C19&gt;0, C19&lt;99-$H$3), C19+1,"")</f>
        <v>3</v>
      </c>
      <c r="D20" s="57">
        <f t="shared" ref="D20:D83" si="12">IF(C20="","",D19+1)</f>
        <v>33</v>
      </c>
      <c r="E20" s="37">
        <f t="shared" si="3"/>
        <v>0</v>
      </c>
      <c r="F20" s="85"/>
      <c r="G20" s="85"/>
      <c r="H20" s="90">
        <f ca="1">IF(C20="", "", IF(AND(C20&gt;=6, D20&lt;=60), OFFSET(利益演示!$G$16, C20-1, 0), IF(D20&gt;60, OFFSET(利益演示!$H$16, C20-1, 0), 0)))</f>
        <v>0</v>
      </c>
      <c r="I20" s="65">
        <f ca="1">IF(C20="", "", SUM($E$18:H20))</f>
        <v>1000</v>
      </c>
      <c r="J20" s="59">
        <f t="shared" ca="1" si="4"/>
        <v>0</v>
      </c>
      <c r="K20" s="90">
        <f ca="1">IF(C20="", "", ROUND(IF(C20=6, SUM(OFFSET(H19, -4, 0):H19)*1%, IF(C20&gt;6,H19*1%, 0)),0))</f>
        <v>0</v>
      </c>
      <c r="L20" s="94"/>
      <c r="M20" s="90">
        <f t="shared" si="0"/>
        <v>0</v>
      </c>
      <c r="N20" s="67">
        <f ca="1">IF(C20="", "", MAX(I20-SUM(L$17:L19), 0))</f>
        <v>1000</v>
      </c>
      <c r="O20" s="37">
        <f t="shared" ca="1" si="5"/>
        <v>1028.9761498420801</v>
      </c>
      <c r="P20" s="35">
        <f ca="1">IF($C20="", "", IF(O20&lt;=0, 0, MAX(VLOOKUP($D20-1, $R$4:$S$7, 2)*$N20-O20, 0)*OFFSET(鑫意锁风险保险费!$B$5, $D20-1, IF($D$3="男", 1, 2))/1000))</f>
        <v>0.513921465142128</v>
      </c>
      <c r="Q20" s="36">
        <f t="shared" ca="1" si="6"/>
        <v>1049.0314729444767</v>
      </c>
      <c r="R20" s="35">
        <f t="shared" ca="1" si="1"/>
        <v>1038.5411582150318</v>
      </c>
      <c r="S20" s="31">
        <f t="shared" ca="1" si="7"/>
        <v>1600</v>
      </c>
      <c r="T20" s="37">
        <f t="shared" ca="1" si="8"/>
        <v>1069.7514969523202</v>
      </c>
      <c r="U20" s="35">
        <f ca="1">IF($C20="", "", IF(T20&lt;=0, 0, MAX(VLOOKUP($D20-1, $R$4:$S$7, 2)*$N20-T20, 0)*OFFSET(鑫意锁风险保险费!$B$5, $D20-1, IF($D$3="男", 1, 2))/1000))</f>
        <v>0.47722365274291184</v>
      </c>
      <c r="V20" s="36">
        <f t="shared" ca="1" si="9"/>
        <v>1112.0452442315604</v>
      </c>
      <c r="W20" s="35">
        <f t="shared" ca="1" si="2"/>
        <v>1100.9247917892449</v>
      </c>
      <c r="X20" s="31">
        <f t="shared" ca="1" si="10"/>
        <v>1600</v>
      </c>
    </row>
    <row r="21" spans="2:24" x14ac:dyDescent="0.3">
      <c r="B21" s="55"/>
      <c r="C21" s="29">
        <f t="shared" si="11"/>
        <v>4</v>
      </c>
      <c r="D21" s="57">
        <f t="shared" si="12"/>
        <v>34</v>
      </c>
      <c r="E21" s="37">
        <f t="shared" si="3"/>
        <v>0</v>
      </c>
      <c r="F21" s="85">
        <v>100000</v>
      </c>
      <c r="G21" s="85"/>
      <c r="H21" s="90">
        <f ca="1">IF(C21="", "", IF(AND(C21&gt;=6, D21&lt;=60), OFFSET(利益演示!$G$16, C21-1, 0), IF(D21&gt;60, OFFSET(利益演示!$H$16, C21-1, 0), 0)))</f>
        <v>0</v>
      </c>
      <c r="I21" s="65">
        <f ca="1">IF(C21="", "", SUM($E$18:H21))</f>
        <v>101000</v>
      </c>
      <c r="J21" s="59">
        <f t="shared" ca="1" si="4"/>
        <v>1000</v>
      </c>
      <c r="K21" s="90">
        <f ca="1">IF(C21="", "", ROUND(IF(C21=6, SUM(OFFSET(H20, -4, 0):H20)*1%, IF(C21&gt;6,H20*1%, 0)),0))</f>
        <v>0</v>
      </c>
      <c r="L21" s="94"/>
      <c r="M21" s="90">
        <f t="shared" si="0"/>
        <v>0</v>
      </c>
      <c r="N21" s="67">
        <f ca="1">IF(C21="", "", MAX(I21-SUM(L$17:L20), 0))</f>
        <v>101000</v>
      </c>
      <c r="O21" s="37">
        <f t="shared" ca="1" si="5"/>
        <v>100049.03147294448</v>
      </c>
      <c r="P21" s="35">
        <f ca="1">IF($C21="", "", IF(O21&lt;=0, 0, MAX(VLOOKUP($D21-1, $R$4:$S$7, 2)*$N21-O21, 0)*OFFSET(鑫意锁风险保险费!$B$5, $D21-1, IF($D$3="男", 1, 2))/1000))</f>
        <v>59.704439471243852</v>
      </c>
      <c r="Q21" s="36">
        <f t="shared" ca="1" si="6"/>
        <v>101989.1135741427</v>
      </c>
      <c r="R21" s="35">
        <f t="shared" ca="1" si="1"/>
        <v>100969.22243840127</v>
      </c>
      <c r="S21" s="31">
        <f t="shared" ca="1" si="7"/>
        <v>161600</v>
      </c>
      <c r="T21" s="37">
        <f t="shared" ca="1" si="8"/>
        <v>100112.04524423156</v>
      </c>
      <c r="U21" s="35">
        <f ca="1">IF($C21="", "", IF(T21&lt;=0, 0, MAX(VLOOKUP($D21-1, $R$4:$S$7, 2)*$N21-T21, 0)*OFFSET(鑫意锁风险保险费!$B$5, $D21-1, IF($D$3="男", 1, 2))/1000))</f>
        <v>59.643316113095388</v>
      </c>
      <c r="V21" s="36">
        <f t="shared" ca="1" si="9"/>
        <v>104054.49800524321</v>
      </c>
      <c r="W21" s="35">
        <f t="shared" ca="1" si="2"/>
        <v>103013.95302519077</v>
      </c>
      <c r="X21" s="31">
        <f t="shared" ca="1" si="10"/>
        <v>161600</v>
      </c>
    </row>
    <row r="22" spans="2:24" x14ac:dyDescent="0.3">
      <c r="B22" s="55"/>
      <c r="C22" s="29">
        <f t="shared" si="11"/>
        <v>5</v>
      </c>
      <c r="D22" s="57">
        <f t="shared" si="12"/>
        <v>35</v>
      </c>
      <c r="E22" s="37">
        <f t="shared" si="3"/>
        <v>0</v>
      </c>
      <c r="F22" s="85">
        <v>100000</v>
      </c>
      <c r="G22" s="85">
        <v>100000</v>
      </c>
      <c r="H22" s="90">
        <f ca="1">IF(C22="", "", IF(AND(C22&gt;=6, D22&lt;=60), OFFSET(利益演示!$G$16, C22-1, 0), IF(D22&gt;60, OFFSET(利益演示!$H$16, C22-1, 0), 0)))</f>
        <v>0</v>
      </c>
      <c r="I22" s="65">
        <f ca="1">IF(C22="", "", SUM($E$18:H22))</f>
        <v>301000</v>
      </c>
      <c r="J22" s="59">
        <f t="shared" ca="1" si="4"/>
        <v>4000</v>
      </c>
      <c r="K22" s="90">
        <f ca="1">IF(C22="", "", ROUND(IF(C22=6, SUM(OFFSET(H21, -4, 0):H21)*1%, IF(C22&gt;6,H21*1%, 0)),0))</f>
        <v>0</v>
      </c>
      <c r="L22" s="94"/>
      <c r="M22" s="90">
        <f t="shared" si="0"/>
        <v>0</v>
      </c>
      <c r="N22" s="67">
        <f ca="1">IF(C22="", "", MAX(I22-SUM(L$17:L21), 0))</f>
        <v>301000</v>
      </c>
      <c r="O22" s="37">
        <f t="shared" ca="1" si="5"/>
        <v>297989.11357414268</v>
      </c>
      <c r="P22" s="35">
        <f ca="1">IF($C22="", "", IF(O22&lt;=0, 0, MAX(VLOOKUP($D22-1, $R$4:$S$7, 2)*$N22-O22, 0)*OFFSET(鑫意锁风险保险费!$B$5, $D22-1, IF($D$3="男", 1, 2))/1000))</f>
        <v>190.95532188289161</v>
      </c>
      <c r="Q22" s="36">
        <f t="shared" ca="1" si="6"/>
        <v>303754.12141730497</v>
      </c>
      <c r="R22" s="35">
        <f t="shared" ca="1" si="1"/>
        <v>300716.58020313189</v>
      </c>
      <c r="S22" s="31">
        <f t="shared" ca="1" si="7"/>
        <v>481600</v>
      </c>
      <c r="T22" s="37">
        <f t="shared" ca="1" si="8"/>
        <v>300054.49800524319</v>
      </c>
      <c r="U22" s="35">
        <f ca="1">IF($C22="", "", IF(T22&lt;=0, 0, MAX(VLOOKUP($D22-1, $R$4:$S$7, 2)*$N22-T22, 0)*OFFSET(鑫意锁风险保险费!$B$5, $D22-1, IF($D$3="男", 1, 2))/1000))</f>
        <v>188.8073220745471</v>
      </c>
      <c r="V22" s="36">
        <f t="shared" ca="1" si="9"/>
        <v>311860.31831049541</v>
      </c>
      <c r="W22" s="35">
        <f t="shared" ca="1" si="2"/>
        <v>308741.71512739046</v>
      </c>
      <c r="X22" s="31">
        <f t="shared" ca="1" si="10"/>
        <v>481600</v>
      </c>
    </row>
    <row r="23" spans="2:24" x14ac:dyDescent="0.3">
      <c r="B23" s="55"/>
      <c r="C23" s="29">
        <f t="shared" si="11"/>
        <v>6</v>
      </c>
      <c r="D23" s="57">
        <f t="shared" si="12"/>
        <v>36</v>
      </c>
      <c r="E23" s="37">
        <f t="shared" si="3"/>
        <v>0</v>
      </c>
      <c r="F23" s="85">
        <v>100000</v>
      </c>
      <c r="G23" s="85"/>
      <c r="H23" s="90">
        <f ca="1">IF(C23="", "", IF(AND(C23&gt;=6, D23&lt;=60), OFFSET(利益演示!$G$16, C23-1, 0), IF(D23&gt;60, OFFSET(利益演示!$H$16, C23-1, 0), 0)))</f>
        <v>24300</v>
      </c>
      <c r="I23" s="65">
        <f ca="1">IF(C23="", "", SUM($E$18:H23))</f>
        <v>425300</v>
      </c>
      <c r="J23" s="59">
        <f t="shared" ca="1" si="4"/>
        <v>1243</v>
      </c>
      <c r="K23" s="90">
        <f ca="1">IF(C23="", "", ROUND(IF(C23=6, SUM(OFFSET(H22, -4, 0):H22)*1%, IF(C23&gt;6,H22*1%, 0)),0))</f>
        <v>0</v>
      </c>
      <c r="L23" s="94"/>
      <c r="M23" s="90">
        <f t="shared" si="0"/>
        <v>0</v>
      </c>
      <c r="N23" s="67">
        <f ca="1">IF(C23="", "", MAX(I23-SUM(L$17:L22), 0))</f>
        <v>425300</v>
      </c>
      <c r="O23" s="37">
        <f t="shared" ca="1" si="5"/>
        <v>426811.12141730497</v>
      </c>
      <c r="P23" s="35">
        <f ca="1">IF($C23="", "", IF(O23&lt;=0, 0, MAX(VLOOKUP($D23-1, $R$4:$S$7, 2)*$N23-O23, 0)*OFFSET(鑫意锁风险保险费!$B$5, $D23-1, IF($D$3="男", 1, 2))/1000))</f>
        <v>281.57245522679148</v>
      </c>
      <c r="Q23" s="36">
        <f t="shared" ca="1" si="6"/>
        <v>435060.13994131977</v>
      </c>
      <c r="R23" s="35">
        <f t="shared" ca="1" si="1"/>
        <v>435060.13994131977</v>
      </c>
      <c r="S23" s="31">
        <f t="shared" ca="1" si="7"/>
        <v>680480</v>
      </c>
      <c r="T23" s="37">
        <f t="shared" ca="1" si="8"/>
        <v>434917.31831049541</v>
      </c>
      <c r="U23" s="35">
        <f ca="1">IF($C23="", "", IF(T23&lt;=0, 0, MAX(VLOOKUP($D23-1, $R$4:$S$7, 2)*$N23-T23, 0)*OFFSET(鑫意锁风险保险费!$B$5, $D23-1, IF($D$3="男", 1, 2))/1000))</f>
        <v>272.57457667535016</v>
      </c>
      <c r="V23" s="36">
        <f t="shared" ca="1" si="9"/>
        <v>452030.53348317288</v>
      </c>
      <c r="W23" s="35">
        <f t="shared" ca="1" si="2"/>
        <v>452030.53348317288</v>
      </c>
      <c r="X23" s="31">
        <f t="shared" ca="1" si="10"/>
        <v>680480</v>
      </c>
    </row>
    <row r="24" spans="2:24" x14ac:dyDescent="0.3">
      <c r="B24" s="55"/>
      <c r="C24" s="29">
        <f t="shared" si="11"/>
        <v>7</v>
      </c>
      <c r="D24" s="57">
        <f t="shared" si="12"/>
        <v>37</v>
      </c>
      <c r="E24" s="37">
        <f t="shared" si="3"/>
        <v>0</v>
      </c>
      <c r="F24" s="85">
        <v>100000</v>
      </c>
      <c r="G24" s="85"/>
      <c r="H24" s="90">
        <f ca="1">IF(C24="", "", IF(AND(C24&gt;=6, D24&lt;=60), OFFSET(利益演示!$G$16, C24-1, 0), IF(D24&gt;60, OFFSET(利益演示!$H$16, C24-1, 0), 0)))</f>
        <v>24300</v>
      </c>
      <c r="I24" s="65">
        <f ca="1">IF(C24="", "", SUM($E$18:H24))</f>
        <v>549600</v>
      </c>
      <c r="J24" s="59">
        <f t="shared" ca="1" si="4"/>
        <v>1243</v>
      </c>
      <c r="K24" s="90">
        <f ca="1">IF(C24="", "", ROUND(IF(C24=6, SUM(OFFSET(H23, -4, 0):H23)*1%, IF(C24&gt;6,H23*1%, 0)),0))</f>
        <v>243</v>
      </c>
      <c r="L24" s="94"/>
      <c r="M24" s="90">
        <f t="shared" si="0"/>
        <v>0</v>
      </c>
      <c r="N24" s="67">
        <f ca="1">IF(C24="", "", MAX(I24-SUM(L$17:L23), 0))</f>
        <v>549600</v>
      </c>
      <c r="O24" s="37">
        <f t="shared" ca="1" si="5"/>
        <v>558360.13994131982</v>
      </c>
      <c r="P24" s="35">
        <f ca="1">IF($C24="", "", IF(O24&lt;=0, 0, MAX(VLOOKUP($D24-1, $R$4:$S$7, 2)*$N24-O24, 0)*OFFSET(鑫意锁风险保险费!$B$5, $D24-1, IF($D$3="男", 1, 2))/1000))</f>
        <v>385.19983207041616</v>
      </c>
      <c r="Q24" s="36">
        <f t="shared" ca="1" si="6"/>
        <v>569134.43891143438</v>
      </c>
      <c r="R24" s="35">
        <f t="shared" ca="1" si="1"/>
        <v>569134.43891143438</v>
      </c>
      <c r="S24" s="31">
        <f t="shared" ca="1" si="7"/>
        <v>879360</v>
      </c>
      <c r="T24" s="37">
        <f t="shared" ca="1" si="8"/>
        <v>575330.53348317288</v>
      </c>
      <c r="U24" s="35">
        <f ca="1">IF($C24="", "", IF(T24&lt;=0, 0, MAX(VLOOKUP($D24-1, $R$4:$S$7, 2)*$N24-T24, 0)*OFFSET(鑫意锁风险保险费!$B$5, $D24-1, IF($D$3="男", 1, 2))/1000))</f>
        <v>364.83535982019248</v>
      </c>
      <c r="V24" s="36">
        <f t="shared" ca="1" si="9"/>
        <v>597964.32604828686</v>
      </c>
      <c r="W24" s="35">
        <f t="shared" ca="1" si="2"/>
        <v>597964.32604828686</v>
      </c>
      <c r="X24" s="31">
        <f t="shared" ca="1" si="10"/>
        <v>879360</v>
      </c>
    </row>
    <row r="25" spans="2:24" x14ac:dyDescent="0.3">
      <c r="B25" s="55"/>
      <c r="C25" s="29">
        <f t="shared" si="11"/>
        <v>8</v>
      </c>
      <c r="D25" s="57">
        <f t="shared" si="12"/>
        <v>38</v>
      </c>
      <c r="E25" s="37">
        <f t="shared" si="3"/>
        <v>0</v>
      </c>
      <c r="F25" s="85"/>
      <c r="G25" s="85"/>
      <c r="H25" s="90">
        <f ca="1">IF(C25="", "", IF(AND(C25&gt;=6, D25&lt;=60), OFFSET(利益演示!$G$16, C25-1, 0), IF(D25&gt;60, OFFSET(利益演示!$H$16, C25-1, 0), 0)))</f>
        <v>24300</v>
      </c>
      <c r="I25" s="65">
        <f ca="1">IF(C25="", "", SUM($E$18:H25))</f>
        <v>573900</v>
      </c>
      <c r="J25" s="59">
        <f t="shared" ca="1" si="4"/>
        <v>243</v>
      </c>
      <c r="K25" s="90">
        <f ca="1">IF(C25="", "", ROUND(IF(C25=6, SUM(OFFSET(H24, -4, 0):H24)*1%, IF(C25&gt;6,H24*1%, 0)),0))</f>
        <v>243</v>
      </c>
      <c r="L25" s="94"/>
      <c r="M25" s="90">
        <f t="shared" si="0"/>
        <v>0</v>
      </c>
      <c r="N25" s="67">
        <f ca="1">IF(C25="", "", MAX(I25-SUM(L$17:L24), 0))</f>
        <v>573900</v>
      </c>
      <c r="O25" s="37">
        <f t="shared" ca="1" si="5"/>
        <v>593434.43891143438</v>
      </c>
      <c r="P25" s="35">
        <f ca="1">IF($C25="", "", IF(O25&lt;=0, 0, MAX(VLOOKUP($D25-1, $R$4:$S$7, 2)*$N25-O25, 0)*OFFSET(鑫意锁风险保险费!$B$5, $D25-1, IF($D$3="男", 1, 2))/1000))</f>
        <v>418.99917380424966</v>
      </c>
      <c r="Q25" s="36">
        <f t="shared" ca="1" si="6"/>
        <v>604875.74853238265</v>
      </c>
      <c r="R25" s="35">
        <f t="shared" ca="1" si="1"/>
        <v>604875.74853238265</v>
      </c>
      <c r="S25" s="31">
        <f t="shared" ca="1" si="7"/>
        <v>918240</v>
      </c>
      <c r="T25" s="37">
        <f t="shared" ca="1" si="8"/>
        <v>622264.32604828686</v>
      </c>
      <c r="U25" s="35">
        <f ca="1">IF($C25="", "", IF(T25&lt;=0, 0, MAX(VLOOKUP($D25-1, $R$4:$S$7, 2)*$N25-T25, 0)*OFFSET(鑫意锁风险保险费!$B$5, $D25-1, IF($D$3="男", 1, 2))/1000))</f>
        <v>381.80861939770995</v>
      </c>
      <c r="V25" s="36">
        <f t="shared" ca="1" si="9"/>
        <v>646757.81812604482</v>
      </c>
      <c r="W25" s="35">
        <f t="shared" ca="1" si="2"/>
        <v>646757.81812604482</v>
      </c>
      <c r="X25" s="31">
        <f t="shared" ca="1" si="10"/>
        <v>918240</v>
      </c>
    </row>
    <row r="26" spans="2:24" x14ac:dyDescent="0.3">
      <c r="B26" s="55"/>
      <c r="C26" s="29">
        <f t="shared" si="11"/>
        <v>9</v>
      </c>
      <c r="D26" s="57">
        <f t="shared" si="12"/>
        <v>39</v>
      </c>
      <c r="E26" s="37">
        <f t="shared" si="3"/>
        <v>0</v>
      </c>
      <c r="F26" s="85"/>
      <c r="G26" s="85"/>
      <c r="H26" s="90">
        <f ca="1">IF(C26="", "", IF(AND(C26&gt;=6, D26&lt;=60), OFFSET(利益演示!$G$16, C26-1, 0), IF(D26&gt;60, OFFSET(利益演示!$H$16, C26-1, 0), 0)))</f>
        <v>24300</v>
      </c>
      <c r="I26" s="65">
        <f ca="1">IF(C26="", "", SUM($E$18:H26))</f>
        <v>598200</v>
      </c>
      <c r="J26" s="59">
        <f t="shared" ca="1" si="4"/>
        <v>243</v>
      </c>
      <c r="K26" s="90">
        <f ca="1">IF(C26="", "", ROUND(IF(C26=6, SUM(OFFSET(H25, -4, 0):H25)*1%, IF(C26&gt;6,H25*1%, 0)),0))</f>
        <v>243</v>
      </c>
      <c r="L26" s="94"/>
      <c r="M26" s="90">
        <f t="shared" si="0"/>
        <v>0</v>
      </c>
      <c r="N26" s="67">
        <f ca="1">IF(C26="", "", MAX(I26-SUM(L$17:L25), 0))</f>
        <v>598200</v>
      </c>
      <c r="O26" s="37">
        <f t="shared" ca="1" si="5"/>
        <v>629175.74853238265</v>
      </c>
      <c r="P26" s="35">
        <f ca="1">IF($C26="", "", IF(O26&lt;=0, 0, MAX(VLOOKUP($D26-1, $R$4:$S$7, 2)*$N26-O26, 0)*OFFSET(鑫意锁风险保险费!$B$5, $D26-1, IF($D$3="男", 1, 2))/1000))</f>
        <v>459.12195205466423</v>
      </c>
      <c r="Q26" s="36">
        <f t="shared" ca="1" si="6"/>
        <v>641290.95911193453</v>
      </c>
      <c r="R26" s="35">
        <f t="shared" ca="1" si="1"/>
        <v>641290.95911193453</v>
      </c>
      <c r="S26" s="31">
        <f t="shared" ca="1" si="7"/>
        <v>957120</v>
      </c>
      <c r="T26" s="37">
        <f t="shared" ca="1" si="8"/>
        <v>671057.81812604482</v>
      </c>
      <c r="U26" s="35">
        <f ca="1">IF($C26="", "", IF(T26&lt;=0, 0, MAX(VLOOKUP($D26-1, $R$4:$S$7, 2)*$N26-T26, 0)*OFFSET(鑫意锁风险保险费!$B$5, $D26-1, IF($D$3="男", 1, 2))/1000))</f>
        <v>400.48705462353723</v>
      </c>
      <c r="V26" s="36">
        <f t="shared" ca="1" si="9"/>
        <v>697483.62431427813</v>
      </c>
      <c r="W26" s="35">
        <f t="shared" ca="1" si="2"/>
        <v>697483.62431427813</v>
      </c>
      <c r="X26" s="31">
        <f t="shared" ca="1" si="10"/>
        <v>957120</v>
      </c>
    </row>
    <row r="27" spans="2:24" x14ac:dyDescent="0.3">
      <c r="B27" s="55"/>
      <c r="C27" s="29">
        <f t="shared" si="11"/>
        <v>10</v>
      </c>
      <c r="D27" s="57">
        <f t="shared" si="12"/>
        <v>40</v>
      </c>
      <c r="E27" s="37">
        <f t="shared" si="3"/>
        <v>0</v>
      </c>
      <c r="F27" s="85"/>
      <c r="G27" s="85"/>
      <c r="H27" s="90">
        <f ca="1">IF(C27="", "", IF(AND(C27&gt;=6, D27&lt;=60), OFFSET(利益演示!$G$16, C27-1, 0), IF(D27&gt;60, OFFSET(利益演示!$H$16, C27-1, 0), 0)))</f>
        <v>24300</v>
      </c>
      <c r="I27" s="65">
        <f ca="1">IF(C27="", "", SUM($E$18:H27))</f>
        <v>622500</v>
      </c>
      <c r="J27" s="59">
        <f t="shared" ca="1" si="4"/>
        <v>243</v>
      </c>
      <c r="K27" s="90">
        <f ca="1">IF(C27="", "", ROUND(IF(C27=6, SUM(OFFSET(H26, -4, 0):H26)*1%, IF(C27&gt;6,H26*1%, 0)),0))</f>
        <v>243</v>
      </c>
      <c r="L27" s="94"/>
      <c r="M27" s="90">
        <f t="shared" si="0"/>
        <v>0</v>
      </c>
      <c r="N27" s="67">
        <f ca="1">IF(C27="", "", MAX(I27-SUM(L$17:L26), 0))</f>
        <v>622500</v>
      </c>
      <c r="O27" s="37">
        <f t="shared" ca="1" si="5"/>
        <v>665590.95911193453</v>
      </c>
      <c r="P27" s="35">
        <f ca="1">IF($C27="", "", IF(O27&lt;=0, 0, MAX(VLOOKUP($D27-1, $R$4:$S$7, 2)*$N27-O27, 0)*OFFSET(鑫意锁风险保险费!$B$5, $D27-1, IF($D$3="男", 1, 2))/1000))</f>
        <v>502.22174214985955</v>
      </c>
      <c r="Q27" s="36">
        <f t="shared" ca="1" si="6"/>
        <v>678390.51211718027</v>
      </c>
      <c r="R27" s="35">
        <f t="shared" ca="1" si="1"/>
        <v>678390.51211718027</v>
      </c>
      <c r="S27" s="31">
        <f t="shared" ca="1" si="7"/>
        <v>996000</v>
      </c>
      <c r="T27" s="37">
        <f t="shared" ca="1" si="8"/>
        <v>721783.62431427813</v>
      </c>
      <c r="U27" s="35">
        <f ca="1">IF($C27="", "", IF(T27&lt;=0, 0, MAX(VLOOKUP($D27-1, $R$4:$S$7, 2)*$N27-T27, 0)*OFFSET(鑫意锁风险保险费!$B$5, $D27-1, IF($D$3="男", 1, 2))/1000))</f>
        <v>416.80889104229726</v>
      </c>
      <c r="V27" s="36">
        <f t="shared" ca="1" si="9"/>
        <v>750221.48804016539</v>
      </c>
      <c r="W27" s="35">
        <f t="shared" ca="1" si="2"/>
        <v>750221.48804016539</v>
      </c>
      <c r="X27" s="31">
        <f t="shared" ca="1" si="10"/>
        <v>996000</v>
      </c>
    </row>
    <row r="28" spans="2:24" x14ac:dyDescent="0.3">
      <c r="B28" s="55"/>
      <c r="C28" s="29">
        <f t="shared" si="11"/>
        <v>11</v>
      </c>
      <c r="D28" s="57">
        <f t="shared" si="12"/>
        <v>41</v>
      </c>
      <c r="E28" s="37">
        <f t="shared" si="3"/>
        <v>0</v>
      </c>
      <c r="F28" s="85"/>
      <c r="G28" s="85"/>
      <c r="H28" s="90">
        <f ca="1">IF(C28="", "", IF(AND(C28&gt;=6, D28&lt;=60), OFFSET(利益演示!$G$16, C28-1, 0), IF(D28&gt;60, OFFSET(利益演示!$H$16, C28-1, 0), 0)))</f>
        <v>24300</v>
      </c>
      <c r="I28" s="65">
        <f ca="1">IF(C28="", "", SUM($E$18:H28))</f>
        <v>646800</v>
      </c>
      <c r="J28" s="59">
        <f t="shared" ca="1" si="4"/>
        <v>243</v>
      </c>
      <c r="K28" s="90">
        <f ca="1">IF(C28="", "", ROUND(IF(C28=6, SUM(OFFSET(H27, -4, 0):H27)*1%, IF(C28&gt;6,H27*1%, 0)),0))</f>
        <v>243</v>
      </c>
      <c r="L28" s="94"/>
      <c r="M28" s="90">
        <f t="shared" si="0"/>
        <v>0</v>
      </c>
      <c r="N28" s="67">
        <f ca="1">IF(C28="", "", MAX(I28-SUM(L$17:L27), 0))</f>
        <v>646800</v>
      </c>
      <c r="O28" s="37">
        <f t="shared" ca="1" si="5"/>
        <v>702690.51211718027</v>
      </c>
      <c r="P28" s="35">
        <f ca="1">IF($C28="", "", IF(O28&lt;=0, 0, MAX(VLOOKUP($D28-1, $R$4:$S$7, 2)*$N28-O28, 0)*OFFSET(鑫意锁风险保险费!$B$5, $D28-1, IF($D$3="男", 1, 2))/1000))</f>
        <v>548.11265500665252</v>
      </c>
      <c r="Q28" s="36">
        <f t="shared" ca="1" si="6"/>
        <v>716185.24745141703</v>
      </c>
      <c r="R28" s="35">
        <f t="shared" ca="1" si="1"/>
        <v>716185.24745141703</v>
      </c>
      <c r="S28" s="31">
        <f t="shared" ca="1" si="7"/>
        <v>1034880</v>
      </c>
      <c r="T28" s="37">
        <f t="shared" ca="1" si="8"/>
        <v>774521.48804016539</v>
      </c>
      <c r="U28" s="35">
        <f ca="1">IF($C28="", "", IF(T28&lt;=0, 0, MAX(VLOOKUP($D28-1, $R$4:$S$7, 2)*$N28-T28, 0)*OFFSET(鑫意锁风险保险费!$B$5, $D28-1, IF($D$3="男", 1, 2))/1000))</f>
        <v>429.59154473372706</v>
      </c>
      <c r="V28" s="36">
        <f t="shared" ca="1" si="9"/>
        <v>805055.57235524897</v>
      </c>
      <c r="W28" s="35">
        <f t="shared" ca="1" si="2"/>
        <v>805055.57235524897</v>
      </c>
      <c r="X28" s="31">
        <f t="shared" ca="1" si="10"/>
        <v>1034880</v>
      </c>
    </row>
    <row r="29" spans="2:24" x14ac:dyDescent="0.3">
      <c r="B29" s="55"/>
      <c r="C29" s="29">
        <f t="shared" si="11"/>
        <v>12</v>
      </c>
      <c r="D29" s="57">
        <f t="shared" si="12"/>
        <v>42</v>
      </c>
      <c r="E29" s="37">
        <f t="shared" si="3"/>
        <v>0</v>
      </c>
      <c r="F29" s="85"/>
      <c r="G29" s="85"/>
      <c r="H29" s="90">
        <f ca="1">IF(C29="", "", IF(AND(C29&gt;=6, D29&lt;=60), OFFSET(利益演示!$G$16, C29-1, 0), IF(D29&gt;60, OFFSET(利益演示!$H$16, C29-1, 0), 0)))</f>
        <v>24300</v>
      </c>
      <c r="I29" s="65">
        <f ca="1">IF(C29="", "", SUM($E$18:H29))</f>
        <v>671100</v>
      </c>
      <c r="J29" s="59">
        <f t="shared" ca="1" si="4"/>
        <v>243</v>
      </c>
      <c r="K29" s="90">
        <f ca="1">IF(C29="", "", ROUND(IF(C29=6, SUM(OFFSET(H28, -4, 0):H28)*1%, IF(C29&gt;6,H28*1%, 0)),0))</f>
        <v>243</v>
      </c>
      <c r="L29" s="94"/>
      <c r="M29" s="90">
        <f t="shared" si="0"/>
        <v>0</v>
      </c>
      <c r="N29" s="67">
        <f ca="1">IF(C29="", "", MAX(I29-SUM(L$17:L28), 0))</f>
        <v>671100</v>
      </c>
      <c r="O29" s="37">
        <f t="shared" ca="1" si="5"/>
        <v>740485.24745141703</v>
      </c>
      <c r="P29" s="35">
        <f ca="1">IF($C29="", "", IF(O29&lt;=0, 0, MAX(VLOOKUP($D29-1, $R$4:$S$7, 2)*$N29-O29, 0)*OFFSET(鑫意锁风险保险费!$B$5, $D29-1, IF($D$3="男", 1, 2))/1000))</f>
        <v>599.89455458744942</v>
      </c>
      <c r="Q29" s="36">
        <f t="shared" ca="1" si="6"/>
        <v>754683.05995476618</v>
      </c>
      <c r="R29" s="35">
        <f t="shared" ca="1" si="1"/>
        <v>754683.05995476618</v>
      </c>
      <c r="S29" s="31">
        <f t="shared" ca="1" si="7"/>
        <v>939539.99999999988</v>
      </c>
      <c r="T29" s="37">
        <f t="shared" ca="1" si="8"/>
        <v>829355.57235524897</v>
      </c>
      <c r="U29" s="35">
        <f ca="1">IF($C29="", "", IF(T29&lt;=0, 0, MAX(VLOOKUP($D29-1, $R$4:$S$7, 2)*$N29-T29, 0)*OFFSET(鑫意锁风险保险费!$B$5, $D29-1, IF($D$3="男", 1, 2))/1000))</f>
        <v>439.92796976055189</v>
      </c>
      <c r="V29" s="36">
        <f t="shared" ca="1" si="9"/>
        <v>862072.270160908</v>
      </c>
      <c r="W29" s="35">
        <f t="shared" ca="1" si="2"/>
        <v>862072.270160908</v>
      </c>
      <c r="X29" s="31">
        <f t="shared" ca="1" si="10"/>
        <v>939539.99999999988</v>
      </c>
    </row>
    <row r="30" spans="2:24" x14ac:dyDescent="0.3">
      <c r="B30" s="55"/>
      <c r="C30" s="29">
        <f t="shared" si="11"/>
        <v>13</v>
      </c>
      <c r="D30" s="57">
        <f t="shared" si="12"/>
        <v>43</v>
      </c>
      <c r="E30" s="37">
        <f t="shared" si="3"/>
        <v>0</v>
      </c>
      <c r="F30" s="85"/>
      <c r="G30" s="85"/>
      <c r="H30" s="90">
        <f ca="1">IF(C30="", "", IF(AND(C30&gt;=6, D30&lt;=60), OFFSET(利益演示!$G$16, C30-1, 0), IF(D30&gt;60, OFFSET(利益演示!$H$16, C30-1, 0), 0)))</f>
        <v>24300</v>
      </c>
      <c r="I30" s="65">
        <f ca="1">IF(C30="", "", SUM($E$18:H30))</f>
        <v>695400</v>
      </c>
      <c r="J30" s="59">
        <f t="shared" ca="1" si="4"/>
        <v>243</v>
      </c>
      <c r="K30" s="90">
        <f ca="1">IF(C30="", "", ROUND(IF(C30=6, SUM(OFFSET(H29, -4, 0):H29)*1%, IF(C30&gt;6,H29*1%, 0)),0))</f>
        <v>243</v>
      </c>
      <c r="L30" s="94"/>
      <c r="M30" s="90">
        <f t="shared" si="0"/>
        <v>0</v>
      </c>
      <c r="N30" s="67">
        <f ca="1">IF(C30="", "", MAX(I30-SUM(L$17:L29), 0))</f>
        <v>695400</v>
      </c>
      <c r="O30" s="37">
        <f t="shared" ca="1" si="5"/>
        <v>778983.05995476618</v>
      </c>
      <c r="P30" s="35">
        <f ca="1">IF($C30="", "", IF(O30&lt;=0, 0, MAX(VLOOKUP($D30-1, $R$4:$S$7, 2)*$N30-O30, 0)*OFFSET(鑫意锁风险保险费!$B$5, $D30-1, IF($D$3="男", 1, 2))/1000))</f>
        <v>385.2623412895627</v>
      </c>
      <c r="Q30" s="36">
        <f t="shared" ca="1" si="6"/>
        <v>794169.75356574613</v>
      </c>
      <c r="R30" s="35">
        <f t="shared" ca="1" si="1"/>
        <v>794169.75356574613</v>
      </c>
      <c r="S30" s="31">
        <f t="shared" ca="1" si="7"/>
        <v>973559.99999999988</v>
      </c>
      <c r="T30" s="37">
        <f t="shared" ca="1" si="8"/>
        <v>886372.270160908</v>
      </c>
      <c r="U30" s="35">
        <f ca="1">IF($C30="", "", IF(T30&lt;=0, 0, MAX(VLOOKUP($D30-1, $R$4:$S$7, 2)*$N30-T30, 0)*OFFSET(鑫意锁风险保险费!$B$5, $D30-1, IF($D$3="男", 1, 2))/1000))</f>
        <v>172.63170508140195</v>
      </c>
      <c r="V30" s="36">
        <f t="shared" ca="1" si="9"/>
        <v>921647.62399405963</v>
      </c>
      <c r="W30" s="35">
        <f t="shared" ca="1" si="2"/>
        <v>921647.62399405963</v>
      </c>
      <c r="X30" s="31">
        <f t="shared" ca="1" si="10"/>
        <v>973559.99999999988</v>
      </c>
    </row>
    <row r="31" spans="2:24" x14ac:dyDescent="0.3">
      <c r="B31" s="55"/>
      <c r="C31" s="29">
        <f t="shared" si="11"/>
        <v>14</v>
      </c>
      <c r="D31" s="57">
        <f t="shared" si="12"/>
        <v>44</v>
      </c>
      <c r="E31" s="37">
        <f t="shared" si="3"/>
        <v>0</v>
      </c>
      <c r="F31" s="85"/>
      <c r="G31" s="85"/>
      <c r="H31" s="90">
        <f ca="1">IF(C31="", "", IF(AND(C31&gt;=6, D31&lt;=60), OFFSET(利益演示!$G$16, C31-1, 0), IF(D31&gt;60, OFFSET(利益演示!$H$16, C31-1, 0), 0)))</f>
        <v>24300</v>
      </c>
      <c r="I31" s="65">
        <f ca="1">IF(C31="", "", SUM($E$18:H31))</f>
        <v>719700</v>
      </c>
      <c r="J31" s="59">
        <f t="shared" ca="1" si="4"/>
        <v>243</v>
      </c>
      <c r="K31" s="90">
        <f ca="1">IF(C31="", "", ROUND(IF(C31=6, SUM(OFFSET(H30, -4, 0):H30)*1%, IF(C31&gt;6,H30*1%, 0)),0))</f>
        <v>243</v>
      </c>
      <c r="L31" s="94"/>
      <c r="M31" s="90">
        <f t="shared" si="0"/>
        <v>0</v>
      </c>
      <c r="N31" s="67">
        <f ca="1">IF(C31="", "", MAX(I31-SUM(L$17:L30), 0))</f>
        <v>719700</v>
      </c>
      <c r="O31" s="37">
        <f t="shared" ca="1" si="5"/>
        <v>818469.75356574613</v>
      </c>
      <c r="P31" s="35">
        <f ca="1">IF($C31="", "", IF(O31&lt;=0, 0, MAX(VLOOKUP($D31-1, $R$4:$S$7, 2)*$N31-O31, 0)*OFFSET(鑫意锁风险保险费!$B$5, $D31-1, IF($D$3="男", 1, 2))/1000))</f>
        <v>410.36923476233068</v>
      </c>
      <c r="Q31" s="36">
        <f t="shared" ca="1" si="6"/>
        <v>834420.57201760344</v>
      </c>
      <c r="R31" s="35">
        <f t="shared" ca="1" si="1"/>
        <v>834420.57201760344</v>
      </c>
      <c r="S31" s="31">
        <f t="shared" ca="1" si="7"/>
        <v>1007579.9999999999</v>
      </c>
      <c r="T31" s="37">
        <f t="shared" ca="1" si="8"/>
        <v>945947.62399405963</v>
      </c>
      <c r="U31" s="35">
        <f ca="1">IF($C31="", "", IF(T31&lt;=0, 0, MAX(VLOOKUP($D31-1, $R$4:$S$7, 2)*$N31-T31, 0)*OFFSET(鑫意锁风险保险费!$B$5, $D31-1, IF($D$3="男", 1, 2))/1000))</f>
        <v>133.74225593289034</v>
      </c>
      <c r="V31" s="36">
        <f t="shared" ca="1" si="9"/>
        <v>983646.4370076519</v>
      </c>
      <c r="W31" s="35">
        <f t="shared" ca="1" si="2"/>
        <v>983646.4370076519</v>
      </c>
      <c r="X31" s="31">
        <f t="shared" ca="1" si="10"/>
        <v>1007579.9999999999</v>
      </c>
    </row>
    <row r="32" spans="2:24" x14ac:dyDescent="0.3">
      <c r="B32" s="55"/>
      <c r="C32" s="29">
        <f t="shared" si="11"/>
        <v>15</v>
      </c>
      <c r="D32" s="57">
        <f t="shared" si="12"/>
        <v>45</v>
      </c>
      <c r="E32" s="37">
        <f t="shared" si="3"/>
        <v>0</v>
      </c>
      <c r="F32" s="85"/>
      <c r="G32" s="85"/>
      <c r="H32" s="90">
        <f ca="1">IF(C32="", "", IF(AND(C32&gt;=6, D32&lt;=60), OFFSET(利益演示!$G$16, C32-1, 0), IF(D32&gt;60, OFFSET(利益演示!$H$16, C32-1, 0), 0)))</f>
        <v>24300</v>
      </c>
      <c r="I32" s="65">
        <f ca="1">IF(C32="", "", SUM($E$18:H32))</f>
        <v>744000</v>
      </c>
      <c r="J32" s="59">
        <f t="shared" ca="1" si="4"/>
        <v>243</v>
      </c>
      <c r="K32" s="90">
        <f ca="1">IF(C32="", "", ROUND(IF(C32=6, SUM(OFFSET(H31, -4, 0):H31)*1%, IF(C32&gt;6,H31*1%, 0)),0))</f>
        <v>243</v>
      </c>
      <c r="L32" s="94"/>
      <c r="M32" s="90">
        <f t="shared" si="0"/>
        <v>0</v>
      </c>
      <c r="N32" s="67">
        <f ca="1">IF(C32="", "", MAX(I32-SUM(L$17:L31), 0))</f>
        <v>744000</v>
      </c>
      <c r="O32" s="37">
        <f t="shared" ca="1" si="5"/>
        <v>858720.57201760344</v>
      </c>
      <c r="P32" s="35">
        <f ca="1">IF($C32="", "", IF(O32&lt;=0, 0, MAX(VLOOKUP($D32-1, $R$4:$S$7, 2)*$N32-O32, 0)*OFFSET(鑫意锁风险保险费!$B$5, $D32-1, IF($D$3="男", 1, 2))/1000))</f>
        <v>437.08183287792752</v>
      </c>
      <c r="Q32" s="36">
        <f t="shared" ca="1" si="6"/>
        <v>875449.15998841997</v>
      </c>
      <c r="R32" s="35">
        <f t="shared" ca="1" si="1"/>
        <v>875449.15998841997</v>
      </c>
      <c r="S32" s="31">
        <f t="shared" ca="1" si="7"/>
        <v>1041599.9999999999</v>
      </c>
      <c r="T32" s="37">
        <f t="shared" ca="1" si="8"/>
        <v>1007946.4370076519</v>
      </c>
      <c r="U32" s="35">
        <f ca="1">IF($C32="", "", IF(T32&lt;=0, 0, MAX(VLOOKUP($D32-1, $R$4:$S$7, 2)*$N32-T32, 0)*OFFSET(鑫意锁风险保险费!$B$5, $D32-1, IF($D$3="男", 1, 2))/1000))</f>
        <v>80.4320155517117</v>
      </c>
      <c r="V32" s="36">
        <f t="shared" ca="1" si="9"/>
        <v>1048180.6451917842</v>
      </c>
      <c r="W32" s="35">
        <f t="shared" ca="1" si="2"/>
        <v>1048180.6451917842</v>
      </c>
      <c r="X32" s="31">
        <f t="shared" ca="1" si="10"/>
        <v>1048180.6451917842</v>
      </c>
    </row>
    <row r="33" spans="2:24" x14ac:dyDescent="0.3">
      <c r="B33" s="55"/>
      <c r="C33" s="29">
        <f t="shared" si="11"/>
        <v>16</v>
      </c>
      <c r="D33" s="57">
        <f t="shared" si="12"/>
        <v>46</v>
      </c>
      <c r="E33" s="37">
        <f t="shared" si="3"/>
        <v>0</v>
      </c>
      <c r="F33" s="85"/>
      <c r="G33" s="85"/>
      <c r="H33" s="90">
        <f ca="1">IF(C33="", "", IF(AND(C33&gt;=6, D33&lt;=60), OFFSET(利益演示!$G$16, C33-1, 0), IF(D33&gt;60, OFFSET(利益演示!$H$16, C33-1, 0), 0)))</f>
        <v>24300</v>
      </c>
      <c r="I33" s="65">
        <f ca="1">IF(C33="", "", SUM($E$18:H33))</f>
        <v>768300</v>
      </c>
      <c r="J33" s="59">
        <f t="shared" ca="1" si="4"/>
        <v>243</v>
      </c>
      <c r="K33" s="90">
        <f ca="1">IF(C33="", "", ROUND(IF(C33=6, SUM(OFFSET(H32, -4, 0):H32)*1%, IF(C33&gt;6,H32*1%, 0)),0))</f>
        <v>243</v>
      </c>
      <c r="L33" s="94"/>
      <c r="M33" s="90">
        <f t="shared" si="0"/>
        <v>0</v>
      </c>
      <c r="N33" s="67">
        <f ca="1">IF(C33="", "", MAX(I33-SUM(L$17:L32), 0))</f>
        <v>768300</v>
      </c>
      <c r="O33" s="37">
        <f t="shared" ca="1" si="5"/>
        <v>899749.15998841997</v>
      </c>
      <c r="P33" s="35">
        <f ca="1">IF($C33="", "", IF(O33&lt;=0, 0, MAX(VLOOKUP($D33-1, $R$4:$S$7, 2)*$N33-O33, 0)*OFFSET(鑫意锁风险保险费!$B$5, $D33-1, IF($D$3="男", 1, 2))/1000))</f>
        <v>464.29901763057131</v>
      </c>
      <c r="Q33" s="36">
        <f t="shared" ca="1" si="6"/>
        <v>917270.55819020525</v>
      </c>
      <c r="R33" s="35">
        <f t="shared" ca="1" si="1"/>
        <v>917270.55819020525</v>
      </c>
      <c r="S33" s="31">
        <f t="shared" ca="1" si="7"/>
        <v>1075620</v>
      </c>
      <c r="T33" s="37">
        <f t="shared" ca="1" si="8"/>
        <v>1072480.6451917842</v>
      </c>
      <c r="U33" s="35">
        <f ca="1">IF($C33="", "", IF(T33&lt;=0, 0, MAX(VLOOKUP($D33-1, $R$4:$S$7, 2)*$N33-T33, 0)*OFFSET(鑫意锁风险保险费!$B$5, $D33-1, IF($D$3="男", 1, 2))/1000))</f>
        <v>8.2878966936895822</v>
      </c>
      <c r="V33" s="36">
        <f t="shared" ca="1" si="9"/>
        <v>1115371.2515868943</v>
      </c>
      <c r="W33" s="35">
        <f t="shared" ca="1" si="2"/>
        <v>1115371.2515868943</v>
      </c>
      <c r="X33" s="31">
        <f t="shared" ca="1" si="10"/>
        <v>1115371.2515868943</v>
      </c>
    </row>
    <row r="34" spans="2:24" x14ac:dyDescent="0.3">
      <c r="B34" s="55"/>
      <c r="C34" s="29">
        <f t="shared" si="11"/>
        <v>17</v>
      </c>
      <c r="D34" s="57">
        <f t="shared" si="12"/>
        <v>47</v>
      </c>
      <c r="E34" s="37">
        <f t="shared" si="3"/>
        <v>0</v>
      </c>
      <c r="F34" s="85"/>
      <c r="G34" s="85"/>
      <c r="H34" s="90">
        <f ca="1">IF(C34="", "", IF(AND(C34&gt;=6, D34&lt;=60), OFFSET(利益演示!$G$16, C34-1, 0), IF(D34&gt;60, OFFSET(利益演示!$H$16, C34-1, 0), 0)))</f>
        <v>24300</v>
      </c>
      <c r="I34" s="65">
        <f ca="1">IF(C34="", "", SUM($E$18:H34))</f>
        <v>792600</v>
      </c>
      <c r="J34" s="59">
        <f t="shared" ca="1" si="4"/>
        <v>243</v>
      </c>
      <c r="K34" s="90">
        <f ca="1">IF(C34="", "", ROUND(IF(C34=6, SUM(OFFSET(H33, -4, 0):H33)*1%, IF(C34&gt;6,H33*1%, 0)),0))</f>
        <v>243</v>
      </c>
      <c r="L34" s="94"/>
      <c r="M34" s="90">
        <f t="shared" si="0"/>
        <v>0</v>
      </c>
      <c r="N34" s="67">
        <f ca="1">IF(C34="", "", MAX(I34-SUM(L$17:L33), 0))</f>
        <v>792600</v>
      </c>
      <c r="O34" s="37">
        <f t="shared" ca="1" si="5"/>
        <v>941570.55819020525</v>
      </c>
      <c r="P34" s="35">
        <f ca="1">IF($C34="", "", IF(O34&lt;=0, 0, MAX(VLOOKUP($D34-1, $R$4:$S$7, 2)*$N34-O34, 0)*OFFSET(鑫意锁风险保险费!$B$5, $D34-1, IF($D$3="男", 1, 2))/1000))</f>
        <v>489.08207566650276</v>
      </c>
      <c r="Q34" s="36">
        <f t="shared" ca="1" si="6"/>
        <v>959903.10563682951</v>
      </c>
      <c r="R34" s="35">
        <f t="shared" ca="1" si="1"/>
        <v>959903.10563682951</v>
      </c>
      <c r="S34" s="31">
        <f t="shared" ca="1" si="7"/>
        <v>1109640</v>
      </c>
      <c r="T34" s="37">
        <f t="shared" ca="1" si="8"/>
        <v>1139671.2515868943</v>
      </c>
      <c r="U34" s="35">
        <f ca="1">IF($C34="", "", IF(T34&lt;=0, 0, MAX(VLOOKUP($D34-1, $R$4:$S$7, 2)*$N34-T34, 0)*OFFSET(鑫意锁风险保险费!$B$5, $D34-1, IF($D$3="男", 1, 2))/1000))</f>
        <v>0</v>
      </c>
      <c r="V34" s="36">
        <f t="shared" ca="1" si="9"/>
        <v>1185258.1016503701</v>
      </c>
      <c r="W34" s="35">
        <f t="shared" ca="1" si="2"/>
        <v>1185258.1016503701</v>
      </c>
      <c r="X34" s="31">
        <f t="shared" ca="1" si="10"/>
        <v>1185258.1016503701</v>
      </c>
    </row>
    <row r="35" spans="2:24" x14ac:dyDescent="0.3">
      <c r="B35" s="55"/>
      <c r="C35" s="29">
        <f t="shared" si="11"/>
        <v>18</v>
      </c>
      <c r="D35" s="57">
        <f t="shared" si="12"/>
        <v>48</v>
      </c>
      <c r="E35" s="37">
        <f t="shared" si="3"/>
        <v>0</v>
      </c>
      <c r="F35" s="85"/>
      <c r="G35" s="85"/>
      <c r="H35" s="90">
        <f ca="1">IF(C35="", "", IF(AND(C35&gt;=6, D35&lt;=60), OFFSET(利益演示!$G$16, C35-1, 0), IF(D35&gt;60, OFFSET(利益演示!$H$16, C35-1, 0), 0)))</f>
        <v>24300</v>
      </c>
      <c r="I35" s="65">
        <f ca="1">IF(C35="", "", SUM($E$18:H35))</f>
        <v>816900</v>
      </c>
      <c r="J35" s="59">
        <f t="shared" ca="1" si="4"/>
        <v>243</v>
      </c>
      <c r="K35" s="90">
        <f ca="1">IF(C35="", "", ROUND(IF(C35=6, SUM(OFFSET(H34, -4, 0):H34)*1%, IF(C35&gt;6,H34*1%, 0)),0))</f>
        <v>243</v>
      </c>
      <c r="L35" s="94"/>
      <c r="M35" s="90">
        <f t="shared" si="0"/>
        <v>0</v>
      </c>
      <c r="N35" s="67">
        <f ca="1">IF(C35="", "", MAX(I35-SUM(L$17:L34), 0))</f>
        <v>816900</v>
      </c>
      <c r="O35" s="37">
        <f t="shared" ca="1" si="5"/>
        <v>984203.10563682951</v>
      </c>
      <c r="P35" s="35">
        <f ca="1">IF($C35="", "", IF(O35&lt;=0, 0, MAX(VLOOKUP($D35-1, $R$4:$S$7, 2)*$N35-O35, 0)*OFFSET(鑫意锁风险保险费!$B$5, $D35-1, IF($D$3="男", 1, 2))/1000))</f>
        <v>511.85663090577725</v>
      </c>
      <c r="Q35" s="36">
        <f t="shared" ca="1" si="6"/>
        <v>1003365.0739860423</v>
      </c>
      <c r="R35" s="35">
        <f t="shared" ca="1" si="1"/>
        <v>1003365.0739860423</v>
      </c>
      <c r="S35" s="31">
        <f t="shared" ca="1" si="7"/>
        <v>1143660</v>
      </c>
      <c r="T35" s="37">
        <f t="shared" ca="1" si="8"/>
        <v>1209558.1016503701</v>
      </c>
      <c r="U35" s="35">
        <f ca="1">IF($C35="", "", IF(T35&lt;=0, 0, MAX(VLOOKUP($D35-1, $R$4:$S$7, 2)*$N35-T35, 0)*OFFSET(鑫意锁风险保险费!$B$5, $D35-1, IF($D$3="男", 1, 2))/1000))</f>
        <v>0</v>
      </c>
      <c r="V35" s="36">
        <f t="shared" ca="1" si="9"/>
        <v>1257940.425716385</v>
      </c>
      <c r="W35" s="35">
        <f t="shared" ca="1" si="2"/>
        <v>1257940.425716385</v>
      </c>
      <c r="X35" s="31">
        <f t="shared" ca="1" si="10"/>
        <v>1257940.425716385</v>
      </c>
    </row>
    <row r="36" spans="2:24" x14ac:dyDescent="0.3">
      <c r="B36" s="55"/>
      <c r="C36" s="29">
        <f t="shared" si="11"/>
        <v>19</v>
      </c>
      <c r="D36" s="57">
        <f t="shared" si="12"/>
        <v>49</v>
      </c>
      <c r="E36" s="37">
        <f t="shared" si="3"/>
        <v>0</v>
      </c>
      <c r="F36" s="85"/>
      <c r="G36" s="85"/>
      <c r="H36" s="90">
        <f ca="1">IF(C36="", "", IF(AND(C36&gt;=6, D36&lt;=60), OFFSET(利益演示!$G$16, C36-1, 0), IF(D36&gt;60, OFFSET(利益演示!$H$16, C36-1, 0), 0)))</f>
        <v>24300</v>
      </c>
      <c r="I36" s="65">
        <f ca="1">IF(C36="", "", SUM($E$18:H36))</f>
        <v>841200</v>
      </c>
      <c r="J36" s="59">
        <f t="shared" ca="1" si="4"/>
        <v>243</v>
      </c>
      <c r="K36" s="90">
        <f ca="1">IF(C36="", "", ROUND(IF(C36=6, SUM(OFFSET(H35, -4, 0):H35)*1%, IF(C36&gt;6,H35*1%, 0)),0))</f>
        <v>243</v>
      </c>
      <c r="L36" s="94"/>
      <c r="M36" s="90">
        <f t="shared" si="0"/>
        <v>0</v>
      </c>
      <c r="N36" s="67">
        <f ca="1">IF(C36="", "", MAX(I36-SUM(L$17:L35), 0))</f>
        <v>841200</v>
      </c>
      <c r="O36" s="37">
        <f t="shared" ca="1" si="5"/>
        <v>1027665.0739860423</v>
      </c>
      <c r="P36" s="35">
        <f ca="1">IF($C36="", "", IF(O36&lt;=0, 0, MAX(VLOOKUP($D36-1, $R$4:$S$7, 2)*$N36-O36, 0)*OFFSET(鑫意锁风险保险费!$B$5, $D36-1, IF($D$3="男", 1, 2))/1000))</f>
        <v>531.05283808941033</v>
      </c>
      <c r="Q36" s="36">
        <f t="shared" ca="1" si="6"/>
        <v>1047676.7015709119</v>
      </c>
      <c r="R36" s="35">
        <f t="shared" ca="1" si="1"/>
        <v>1047676.7015709119</v>
      </c>
      <c r="S36" s="31">
        <f t="shared" ca="1" si="7"/>
        <v>1177680</v>
      </c>
      <c r="T36" s="37">
        <f t="shared" ca="1" si="8"/>
        <v>1282240.425716385</v>
      </c>
      <c r="U36" s="35">
        <f ca="1">IF($C36="", "", IF(T36&lt;=0, 0, MAX(VLOOKUP($D36-1, $R$4:$S$7, 2)*$N36-T36, 0)*OFFSET(鑫意锁风险保险费!$B$5, $D36-1, IF($D$3="男", 1, 2))/1000))</f>
        <v>0</v>
      </c>
      <c r="V36" s="36">
        <f t="shared" ca="1" si="9"/>
        <v>1333530.0427450405</v>
      </c>
      <c r="W36" s="35">
        <f t="shared" ca="1" si="2"/>
        <v>1333530.0427450405</v>
      </c>
      <c r="X36" s="31">
        <f t="shared" ca="1" si="10"/>
        <v>1333530.0427450405</v>
      </c>
    </row>
    <row r="37" spans="2:24" x14ac:dyDescent="0.3">
      <c r="B37" s="55"/>
      <c r="C37" s="29">
        <f t="shared" si="11"/>
        <v>20</v>
      </c>
      <c r="D37" s="57">
        <f t="shared" si="12"/>
        <v>50</v>
      </c>
      <c r="E37" s="37">
        <f t="shared" si="3"/>
        <v>0</v>
      </c>
      <c r="F37" s="85"/>
      <c r="G37" s="85"/>
      <c r="H37" s="90">
        <f ca="1">IF(C37="", "", IF(AND(C37&gt;=6, D37&lt;=60), OFFSET(利益演示!$G$16, C37-1, 0), IF(D37&gt;60, OFFSET(利益演示!$H$16, C37-1, 0), 0)))</f>
        <v>24300</v>
      </c>
      <c r="I37" s="65">
        <f ca="1">IF(C37="", "", SUM($E$18:H37))</f>
        <v>865500</v>
      </c>
      <c r="J37" s="59">
        <f t="shared" ca="1" si="4"/>
        <v>243</v>
      </c>
      <c r="K37" s="90">
        <f ca="1">IF(C37="", "", ROUND(IF(C37=6, SUM(OFFSET(H36, -4, 0):H36)*1%, IF(C37&gt;6,H36*1%, 0)),0))</f>
        <v>243</v>
      </c>
      <c r="L37" s="94"/>
      <c r="M37" s="90">
        <f t="shared" si="0"/>
        <v>0</v>
      </c>
      <c r="N37" s="67">
        <f ca="1">IF(C37="", "", MAX(I37-SUM(L$17:L36), 0))</f>
        <v>865500</v>
      </c>
      <c r="O37" s="37">
        <f t="shared" ca="1" si="5"/>
        <v>1071976.7015709118</v>
      </c>
      <c r="P37" s="35">
        <f ca="1">IF($C37="", "", IF(O37&lt;=0, 0, MAX(VLOOKUP($D37-1, $R$4:$S$7, 2)*$N37-O37, 0)*OFFSET(鑫意锁风险保险费!$B$5, $D37-1, IF($D$3="男", 1, 2))/1000))</f>
        <v>542.12639790486219</v>
      </c>
      <c r="Q37" s="36">
        <f t="shared" ca="1" si="6"/>
        <v>1092863.2666764669</v>
      </c>
      <c r="R37" s="35">
        <f t="shared" ca="1" si="1"/>
        <v>1092863.2666764669</v>
      </c>
      <c r="S37" s="31">
        <f t="shared" ca="1" si="7"/>
        <v>1211700</v>
      </c>
      <c r="T37" s="37">
        <f t="shared" ca="1" si="8"/>
        <v>1357830.0427450405</v>
      </c>
      <c r="U37" s="35">
        <f ca="1">IF($C37="", "", IF(T37&lt;=0, 0, MAX(VLOOKUP($D37-1, $R$4:$S$7, 2)*$N37-T37, 0)*OFFSET(鑫意锁风险保险费!$B$5, $D37-1, IF($D$3="男", 1, 2))/1000))</f>
        <v>0</v>
      </c>
      <c r="V37" s="36">
        <f t="shared" ca="1" si="9"/>
        <v>1412143.2444548421</v>
      </c>
      <c r="W37" s="35">
        <f t="shared" ca="1" si="2"/>
        <v>1412143.2444548421</v>
      </c>
      <c r="X37" s="31">
        <f t="shared" ca="1" si="10"/>
        <v>1412143.2444548421</v>
      </c>
    </row>
    <row r="38" spans="2:24" x14ac:dyDescent="0.3">
      <c r="B38" s="55"/>
      <c r="C38" s="29">
        <f t="shared" si="11"/>
        <v>21</v>
      </c>
      <c r="D38" s="57">
        <f t="shared" si="12"/>
        <v>51</v>
      </c>
      <c r="E38" s="37">
        <f t="shared" si="3"/>
        <v>0</v>
      </c>
      <c r="F38" s="85"/>
      <c r="G38" s="85"/>
      <c r="H38" s="90">
        <f ca="1">IF(C38="", "", IF(AND(C38&gt;=6, D38&lt;=60), OFFSET(利益演示!$G$16, C38-1, 0), IF(D38&gt;60, OFFSET(利益演示!$H$16, C38-1, 0), 0)))</f>
        <v>24300</v>
      </c>
      <c r="I38" s="65">
        <f ca="1">IF(C38="", "", SUM($E$18:H38))</f>
        <v>889800</v>
      </c>
      <c r="J38" s="59">
        <f t="shared" ca="1" si="4"/>
        <v>243</v>
      </c>
      <c r="K38" s="90">
        <f ca="1">IF(C38="", "", ROUND(IF(C38=6, SUM(OFFSET(H37, -4, 0):H37)*1%, IF(C38&gt;6,H37*1%, 0)),0))</f>
        <v>243</v>
      </c>
      <c r="L38" s="94"/>
      <c r="M38" s="90">
        <f t="shared" si="0"/>
        <v>0</v>
      </c>
      <c r="N38" s="67">
        <f ca="1">IF(C38="", "", MAX(I38-SUM(L$17:L37), 0))</f>
        <v>889800</v>
      </c>
      <c r="O38" s="37">
        <f t="shared" ca="1" si="5"/>
        <v>1117163.2666764669</v>
      </c>
      <c r="P38" s="35">
        <f ca="1">IF($C38="", "", IF(O38&lt;=0, 0, MAX(VLOOKUP($D38-1, $R$4:$S$7, 2)*$N38-O38, 0)*OFFSET(鑫意锁风险保险费!$B$5, $D38-1, IF($D$3="男", 1, 2))/1000))</f>
        <v>546.36611662501559</v>
      </c>
      <c r="Q38" s="36">
        <f t="shared" ca="1" si="6"/>
        <v>1138949.2385710387</v>
      </c>
      <c r="R38" s="35">
        <f t="shared" ca="1" si="1"/>
        <v>1138949.2385710387</v>
      </c>
      <c r="S38" s="31">
        <f t="shared" ca="1" si="7"/>
        <v>1245720</v>
      </c>
      <c r="T38" s="37">
        <f t="shared" ca="1" si="8"/>
        <v>1436443.2444548421</v>
      </c>
      <c r="U38" s="35">
        <f ca="1">IF($C38="", "", IF(T38&lt;=0, 0, MAX(VLOOKUP($D38-1, $R$4:$S$7, 2)*$N38-T38, 0)*OFFSET(鑫意锁风险保险费!$B$5, $D38-1, IF($D$3="男", 1, 2))/1000))</f>
        <v>0</v>
      </c>
      <c r="V38" s="36">
        <f t="shared" ca="1" si="9"/>
        <v>1493900.9742330357</v>
      </c>
      <c r="W38" s="35">
        <f t="shared" ca="1" si="2"/>
        <v>1493900.9742330357</v>
      </c>
      <c r="X38" s="31">
        <f t="shared" ca="1" si="10"/>
        <v>1493900.9742330357</v>
      </c>
    </row>
    <row r="39" spans="2:24" x14ac:dyDescent="0.3">
      <c r="B39" s="55"/>
      <c r="C39" s="29">
        <f t="shared" si="11"/>
        <v>22</v>
      </c>
      <c r="D39" s="57">
        <f t="shared" si="12"/>
        <v>52</v>
      </c>
      <c r="E39" s="37">
        <f t="shared" si="3"/>
        <v>0</v>
      </c>
      <c r="F39" s="85"/>
      <c r="G39" s="85"/>
      <c r="H39" s="90">
        <f ca="1">IF(C39="", "", IF(AND(C39&gt;=6, D39&lt;=60), OFFSET(利益演示!$G$16, C39-1, 0), IF(D39&gt;60, OFFSET(利益演示!$H$16, C39-1, 0), 0)))</f>
        <v>24300</v>
      </c>
      <c r="I39" s="65">
        <f ca="1">IF(C39="", "", SUM($E$18:H39))</f>
        <v>914100</v>
      </c>
      <c r="J39" s="59">
        <f t="shared" ca="1" si="4"/>
        <v>243</v>
      </c>
      <c r="K39" s="90">
        <f ca="1">IF(C39="", "", ROUND(IF(C39=6, SUM(OFFSET(H38, -4, 0):H38)*1%, IF(C39&gt;6,H38*1%, 0)),0))</f>
        <v>243</v>
      </c>
      <c r="L39" s="94"/>
      <c r="M39" s="90">
        <f t="shared" si="0"/>
        <v>0</v>
      </c>
      <c r="N39" s="67">
        <f ca="1">IF(C39="", "", MAX(I39-SUM(L$17:L38), 0))</f>
        <v>914100</v>
      </c>
      <c r="O39" s="37">
        <f t="shared" ca="1" si="5"/>
        <v>1163249.2385710387</v>
      </c>
      <c r="P39" s="35">
        <f ca="1">IF($C39="", "", IF(O39&lt;=0, 0, MAX(VLOOKUP($D39-1, $R$4:$S$7, 2)*$N39-O39, 0)*OFFSET(鑫意锁风险保险费!$B$5, $D39-1, IF($D$3="男", 1, 2))/1000))</f>
        <v>539.35222541609085</v>
      </c>
      <c r="Q39" s="36">
        <f t="shared" ca="1" si="6"/>
        <v>1185964.0840725352</v>
      </c>
      <c r="R39" s="35">
        <f t="shared" ca="1" si="1"/>
        <v>1185964.0840725352</v>
      </c>
      <c r="S39" s="31">
        <f t="shared" ca="1" si="7"/>
        <v>1279740</v>
      </c>
      <c r="T39" s="37">
        <f t="shared" ca="1" si="8"/>
        <v>1518200.9742330357</v>
      </c>
      <c r="U39" s="35">
        <f ca="1">IF($C39="", "", IF(T39&lt;=0, 0, MAX(VLOOKUP($D39-1, $R$4:$S$7, 2)*$N39-T39, 0)*OFFSET(鑫意锁风险保险费!$B$5, $D39-1, IF($D$3="男", 1, 2))/1000))</f>
        <v>0</v>
      </c>
      <c r="V39" s="36">
        <f t="shared" ca="1" si="9"/>
        <v>1578929.0132023571</v>
      </c>
      <c r="W39" s="35">
        <f t="shared" ca="1" si="2"/>
        <v>1578929.0132023571</v>
      </c>
      <c r="X39" s="31">
        <f t="shared" ca="1" si="10"/>
        <v>1578929.0132023571</v>
      </c>
    </row>
    <row r="40" spans="2:24" x14ac:dyDescent="0.3">
      <c r="B40" s="55"/>
      <c r="C40" s="29">
        <f t="shared" si="11"/>
        <v>23</v>
      </c>
      <c r="D40" s="57">
        <f t="shared" si="12"/>
        <v>53</v>
      </c>
      <c r="E40" s="37">
        <f t="shared" si="3"/>
        <v>0</v>
      </c>
      <c r="F40" s="85"/>
      <c r="G40" s="85"/>
      <c r="H40" s="90">
        <f ca="1">IF(C40="", "", IF(AND(C40&gt;=6, D40&lt;=60), OFFSET(利益演示!$G$16, C40-1, 0), IF(D40&gt;60, OFFSET(利益演示!$H$16, C40-1, 0), 0)))</f>
        <v>24300</v>
      </c>
      <c r="I40" s="65">
        <f ca="1">IF(C40="", "", SUM($E$18:H40))</f>
        <v>938400</v>
      </c>
      <c r="J40" s="59">
        <f t="shared" ca="1" si="4"/>
        <v>243</v>
      </c>
      <c r="K40" s="90">
        <f ca="1">IF(C40="", "", ROUND(IF(C40=6, SUM(OFFSET(H39, -4, 0):H39)*1%, IF(C40&gt;6,H39*1%, 0)),0))</f>
        <v>243</v>
      </c>
      <c r="L40" s="94"/>
      <c r="M40" s="90">
        <f t="shared" si="0"/>
        <v>0</v>
      </c>
      <c r="N40" s="67">
        <f ca="1">IF(C40="", "", MAX(I40-SUM(L$17:L39), 0))</f>
        <v>938400</v>
      </c>
      <c r="O40" s="37">
        <f t="shared" ca="1" si="5"/>
        <v>1210264.0840725352</v>
      </c>
      <c r="P40" s="35">
        <f ca="1">IF($C40="", "", IF(O40&lt;=0, 0, MAX(VLOOKUP($D40-1, $R$4:$S$7, 2)*$N40-O40, 0)*OFFSET(鑫意锁风险保险费!$B$5, $D40-1, IF($D$3="男", 1, 2))/1000))</f>
        <v>520.58445711514821</v>
      </c>
      <c r="Q40" s="36">
        <f t="shared" ca="1" si="6"/>
        <v>1233938.3696077284</v>
      </c>
      <c r="R40" s="35">
        <f t="shared" ca="1" si="1"/>
        <v>1233938.3696077284</v>
      </c>
      <c r="S40" s="31">
        <f t="shared" ca="1" si="7"/>
        <v>1313760</v>
      </c>
      <c r="T40" s="37">
        <f t="shared" ca="1" si="8"/>
        <v>1603229.0132023571</v>
      </c>
      <c r="U40" s="35">
        <f ca="1">IF($C40="", "", IF(T40&lt;=0, 0, MAX(VLOOKUP($D40-1, $R$4:$S$7, 2)*$N40-T40, 0)*OFFSET(鑫意锁风险保险费!$B$5, $D40-1, IF($D$3="男", 1, 2))/1000))</f>
        <v>0</v>
      </c>
      <c r="V40" s="36">
        <f t="shared" ca="1" si="9"/>
        <v>1667358.1737304514</v>
      </c>
      <c r="W40" s="35">
        <f t="shared" ca="1" si="2"/>
        <v>1667358.1737304514</v>
      </c>
      <c r="X40" s="31">
        <f t="shared" ca="1" si="10"/>
        <v>1667358.1737304514</v>
      </c>
    </row>
    <row r="41" spans="2:24" x14ac:dyDescent="0.3">
      <c r="B41" s="55"/>
      <c r="C41" s="29">
        <f t="shared" si="11"/>
        <v>24</v>
      </c>
      <c r="D41" s="57">
        <f t="shared" si="12"/>
        <v>54</v>
      </c>
      <c r="E41" s="37">
        <f t="shared" si="3"/>
        <v>0</v>
      </c>
      <c r="F41" s="85"/>
      <c r="G41" s="85"/>
      <c r="H41" s="90">
        <f ca="1">IF(C41="", "", IF(AND(C41&gt;=6, D41&lt;=60), OFFSET(利益演示!$G$16, C41-1, 0), IF(D41&gt;60, OFFSET(利益演示!$H$16, C41-1, 0), 0)))</f>
        <v>24300</v>
      </c>
      <c r="I41" s="65">
        <f ca="1">IF(C41="", "", SUM($E$18:H41))</f>
        <v>962700</v>
      </c>
      <c r="J41" s="59">
        <f t="shared" ca="1" si="4"/>
        <v>243</v>
      </c>
      <c r="K41" s="90">
        <f ca="1">IF(C41="", "", ROUND(IF(C41=6, SUM(OFFSET(H40, -4, 0):H40)*1%, IF(C41&gt;6,H40*1%, 0)),0))</f>
        <v>243</v>
      </c>
      <c r="L41" s="94"/>
      <c r="M41" s="90">
        <f t="shared" si="0"/>
        <v>0</v>
      </c>
      <c r="N41" s="67">
        <f ca="1">IF(C41="", "", MAX(I41-SUM(L$17:L40), 0))</f>
        <v>962700</v>
      </c>
      <c r="O41" s="37">
        <f t="shared" ca="1" si="5"/>
        <v>1258238.3696077284</v>
      </c>
      <c r="P41" s="35">
        <f ca="1">IF($C41="", "", IF(O41&lt;=0, 0, MAX(VLOOKUP($D41-1, $R$4:$S$7, 2)*$N41-O41, 0)*OFFSET(鑫意锁风险保险费!$B$5, $D41-1, IF($D$3="男", 1, 2))/1000))</f>
        <v>488.00188563788004</v>
      </c>
      <c r="Q41" s="36">
        <f t="shared" ca="1" si="6"/>
        <v>1282905.3750765324</v>
      </c>
      <c r="R41" s="35">
        <f t="shared" ca="1" si="1"/>
        <v>1282905.3750765324</v>
      </c>
      <c r="S41" s="31">
        <f t="shared" ca="1" si="7"/>
        <v>1347780</v>
      </c>
      <c r="T41" s="37">
        <f t="shared" ca="1" si="8"/>
        <v>1691658.1737304514</v>
      </c>
      <c r="U41" s="35">
        <f ca="1">IF($C41="", "", IF(T41&lt;=0, 0, MAX(VLOOKUP($D41-1, $R$4:$S$7, 2)*$N41-T41, 0)*OFFSET(鑫意锁风险保险费!$B$5, $D41-1, IF($D$3="男", 1, 2))/1000))</f>
        <v>0</v>
      </c>
      <c r="V41" s="36">
        <f t="shared" ca="1" si="9"/>
        <v>1759324.5006796694</v>
      </c>
      <c r="W41" s="35">
        <f t="shared" ca="1" si="2"/>
        <v>1759324.5006796694</v>
      </c>
      <c r="X41" s="31">
        <f t="shared" ca="1" si="10"/>
        <v>1759324.5006796694</v>
      </c>
    </row>
    <row r="42" spans="2:24" x14ac:dyDescent="0.3">
      <c r="B42" s="55"/>
      <c r="C42" s="29">
        <f t="shared" si="11"/>
        <v>25</v>
      </c>
      <c r="D42" s="57">
        <f t="shared" si="12"/>
        <v>55</v>
      </c>
      <c r="E42" s="37">
        <f t="shared" si="3"/>
        <v>0</v>
      </c>
      <c r="F42" s="85"/>
      <c r="G42" s="85"/>
      <c r="H42" s="90">
        <f ca="1">IF(C42="", "", IF(AND(C42&gt;=6, D42&lt;=60), OFFSET(利益演示!$G$16, C42-1, 0), IF(D42&gt;60, OFFSET(利益演示!$H$16, C42-1, 0), 0)))</f>
        <v>24300</v>
      </c>
      <c r="I42" s="65">
        <f ca="1">IF(C42="", "", SUM($E$18:H42))</f>
        <v>987000</v>
      </c>
      <c r="J42" s="59">
        <f t="shared" ca="1" si="4"/>
        <v>243</v>
      </c>
      <c r="K42" s="90">
        <f ca="1">IF(C42="", "", ROUND(IF(C42=6, SUM(OFFSET(H41, -4, 0):H41)*1%, IF(C42&gt;6,H41*1%, 0)),0))</f>
        <v>243</v>
      </c>
      <c r="L42" s="94">
        <v>100000</v>
      </c>
      <c r="M42" s="90">
        <f t="shared" si="0"/>
        <v>0</v>
      </c>
      <c r="N42" s="67">
        <f ca="1">IF(C42="", "", MAX(I42-SUM(L$17:L41), 0))</f>
        <v>987000</v>
      </c>
      <c r="O42" s="37">
        <f t="shared" ca="1" si="5"/>
        <v>1307205.3750765324</v>
      </c>
      <c r="P42" s="35">
        <f ca="1">IF($C42="", "", IF(O42&lt;=0, 0, MAX(VLOOKUP($D42-1, $R$4:$S$7, 2)*$N42-O42, 0)*OFFSET(鑫意锁风险保险费!$B$5, $D42-1, IF($D$3="男", 1, 2))/1000))</f>
        <v>437.87044830075507</v>
      </c>
      <c r="Q42" s="36">
        <f t="shared" ca="1" si="6"/>
        <v>1232902.8547207962</v>
      </c>
      <c r="R42" s="35">
        <f t="shared" ca="1" si="1"/>
        <v>1232902.8547207962</v>
      </c>
      <c r="S42" s="31">
        <f t="shared" ca="1" si="7"/>
        <v>1381800</v>
      </c>
      <c r="T42" s="37">
        <f t="shared" ca="1" si="8"/>
        <v>1783624.5006796694</v>
      </c>
      <c r="U42" s="35">
        <f ca="1">IF($C42="", "", IF(T42&lt;=0, 0, MAX(VLOOKUP($D42-1, $R$4:$S$7, 2)*$N42-T42, 0)*OFFSET(鑫意锁风险保险费!$B$5, $D42-1, IF($D$3="男", 1, 2))/1000))</f>
        <v>0</v>
      </c>
      <c r="V42" s="36">
        <f t="shared" ca="1" si="9"/>
        <v>1754969.4807068564</v>
      </c>
      <c r="W42" s="35">
        <f t="shared" ca="1" si="2"/>
        <v>1754969.4807068564</v>
      </c>
      <c r="X42" s="31">
        <f t="shared" ca="1" si="10"/>
        <v>1754969.4807068564</v>
      </c>
    </row>
    <row r="43" spans="2:24" x14ac:dyDescent="0.3">
      <c r="B43" s="55"/>
      <c r="C43" s="29">
        <f t="shared" si="11"/>
        <v>26</v>
      </c>
      <c r="D43" s="57">
        <f t="shared" si="12"/>
        <v>56</v>
      </c>
      <c r="E43" s="37">
        <f t="shared" si="3"/>
        <v>0</v>
      </c>
      <c r="F43" s="85"/>
      <c r="G43" s="85"/>
      <c r="H43" s="90">
        <f ca="1">IF(C43="", "", IF(AND(C43&gt;=6, D43&lt;=60), OFFSET(利益演示!$G$16, C43-1, 0), IF(D43&gt;60, OFFSET(利益演示!$H$16, C43-1, 0), 0)))</f>
        <v>24300</v>
      </c>
      <c r="I43" s="65">
        <f ca="1">IF(C43="", "", SUM($E$18:H43))</f>
        <v>1011300</v>
      </c>
      <c r="J43" s="59">
        <f t="shared" ca="1" si="4"/>
        <v>243</v>
      </c>
      <c r="K43" s="90">
        <f ca="1">IF(C43="", "", ROUND(IF(C43=6, SUM(OFFSET(H42, -4, 0):H42)*1%, IF(C43&gt;6,H42*1%, 0)),0))</f>
        <v>243</v>
      </c>
      <c r="L43" s="94">
        <v>100000</v>
      </c>
      <c r="M43" s="90">
        <f t="shared" si="0"/>
        <v>0</v>
      </c>
      <c r="N43" s="67">
        <f ca="1">IF(C43="", "", MAX(I43-SUM(L$17:L42), 0))</f>
        <v>911300</v>
      </c>
      <c r="O43" s="37">
        <f t="shared" ca="1" si="5"/>
        <v>1257202.8547207962</v>
      </c>
      <c r="P43" s="35">
        <f ca="1">IF($C43="", "", IF(O43&lt;=0, 0, MAX(VLOOKUP($D43-1, $R$4:$S$7, 2)*$N43-O43, 0)*OFFSET(鑫意锁风险保险费!$B$5, $D43-1, IF($D$3="男", 1, 2))/1000))</f>
        <v>117.28801525898378</v>
      </c>
      <c r="Q43" s="36">
        <f t="shared" ca="1" si="6"/>
        <v>1182227.278039648</v>
      </c>
      <c r="R43" s="35">
        <f t="shared" ca="1" si="1"/>
        <v>1182227.278039648</v>
      </c>
      <c r="S43" s="31">
        <f t="shared" ca="1" si="7"/>
        <v>1275820</v>
      </c>
      <c r="T43" s="37">
        <f t="shared" ca="1" si="8"/>
        <v>1779269.4807068564</v>
      </c>
      <c r="U43" s="35">
        <f ca="1">IF($C43="", "", IF(T43&lt;=0, 0, MAX(VLOOKUP($D43-1, $R$4:$S$7, 2)*$N43-T43, 0)*OFFSET(鑫意锁风险保险费!$B$5, $D43-1, IF($D$3="男", 1, 2))/1000))</f>
        <v>0</v>
      </c>
      <c r="V43" s="36">
        <f t="shared" ca="1" si="9"/>
        <v>1750440.2599351306</v>
      </c>
      <c r="W43" s="35">
        <f t="shared" ca="1" si="2"/>
        <v>1750440.2599351306</v>
      </c>
      <c r="X43" s="31">
        <f t="shared" ca="1" si="10"/>
        <v>1750440.2599351306</v>
      </c>
    </row>
    <row r="44" spans="2:24" x14ac:dyDescent="0.3">
      <c r="B44" s="55"/>
      <c r="C44" s="29">
        <f t="shared" si="11"/>
        <v>27</v>
      </c>
      <c r="D44" s="57">
        <f t="shared" si="12"/>
        <v>57</v>
      </c>
      <c r="E44" s="37">
        <f t="shared" si="3"/>
        <v>0</v>
      </c>
      <c r="F44" s="85"/>
      <c r="G44" s="85"/>
      <c r="H44" s="90">
        <f ca="1">IF(C44="", "", IF(AND(C44&gt;=6, D44&lt;=60), OFFSET(利益演示!$G$16, C44-1, 0), IF(D44&gt;60, OFFSET(利益演示!$H$16, C44-1, 0), 0)))</f>
        <v>24300</v>
      </c>
      <c r="I44" s="65">
        <f ca="1">IF(C44="", "", SUM($E$18:H44))</f>
        <v>1035600</v>
      </c>
      <c r="J44" s="59">
        <f t="shared" ca="1" si="4"/>
        <v>243</v>
      </c>
      <c r="K44" s="90">
        <f ca="1">IF(C44="", "", ROUND(IF(C44=6, SUM(OFFSET(H43, -4, 0):H43)*1%, IF(C44&gt;6,H43*1%, 0)),0))</f>
        <v>243</v>
      </c>
      <c r="L44" s="94">
        <v>100000</v>
      </c>
      <c r="M44" s="90">
        <f t="shared" si="0"/>
        <v>0</v>
      </c>
      <c r="N44" s="67">
        <f ca="1">IF(C44="", "", MAX(I44-SUM(L$17:L43), 0))</f>
        <v>835600</v>
      </c>
      <c r="O44" s="37">
        <f t="shared" ca="1" si="5"/>
        <v>1206527.278039648</v>
      </c>
      <c r="P44" s="35">
        <f ca="1">IF($C44="", "", IF(O44&lt;=0, 0, MAX(VLOOKUP($D44-1, $R$4:$S$7, 2)*$N44-O44, 0)*OFFSET(鑫意锁风险保险费!$B$5, $D44-1, IF($D$3="男", 1, 2))/1000))</f>
        <v>0</v>
      </c>
      <c r="Q44" s="36">
        <f t="shared" ca="1" si="6"/>
        <v>1130657.823600441</v>
      </c>
      <c r="R44" s="35">
        <f t="shared" ca="1" si="1"/>
        <v>1130657.823600441</v>
      </c>
      <c r="S44" s="31">
        <f t="shared" ca="1" si="7"/>
        <v>1169840</v>
      </c>
      <c r="T44" s="37">
        <f t="shared" ca="1" si="8"/>
        <v>1774740.2599351306</v>
      </c>
      <c r="U44" s="35">
        <f ca="1">IF($C44="", "", IF(T44&lt;=0, 0, MAX(VLOOKUP($D44-1, $R$4:$S$7, 2)*$N44-T44, 0)*OFFSET(鑫意锁风险保险费!$B$5, $D44-1, IF($D$3="男", 1, 2))/1000))</f>
        <v>0</v>
      </c>
      <c r="V44" s="36">
        <f t="shared" ca="1" si="9"/>
        <v>1745729.8703325358</v>
      </c>
      <c r="W44" s="35">
        <f t="shared" ca="1" si="2"/>
        <v>1745729.8703325358</v>
      </c>
      <c r="X44" s="31">
        <f t="shared" ca="1" si="10"/>
        <v>1745729.8703325358</v>
      </c>
    </row>
    <row r="45" spans="2:24" x14ac:dyDescent="0.3">
      <c r="B45" s="55"/>
      <c r="C45" s="29">
        <f t="shared" si="11"/>
        <v>28</v>
      </c>
      <c r="D45" s="57">
        <f t="shared" si="12"/>
        <v>58</v>
      </c>
      <c r="E45" s="37">
        <f t="shared" si="3"/>
        <v>0</v>
      </c>
      <c r="F45" s="85"/>
      <c r="G45" s="85"/>
      <c r="H45" s="90">
        <f ca="1">IF(C45="", "", IF(AND(C45&gt;=6, D45&lt;=60), OFFSET(利益演示!$G$16, C45-1, 0), IF(D45&gt;60, OFFSET(利益演示!$H$16, C45-1, 0), 0)))</f>
        <v>24300</v>
      </c>
      <c r="I45" s="65">
        <f ca="1">IF(C45="", "", SUM($E$18:H45))</f>
        <v>1059900</v>
      </c>
      <c r="J45" s="59">
        <f t="shared" ca="1" si="4"/>
        <v>243</v>
      </c>
      <c r="K45" s="90">
        <f ca="1">IF(C45="", "", ROUND(IF(C45=6, SUM(OFFSET(H44, -4, 0):H44)*1%, IF(C45&gt;6,H44*1%, 0)),0))</f>
        <v>243</v>
      </c>
      <c r="L45" s="94">
        <v>100000</v>
      </c>
      <c r="M45" s="90">
        <f t="shared" si="0"/>
        <v>0</v>
      </c>
      <c r="N45" s="67">
        <f ca="1">IF(C45="", "", MAX(I45-SUM(L$17:L44), 0))</f>
        <v>759900</v>
      </c>
      <c r="O45" s="37">
        <f t="shared" ca="1" si="5"/>
        <v>1154957.823600441</v>
      </c>
      <c r="P45" s="35">
        <f ca="1">IF($C45="", "", IF(O45&lt;=0, 0, MAX(VLOOKUP($D45-1, $R$4:$S$7, 2)*$N45-O45, 0)*OFFSET(鑫意锁风险保险费!$B$5, $D45-1, IF($D$3="男", 1, 2))/1000))</f>
        <v>0</v>
      </c>
      <c r="Q45" s="36">
        <f t="shared" ca="1" si="6"/>
        <v>1078056.9800724499</v>
      </c>
      <c r="R45" s="35">
        <f t="shared" ca="1" si="1"/>
        <v>1078056.9800724499</v>
      </c>
      <c r="S45" s="31">
        <f t="shared" ca="1" si="7"/>
        <v>1078056.9800724499</v>
      </c>
      <c r="T45" s="37">
        <f t="shared" ca="1" si="8"/>
        <v>1770029.8703325358</v>
      </c>
      <c r="U45" s="35">
        <f ca="1">IF($C45="", "", IF(T45&lt;=0, 0, MAX(VLOOKUP($D45-1, $R$4:$S$7, 2)*$N45-T45, 0)*OFFSET(鑫意锁风险保险费!$B$5, $D45-1, IF($D$3="男", 1, 2))/1000))</f>
        <v>0</v>
      </c>
      <c r="V45" s="36">
        <f t="shared" ca="1" si="9"/>
        <v>1740831.0651458374</v>
      </c>
      <c r="W45" s="35">
        <f t="shared" ca="1" si="2"/>
        <v>1740831.0651458374</v>
      </c>
      <c r="X45" s="31">
        <f t="shared" ca="1" si="10"/>
        <v>1740831.0651458374</v>
      </c>
    </row>
    <row r="46" spans="2:24" x14ac:dyDescent="0.3">
      <c r="B46" s="55"/>
      <c r="C46" s="29">
        <f t="shared" si="11"/>
        <v>29</v>
      </c>
      <c r="D46" s="57">
        <f t="shared" si="12"/>
        <v>59</v>
      </c>
      <c r="E46" s="37">
        <f t="shared" si="3"/>
        <v>0</v>
      </c>
      <c r="F46" s="85"/>
      <c r="G46" s="85"/>
      <c r="H46" s="90">
        <f ca="1">IF(C46="", "", IF(AND(C46&gt;=6, D46&lt;=60), OFFSET(利益演示!$G$16, C46-1, 0), IF(D46&gt;60, OFFSET(利益演示!$H$16, C46-1, 0), 0)))</f>
        <v>24300</v>
      </c>
      <c r="I46" s="65">
        <f ca="1">IF(C46="", "", SUM($E$18:H46))</f>
        <v>1084200</v>
      </c>
      <c r="J46" s="59">
        <f t="shared" ca="1" si="4"/>
        <v>243</v>
      </c>
      <c r="K46" s="90">
        <f ca="1">IF(C46="", "", ROUND(IF(C46=6, SUM(OFFSET(H45, -4, 0):H45)*1%, IF(C46&gt;6,H45*1%, 0)),0))</f>
        <v>243</v>
      </c>
      <c r="L46" s="94">
        <v>100000</v>
      </c>
      <c r="M46" s="90">
        <f t="shared" si="0"/>
        <v>0</v>
      </c>
      <c r="N46" s="67">
        <f ca="1">IF(C46="", "", MAX(I46-SUM(L$17:L45), 0))</f>
        <v>684200</v>
      </c>
      <c r="O46" s="37">
        <f t="shared" ca="1" si="5"/>
        <v>1102356.9800724499</v>
      </c>
      <c r="P46" s="35">
        <f ca="1">IF($C46="", "", IF(O46&lt;=0, 0, MAX(VLOOKUP($D46-1, $R$4:$S$7, 2)*$N46-O46, 0)*OFFSET(鑫意锁风险保险费!$B$5, $D46-1, IF($D$3="男", 1, 2))/1000))</f>
        <v>0</v>
      </c>
      <c r="Q46" s="36">
        <f t="shared" ca="1" si="6"/>
        <v>1024404.1196738989</v>
      </c>
      <c r="R46" s="35">
        <f t="shared" ca="1" si="1"/>
        <v>1024404.1196738989</v>
      </c>
      <c r="S46" s="31">
        <f t="shared" ca="1" si="7"/>
        <v>1024404.1196738989</v>
      </c>
      <c r="T46" s="37">
        <f t="shared" ca="1" si="8"/>
        <v>1765131.0651458374</v>
      </c>
      <c r="U46" s="35">
        <f ca="1">IF($C46="", "", IF(T46&lt;=0, 0, MAX(VLOOKUP($D46-1, $R$4:$S$7, 2)*$N46-T46, 0)*OFFSET(鑫意锁风险保险费!$B$5, $D46-1, IF($D$3="男", 1, 2))/1000))</f>
        <v>0</v>
      </c>
      <c r="V46" s="36">
        <f t="shared" ca="1" si="9"/>
        <v>1735736.3077516709</v>
      </c>
      <c r="W46" s="35">
        <f t="shared" ca="1" si="2"/>
        <v>1735736.3077516709</v>
      </c>
      <c r="X46" s="31">
        <f t="shared" ca="1" si="10"/>
        <v>1735736.3077516709</v>
      </c>
    </row>
    <row r="47" spans="2:24" x14ac:dyDescent="0.3">
      <c r="B47" s="55"/>
      <c r="C47" s="29">
        <f t="shared" si="11"/>
        <v>30</v>
      </c>
      <c r="D47" s="57">
        <f t="shared" si="12"/>
        <v>60</v>
      </c>
      <c r="E47" s="37">
        <f t="shared" si="3"/>
        <v>0</v>
      </c>
      <c r="F47" s="85"/>
      <c r="G47" s="85"/>
      <c r="H47" s="90">
        <f ca="1">IF(C47="", "", IF(AND(C47&gt;=6, D47&lt;=60), OFFSET(利益演示!$G$16, C47-1, 0), IF(D47&gt;60, OFFSET(利益演示!$H$16, C47-1, 0), 0)))</f>
        <v>24300</v>
      </c>
      <c r="I47" s="65">
        <f ca="1">IF(C47="", "", SUM($E$18:H47))</f>
        <v>1108500</v>
      </c>
      <c r="J47" s="59">
        <f t="shared" ca="1" si="4"/>
        <v>243</v>
      </c>
      <c r="K47" s="90">
        <f ca="1">IF(C47="", "", ROUND(IF(C47=6, SUM(OFFSET(H46, -4, 0):H46)*1%, IF(C47&gt;6,H46*1%, 0)),0))</f>
        <v>243</v>
      </c>
      <c r="L47" s="94">
        <v>100000</v>
      </c>
      <c r="M47" s="90">
        <f t="shared" si="0"/>
        <v>0</v>
      </c>
      <c r="N47" s="67">
        <f ca="1">IF(C47="", "", MAX(I47-SUM(L$17:L46), 0))</f>
        <v>608500</v>
      </c>
      <c r="O47" s="37">
        <f t="shared" ca="1" si="5"/>
        <v>1048704.1196738989</v>
      </c>
      <c r="P47" s="35">
        <f ca="1">IF($C47="", "", IF(O47&lt;=0, 0, MAX(VLOOKUP($D47-1, $R$4:$S$7, 2)*$N47-O47, 0)*OFFSET(鑫意锁风险保险费!$B$5, $D47-1, IF($D$3="男", 1, 2))/1000))</f>
        <v>0</v>
      </c>
      <c r="Q47" s="36">
        <f t="shared" ca="1" si="6"/>
        <v>969678.20206737681</v>
      </c>
      <c r="R47" s="35">
        <f t="shared" ca="1" si="1"/>
        <v>969678.20206737681</v>
      </c>
      <c r="S47" s="31">
        <f t="shared" ca="1" si="7"/>
        <v>969678.20206737681</v>
      </c>
      <c r="T47" s="37">
        <f t="shared" ca="1" si="8"/>
        <v>1760036.3077516709</v>
      </c>
      <c r="U47" s="35">
        <f ca="1">IF($C47="", "", IF(T47&lt;=0, 0, MAX(VLOOKUP($D47-1, $R$4:$S$7, 2)*$N47-T47, 0)*OFFSET(鑫意锁风险保险费!$B$5, $D47-1, IF($D$3="男", 1, 2))/1000))</f>
        <v>0</v>
      </c>
      <c r="V47" s="36">
        <f t="shared" ca="1" si="9"/>
        <v>1730437.7600617378</v>
      </c>
      <c r="W47" s="35">
        <f t="shared" ca="1" si="2"/>
        <v>1730437.7600617378</v>
      </c>
      <c r="X47" s="31">
        <f t="shared" ca="1" si="10"/>
        <v>1730437.7600617378</v>
      </c>
    </row>
    <row r="48" spans="2:24" x14ac:dyDescent="0.3">
      <c r="B48" s="55"/>
      <c r="C48" s="29">
        <f t="shared" si="11"/>
        <v>31</v>
      </c>
      <c r="D48" s="57">
        <f t="shared" si="12"/>
        <v>61</v>
      </c>
      <c r="E48" s="37">
        <f t="shared" si="3"/>
        <v>0</v>
      </c>
      <c r="F48" s="85"/>
      <c r="G48" s="85"/>
      <c r="H48" s="90">
        <f ca="1">IF(C48="", "", IF(AND(C48&gt;=6, D48&lt;=60), OFFSET(利益演示!$G$16, C48-1, 0), IF(D48&gt;60, OFFSET(利益演示!$H$16, C48-1, 0), 0)))</f>
        <v>48600</v>
      </c>
      <c r="I48" s="65">
        <f ca="1">IF(C48="", "", SUM($E$18:H48))</f>
        <v>1157100</v>
      </c>
      <c r="J48" s="59">
        <f t="shared" ca="1" si="4"/>
        <v>486</v>
      </c>
      <c r="K48" s="90">
        <f ca="1">IF(C48="", "", ROUND(IF(C48=6, SUM(OFFSET(H47, -4, 0):H47)*1%, IF(C48&gt;6,H47*1%, 0)),0))</f>
        <v>243</v>
      </c>
      <c r="L48" s="94">
        <v>100000</v>
      </c>
      <c r="M48" s="90">
        <f t="shared" si="0"/>
        <v>0</v>
      </c>
      <c r="N48" s="67">
        <f ca="1">IF(C48="", "", MAX(I48-SUM(L$17:L47), 0))</f>
        <v>557100</v>
      </c>
      <c r="O48" s="37">
        <f t="shared" ca="1" si="5"/>
        <v>1018035.2020673768</v>
      </c>
      <c r="P48" s="35">
        <f ca="1">IF($C48="", "", IF(O48&lt;=0, 0, MAX(VLOOKUP($D48-1, $R$4:$S$7, 2)*$N48-O48, 0)*OFFSET(鑫意锁风险保险费!$B$5, $D48-1, IF($D$3="男", 1, 2))/1000))</f>
        <v>0</v>
      </c>
      <c r="Q48" s="36">
        <f t="shared" ca="1" si="6"/>
        <v>938395.90610872442</v>
      </c>
      <c r="R48" s="35">
        <f t="shared" ca="1" si="1"/>
        <v>938395.90610872442</v>
      </c>
      <c r="S48" s="31">
        <f t="shared" ca="1" si="7"/>
        <v>938395.90610872442</v>
      </c>
      <c r="T48" s="37">
        <f t="shared" ca="1" si="8"/>
        <v>1778794.7600617378</v>
      </c>
      <c r="U48" s="35">
        <f ca="1">IF($C48="", "", IF(T48&lt;=0, 0, MAX(VLOOKUP($D48-1, $R$4:$S$7, 2)*$N48-T48, 0)*OFFSET(鑫意锁风险保险费!$B$5, $D48-1, IF($D$3="男", 1, 2))/1000))</f>
        <v>0</v>
      </c>
      <c r="V48" s="36">
        <f t="shared" ca="1" si="9"/>
        <v>1749946.5504642075</v>
      </c>
      <c r="W48" s="35">
        <f t="shared" ca="1" si="2"/>
        <v>1749946.5504642075</v>
      </c>
      <c r="X48" s="31">
        <f t="shared" ca="1" si="10"/>
        <v>1749946.5504642075</v>
      </c>
    </row>
    <row r="49" spans="2:24" x14ac:dyDescent="0.3">
      <c r="B49" s="55"/>
      <c r="C49" s="29">
        <f t="shared" si="11"/>
        <v>32</v>
      </c>
      <c r="D49" s="57">
        <f t="shared" si="12"/>
        <v>62</v>
      </c>
      <c r="E49" s="37">
        <f t="shared" si="3"/>
        <v>0</v>
      </c>
      <c r="F49" s="85"/>
      <c r="G49" s="85"/>
      <c r="H49" s="90">
        <f ca="1">IF(C49="", "", IF(AND(C49&gt;=6, D49&lt;=60), OFFSET(利益演示!$G$16, C49-1, 0), IF(D49&gt;60, OFFSET(利益演示!$H$16, C49-1, 0), 0)))</f>
        <v>48600</v>
      </c>
      <c r="I49" s="65">
        <f ca="1">IF(C49="", "", SUM($E$18:H49))</f>
        <v>1205700</v>
      </c>
      <c r="J49" s="59">
        <f t="shared" ca="1" si="4"/>
        <v>486</v>
      </c>
      <c r="K49" s="90">
        <f ca="1">IF(C49="", "", ROUND(IF(C49=6, SUM(OFFSET(H48, -4, 0):H48)*1%, IF(C49&gt;6,H48*1%, 0)),0))</f>
        <v>486</v>
      </c>
      <c r="L49" s="94">
        <v>100000</v>
      </c>
      <c r="M49" s="90">
        <f t="shared" si="0"/>
        <v>0</v>
      </c>
      <c r="N49" s="67">
        <f ca="1">IF(C49="", "", MAX(I49-SUM(L$17:L48), 0))</f>
        <v>505700</v>
      </c>
      <c r="O49" s="37">
        <f t="shared" ca="1" si="5"/>
        <v>986995.90610872442</v>
      </c>
      <c r="P49" s="35">
        <f ca="1">IF($C49="", "", IF(O49&lt;=0, 0, MAX(VLOOKUP($D49-1, $R$4:$S$7, 2)*$N49-O49, 0)*OFFSET(鑫意锁风险保险费!$B$5, $D49-1, IF($D$3="男", 1, 2))/1000))</f>
        <v>0</v>
      </c>
      <c r="Q49" s="36">
        <f t="shared" ca="1" si="6"/>
        <v>906735.82423089887</v>
      </c>
      <c r="R49" s="35">
        <f t="shared" ca="1" si="1"/>
        <v>906735.82423089887</v>
      </c>
      <c r="S49" s="31">
        <f t="shared" ca="1" si="7"/>
        <v>906735.82423089887</v>
      </c>
      <c r="T49" s="37">
        <f t="shared" ca="1" si="8"/>
        <v>1798546.5504642075</v>
      </c>
      <c r="U49" s="35">
        <f ca="1">IF($C49="", "", IF(T49&lt;=0, 0, MAX(VLOOKUP($D49-1, $R$4:$S$7, 2)*$N49-T49, 0)*OFFSET(鑫意锁风险保险费!$B$5, $D49-1, IF($D$3="男", 1, 2))/1000))</f>
        <v>0</v>
      </c>
      <c r="V49" s="36">
        <f t="shared" ca="1" si="9"/>
        <v>1770488.412482776</v>
      </c>
      <c r="W49" s="35">
        <f t="shared" ca="1" si="2"/>
        <v>1770488.412482776</v>
      </c>
      <c r="X49" s="31">
        <f t="shared" ca="1" si="10"/>
        <v>1770488.412482776</v>
      </c>
    </row>
    <row r="50" spans="2:24" x14ac:dyDescent="0.3">
      <c r="B50" s="55"/>
      <c r="C50" s="29">
        <f t="shared" si="11"/>
        <v>33</v>
      </c>
      <c r="D50" s="57">
        <f t="shared" si="12"/>
        <v>63</v>
      </c>
      <c r="E50" s="37">
        <f t="shared" si="3"/>
        <v>0</v>
      </c>
      <c r="F50" s="85"/>
      <c r="G50" s="85"/>
      <c r="H50" s="90">
        <f ca="1">IF(C50="", "", IF(AND(C50&gt;=6, D50&lt;=60), OFFSET(利益演示!$G$16, C50-1, 0), IF(D50&gt;60, OFFSET(利益演示!$H$16, C50-1, 0), 0)))</f>
        <v>48600</v>
      </c>
      <c r="I50" s="65">
        <f ca="1">IF(C50="", "", SUM($E$18:H50))</f>
        <v>1254300</v>
      </c>
      <c r="J50" s="59">
        <f t="shared" ca="1" si="4"/>
        <v>486</v>
      </c>
      <c r="K50" s="90">
        <f ca="1">IF(C50="", "", ROUND(IF(C50=6, SUM(OFFSET(H49, -4, 0):H49)*1%, IF(C50&gt;6,H49*1%, 0)),0))</f>
        <v>486</v>
      </c>
      <c r="L50" s="94">
        <v>100000</v>
      </c>
      <c r="M50" s="90">
        <f t="shared" ref="M50:M81" si="13">IF(C50="", "", L50*VLOOKUP(C50, $U$4:$V$9, 2))</f>
        <v>0</v>
      </c>
      <c r="N50" s="67">
        <f ca="1">IF(C50="", "", MAX(I50-SUM(L$17:L49), 0))</f>
        <v>454300</v>
      </c>
      <c r="O50" s="37">
        <f t="shared" ca="1" si="5"/>
        <v>955335.82423089887</v>
      </c>
      <c r="P50" s="35">
        <f ca="1">IF($C50="", "", IF(O50&lt;=0, 0, MAX(VLOOKUP($D50-1, $R$4:$S$7, 2)*$N50-O50, 0)*OFFSET(鑫意锁风险保险费!$B$5, $D50-1, IF($D$3="男", 1, 2))/1000))</f>
        <v>0</v>
      </c>
      <c r="Q50" s="36">
        <f t="shared" ca="1" si="6"/>
        <v>874442.54071551689</v>
      </c>
      <c r="R50" s="35">
        <f t="shared" ref="R50:R81" ca="1" si="14">IF($C50="", "", Q50*(1-VLOOKUP($C50, $U$4:$V$9, 2)))</f>
        <v>874442.54071551689</v>
      </c>
      <c r="S50" s="31">
        <f t="shared" ca="1" si="7"/>
        <v>874442.54071551689</v>
      </c>
      <c r="T50" s="37">
        <f t="shared" ca="1" si="8"/>
        <v>1819088.412482776</v>
      </c>
      <c r="U50" s="35">
        <f ca="1">IF($C50="", "", IF(T50&lt;=0, 0, MAX(VLOOKUP($D50-1, $R$4:$S$7, 2)*$N50-T50, 0)*OFFSET(鑫意锁风险保险费!$B$5, $D50-1, IF($D$3="男", 1, 2))/1000))</f>
        <v>0</v>
      </c>
      <c r="V50" s="36">
        <f t="shared" ca="1" si="9"/>
        <v>1791851.9489820872</v>
      </c>
      <c r="W50" s="35">
        <f t="shared" ref="W50:W81" ca="1" si="15">IF($C50="", "", V50*(1-VLOOKUP($C50, $U$4:$V$9, 2)))</f>
        <v>1791851.9489820872</v>
      </c>
      <c r="X50" s="31">
        <f t="shared" ca="1" si="10"/>
        <v>1791851.9489820872</v>
      </c>
    </row>
    <row r="51" spans="2:24" x14ac:dyDescent="0.3">
      <c r="B51" s="55"/>
      <c r="C51" s="29">
        <f t="shared" si="11"/>
        <v>34</v>
      </c>
      <c r="D51" s="57">
        <f t="shared" si="12"/>
        <v>64</v>
      </c>
      <c r="E51" s="37">
        <f t="shared" si="3"/>
        <v>0</v>
      </c>
      <c r="F51" s="85"/>
      <c r="G51" s="85"/>
      <c r="H51" s="90">
        <f ca="1">IF(C51="", "", IF(AND(C51&gt;=6, D51&lt;=60), OFFSET(利益演示!$G$16, C51-1, 0), IF(D51&gt;60, OFFSET(利益演示!$H$16, C51-1, 0), 0)))</f>
        <v>48600</v>
      </c>
      <c r="I51" s="65">
        <f ca="1">IF(C51="", "", SUM($E$18:H51))</f>
        <v>1302900</v>
      </c>
      <c r="J51" s="59">
        <f t="shared" ca="1" si="4"/>
        <v>486</v>
      </c>
      <c r="K51" s="90">
        <f ca="1">IF(C51="", "", ROUND(IF(C51=6, SUM(OFFSET(H50, -4, 0):H50)*1%, IF(C51&gt;6,H50*1%, 0)),0))</f>
        <v>486</v>
      </c>
      <c r="L51" s="94">
        <v>100000</v>
      </c>
      <c r="M51" s="90">
        <f t="shared" si="13"/>
        <v>0</v>
      </c>
      <c r="N51" s="67">
        <f ca="1">IF(C51="", "", MAX(I51-SUM(L$17:L50), 0))</f>
        <v>402900</v>
      </c>
      <c r="O51" s="37">
        <f t="shared" ca="1" si="5"/>
        <v>923042.54071551689</v>
      </c>
      <c r="P51" s="35">
        <f ca="1">IF($C51="", "", IF(O51&lt;=0, 0, MAX(VLOOKUP($D51-1, $R$4:$S$7, 2)*$N51-O51, 0)*OFFSET(鑫意锁风险保险费!$B$5, $D51-1, IF($D$3="男", 1, 2))/1000))</f>
        <v>0</v>
      </c>
      <c r="Q51" s="36">
        <f t="shared" ca="1" si="6"/>
        <v>841503.39152982726</v>
      </c>
      <c r="R51" s="35">
        <f t="shared" ca="1" si="14"/>
        <v>841503.39152982726</v>
      </c>
      <c r="S51" s="31">
        <f t="shared" ca="1" si="7"/>
        <v>841503.39152982726</v>
      </c>
      <c r="T51" s="37">
        <f t="shared" ca="1" si="8"/>
        <v>1840451.9489820872</v>
      </c>
      <c r="U51" s="35">
        <f ca="1">IF($C51="", "", IF(T51&lt;=0, 0, MAX(VLOOKUP($D51-1, $R$4:$S$7, 2)*$N51-T51, 0)*OFFSET(鑫意锁风险保险费!$B$5, $D51-1, IF($D$3="男", 1, 2))/1000))</f>
        <v>0</v>
      </c>
      <c r="V51" s="36">
        <f t="shared" ca="1" si="9"/>
        <v>1814070.0269413707</v>
      </c>
      <c r="W51" s="35">
        <f t="shared" ca="1" si="15"/>
        <v>1814070.0269413707</v>
      </c>
      <c r="X51" s="31">
        <f t="shared" ca="1" si="10"/>
        <v>1814070.0269413707</v>
      </c>
    </row>
    <row r="52" spans="2:24" x14ac:dyDescent="0.3">
      <c r="B52" s="55"/>
      <c r="C52" s="29">
        <f t="shared" si="11"/>
        <v>35</v>
      </c>
      <c r="D52" s="57">
        <f t="shared" si="12"/>
        <v>65</v>
      </c>
      <c r="E52" s="37">
        <f t="shared" si="3"/>
        <v>0</v>
      </c>
      <c r="F52" s="85"/>
      <c r="G52" s="85"/>
      <c r="H52" s="90">
        <f ca="1">IF(C52="", "", IF(AND(C52&gt;=6, D52&lt;=60), OFFSET(利益演示!$G$16, C52-1, 0), IF(D52&gt;60, OFFSET(利益演示!$H$16, C52-1, 0), 0)))</f>
        <v>48600</v>
      </c>
      <c r="I52" s="65">
        <f ca="1">IF(C52="", "", SUM($E$18:H52))</f>
        <v>1351500</v>
      </c>
      <c r="J52" s="59">
        <f t="shared" ca="1" si="4"/>
        <v>486</v>
      </c>
      <c r="K52" s="90">
        <f ca="1">IF(C52="", "", ROUND(IF(C52=6, SUM(OFFSET(H51, -4, 0):H51)*1%, IF(C52&gt;6,H51*1%, 0)),0))</f>
        <v>486</v>
      </c>
      <c r="L52" s="94">
        <v>100000</v>
      </c>
      <c r="M52" s="90">
        <f t="shared" si="13"/>
        <v>0</v>
      </c>
      <c r="N52" s="67">
        <f ca="1">IF(C52="", "", MAX(I52-SUM(L$17:L51), 0))</f>
        <v>351500</v>
      </c>
      <c r="O52" s="37">
        <f t="shared" ca="1" si="5"/>
        <v>890103.39152982726</v>
      </c>
      <c r="P52" s="35">
        <f ca="1">IF($C52="", "", IF(O52&lt;=0, 0, MAX(VLOOKUP($D52-1, $R$4:$S$7, 2)*$N52-O52, 0)*OFFSET(鑫意锁风险保险费!$B$5, $D52-1, IF($D$3="男", 1, 2))/1000))</f>
        <v>0</v>
      </c>
      <c r="Q52" s="36">
        <f t="shared" ca="1" si="6"/>
        <v>807905.45936042385</v>
      </c>
      <c r="R52" s="35">
        <f t="shared" ca="1" si="14"/>
        <v>807905.45936042385</v>
      </c>
      <c r="S52" s="31">
        <f t="shared" ca="1" si="7"/>
        <v>807905.45936042385</v>
      </c>
      <c r="T52" s="37">
        <f t="shared" ca="1" si="8"/>
        <v>1862670.0269413707</v>
      </c>
      <c r="U52" s="35">
        <f ca="1">IF($C52="", "", IF(T52&lt;=0, 0, MAX(VLOOKUP($D52-1, $R$4:$S$7, 2)*$N52-T52, 0)*OFFSET(鑫意锁风险保险费!$B$5, $D52-1, IF($D$3="男", 1, 2))/1000))</f>
        <v>0</v>
      </c>
      <c r="V52" s="36">
        <f t="shared" ca="1" si="9"/>
        <v>1837176.8280190255</v>
      </c>
      <c r="W52" s="35">
        <f t="shared" ca="1" si="15"/>
        <v>1837176.8280190255</v>
      </c>
      <c r="X52" s="31">
        <f t="shared" ca="1" si="10"/>
        <v>1837176.8280190255</v>
      </c>
    </row>
    <row r="53" spans="2:24" x14ac:dyDescent="0.3">
      <c r="B53" s="55"/>
      <c r="C53" s="29">
        <f t="shared" si="11"/>
        <v>36</v>
      </c>
      <c r="D53" s="57">
        <f t="shared" si="12"/>
        <v>66</v>
      </c>
      <c r="E53" s="37">
        <f t="shared" si="3"/>
        <v>0</v>
      </c>
      <c r="F53" s="85"/>
      <c r="G53" s="85"/>
      <c r="H53" s="90">
        <f ca="1">IF(C53="", "", IF(AND(C53&gt;=6, D53&lt;=60), OFFSET(利益演示!$G$16, C53-1, 0), IF(D53&gt;60, OFFSET(利益演示!$H$16, C53-1, 0), 0)))</f>
        <v>48600</v>
      </c>
      <c r="I53" s="65">
        <f ca="1">IF(C53="", "", SUM($E$18:H53))</f>
        <v>1400100</v>
      </c>
      <c r="J53" s="59">
        <f t="shared" ca="1" si="4"/>
        <v>486</v>
      </c>
      <c r="K53" s="90">
        <f ca="1">IF(C53="", "", ROUND(IF(C53=6, SUM(OFFSET(H52, -4, 0):H52)*1%, IF(C53&gt;6,H52*1%, 0)),0))</f>
        <v>486</v>
      </c>
      <c r="L53" s="94"/>
      <c r="M53" s="90">
        <f t="shared" si="13"/>
        <v>0</v>
      </c>
      <c r="N53" s="67">
        <f ca="1">IF(C53="", "", MAX(I53-SUM(L$17:L52), 0))</f>
        <v>300100</v>
      </c>
      <c r="O53" s="37">
        <f t="shared" ca="1" si="5"/>
        <v>856505.45936042385</v>
      </c>
      <c r="P53" s="35">
        <f ca="1">IF($C53="", "", IF(O53&lt;=0, 0, MAX(VLOOKUP($D53-1, $R$4:$S$7, 2)*$N53-O53, 0)*OFFSET(鑫意锁风险保险费!$B$5, $D53-1, IF($D$3="男", 1, 2))/1000))</f>
        <v>0</v>
      </c>
      <c r="Q53" s="36">
        <f t="shared" ca="1" si="6"/>
        <v>873635.56854763231</v>
      </c>
      <c r="R53" s="35">
        <f t="shared" ca="1" si="14"/>
        <v>873635.56854763231</v>
      </c>
      <c r="S53" s="31">
        <f t="shared" ca="1" si="7"/>
        <v>873635.56854763231</v>
      </c>
      <c r="T53" s="37">
        <f t="shared" ca="1" si="8"/>
        <v>1885776.8280190255</v>
      </c>
      <c r="U53" s="35">
        <f ca="1">IF($C53="", "", IF(T53&lt;=0, 0, MAX(VLOOKUP($D53-1, $R$4:$S$7, 2)*$N53-T53, 0)*OFFSET(鑫意锁风险保险费!$B$5, $D53-1, IF($D$3="男", 1, 2))/1000))</f>
        <v>0</v>
      </c>
      <c r="V53" s="36">
        <f t="shared" ca="1" si="9"/>
        <v>1961207.9011397867</v>
      </c>
      <c r="W53" s="35">
        <f t="shared" ca="1" si="15"/>
        <v>1961207.9011397867</v>
      </c>
      <c r="X53" s="31">
        <f t="shared" ca="1" si="10"/>
        <v>1961207.9011397867</v>
      </c>
    </row>
    <row r="54" spans="2:24" x14ac:dyDescent="0.3">
      <c r="B54" s="55"/>
      <c r="C54" s="29">
        <f t="shared" si="11"/>
        <v>37</v>
      </c>
      <c r="D54" s="57">
        <f t="shared" si="12"/>
        <v>67</v>
      </c>
      <c r="E54" s="37">
        <f t="shared" si="3"/>
        <v>0</v>
      </c>
      <c r="F54" s="85"/>
      <c r="G54" s="85"/>
      <c r="H54" s="90">
        <f ca="1">IF(C54="", "", IF(AND(C54&gt;=6, D54&lt;=60), OFFSET(利益演示!$G$16, C54-1, 0), IF(D54&gt;60, OFFSET(利益演示!$H$16, C54-1, 0), 0)))</f>
        <v>48600</v>
      </c>
      <c r="I54" s="65">
        <f ca="1">IF(C54="", "", SUM($E$18:H54))</f>
        <v>1448700</v>
      </c>
      <c r="J54" s="59">
        <f t="shared" ca="1" si="4"/>
        <v>486</v>
      </c>
      <c r="K54" s="90">
        <f ca="1">IF(C54="", "", ROUND(IF(C54=6, SUM(OFFSET(H53, -4, 0):H53)*1%, IF(C54&gt;6,H53*1%, 0)),0))</f>
        <v>486</v>
      </c>
      <c r="L54" s="94"/>
      <c r="M54" s="90">
        <f t="shared" si="13"/>
        <v>0</v>
      </c>
      <c r="N54" s="67">
        <f ca="1">IF(C54="", "", MAX(I54-SUM(L$17:L53), 0))</f>
        <v>348700</v>
      </c>
      <c r="O54" s="37">
        <f t="shared" ca="1" si="5"/>
        <v>922235.56854763231</v>
      </c>
      <c r="P54" s="35">
        <f ca="1">IF($C54="", "", IF(O54&lt;=0, 0, MAX(VLOOKUP($D54-1, $R$4:$S$7, 2)*$N54-O54, 0)*OFFSET(鑫意锁风险保险费!$B$5, $D54-1, IF($D$3="男", 1, 2))/1000))</f>
        <v>0</v>
      </c>
      <c r="Q54" s="36">
        <f t="shared" ca="1" si="6"/>
        <v>940680.27991858497</v>
      </c>
      <c r="R54" s="35">
        <f t="shared" ca="1" si="14"/>
        <v>940680.27991858497</v>
      </c>
      <c r="S54" s="31">
        <f t="shared" ca="1" si="7"/>
        <v>940680.27991858497</v>
      </c>
      <c r="T54" s="37">
        <f t="shared" ca="1" si="8"/>
        <v>2009807.9011397867</v>
      </c>
      <c r="U54" s="35">
        <f ca="1">IF($C54="", "", IF(T54&lt;=0, 0, MAX(VLOOKUP($D54-1, $R$4:$S$7, 2)*$N54-T54, 0)*OFFSET(鑫意锁风险保险费!$B$5, $D54-1, IF($D$3="男", 1, 2))/1000))</f>
        <v>0</v>
      </c>
      <c r="V54" s="36">
        <f t="shared" ca="1" si="9"/>
        <v>2090200.2171853783</v>
      </c>
      <c r="W54" s="35">
        <f t="shared" ca="1" si="15"/>
        <v>2090200.2171853783</v>
      </c>
      <c r="X54" s="31">
        <f t="shared" ca="1" si="10"/>
        <v>2090200.2171853783</v>
      </c>
    </row>
    <row r="55" spans="2:24" x14ac:dyDescent="0.3">
      <c r="B55" s="55"/>
      <c r="C55" s="29">
        <f t="shared" si="11"/>
        <v>38</v>
      </c>
      <c r="D55" s="57">
        <f t="shared" si="12"/>
        <v>68</v>
      </c>
      <c r="E55" s="37">
        <f t="shared" si="3"/>
        <v>0</v>
      </c>
      <c r="F55" s="85"/>
      <c r="G55" s="85"/>
      <c r="H55" s="90">
        <f ca="1">IF(C55="", "", IF(AND(C55&gt;=6, D55&lt;=60), OFFSET(利益演示!$G$16, C55-1, 0), IF(D55&gt;60, OFFSET(利益演示!$H$16, C55-1, 0), 0)))</f>
        <v>48600</v>
      </c>
      <c r="I55" s="65">
        <f ca="1">IF(C55="", "", SUM($E$18:H55))</f>
        <v>1497300</v>
      </c>
      <c r="J55" s="59">
        <f t="shared" ca="1" si="4"/>
        <v>486</v>
      </c>
      <c r="K55" s="90">
        <f ca="1">IF(C55="", "", ROUND(IF(C55=6, SUM(OFFSET(H54, -4, 0):H54)*1%, IF(C55&gt;6,H54*1%, 0)),0))</f>
        <v>486</v>
      </c>
      <c r="L55" s="94"/>
      <c r="M55" s="90">
        <f t="shared" si="13"/>
        <v>0</v>
      </c>
      <c r="N55" s="67">
        <f ca="1">IF(C55="", "", MAX(I55-SUM(L$17:L54), 0))</f>
        <v>397300</v>
      </c>
      <c r="O55" s="37">
        <f t="shared" ca="1" si="5"/>
        <v>989280.27991858497</v>
      </c>
      <c r="P55" s="35">
        <f ca="1">IF($C55="", "", IF(O55&lt;=0, 0, MAX(VLOOKUP($D55-1, $R$4:$S$7, 2)*$N55-O55, 0)*OFFSET(鑫意锁风险保险费!$B$5, $D55-1, IF($D$3="男", 1, 2))/1000))</f>
        <v>0</v>
      </c>
      <c r="Q55" s="36">
        <f t="shared" ca="1" si="6"/>
        <v>1009065.8855169567</v>
      </c>
      <c r="R55" s="35">
        <f t="shared" ca="1" si="14"/>
        <v>1009065.8855169567</v>
      </c>
      <c r="S55" s="31">
        <f t="shared" ca="1" si="7"/>
        <v>1009065.8855169567</v>
      </c>
      <c r="T55" s="37">
        <f t="shared" ca="1" si="8"/>
        <v>2138800.2171853781</v>
      </c>
      <c r="U55" s="35">
        <f ca="1">IF($C55="", "", IF(T55&lt;=0, 0, MAX(VLOOKUP($D55-1, $R$4:$S$7, 2)*$N55-T55, 0)*OFFSET(鑫意锁风险保险费!$B$5, $D55-1, IF($D$3="男", 1, 2))/1000))</f>
        <v>0</v>
      </c>
      <c r="V55" s="36">
        <f t="shared" ca="1" si="9"/>
        <v>2224352.2258727932</v>
      </c>
      <c r="W55" s="35">
        <f t="shared" ca="1" si="15"/>
        <v>2224352.2258727932</v>
      </c>
      <c r="X55" s="31">
        <f t="shared" ca="1" si="10"/>
        <v>2224352.2258727932</v>
      </c>
    </row>
    <row r="56" spans="2:24" x14ac:dyDescent="0.3">
      <c r="B56" s="55"/>
      <c r="C56" s="29">
        <f t="shared" si="11"/>
        <v>39</v>
      </c>
      <c r="D56" s="57">
        <f t="shared" si="12"/>
        <v>69</v>
      </c>
      <c r="E56" s="37">
        <f t="shared" si="3"/>
        <v>0</v>
      </c>
      <c r="F56" s="85"/>
      <c r="G56" s="85"/>
      <c r="H56" s="90">
        <f ca="1">IF(C56="", "", IF(AND(C56&gt;=6, D56&lt;=60), OFFSET(利益演示!$G$16, C56-1, 0), IF(D56&gt;60, OFFSET(利益演示!$H$16, C56-1, 0), 0)))</f>
        <v>48600</v>
      </c>
      <c r="I56" s="65">
        <f ca="1">IF(C56="", "", SUM($E$18:H56))</f>
        <v>1545900</v>
      </c>
      <c r="J56" s="59">
        <f t="shared" ca="1" si="4"/>
        <v>486</v>
      </c>
      <c r="K56" s="90">
        <f ca="1">IF(C56="", "", ROUND(IF(C56=6, SUM(OFFSET(H55, -4, 0):H55)*1%, IF(C56&gt;6,H55*1%, 0)),0))</f>
        <v>486</v>
      </c>
      <c r="L56" s="94"/>
      <c r="M56" s="90">
        <f t="shared" si="13"/>
        <v>0</v>
      </c>
      <c r="N56" s="67">
        <f ca="1">IF(C56="", "", MAX(I56-SUM(L$17:L55), 0))</f>
        <v>445900</v>
      </c>
      <c r="O56" s="37">
        <f t="shared" ca="1" si="5"/>
        <v>1057665.8855169567</v>
      </c>
      <c r="P56" s="35">
        <f ca="1">IF($C56="", "", IF(O56&lt;=0, 0, MAX(VLOOKUP($D56-1, $R$4:$S$7, 2)*$N56-O56, 0)*OFFSET(鑫意锁风险保险费!$B$5, $D56-1, IF($D$3="男", 1, 2))/1000))</f>
        <v>0</v>
      </c>
      <c r="Q56" s="36">
        <f t="shared" ca="1" si="6"/>
        <v>1078819.2032272958</v>
      </c>
      <c r="R56" s="35">
        <f t="shared" ca="1" si="14"/>
        <v>1078819.2032272958</v>
      </c>
      <c r="S56" s="31">
        <f t="shared" ca="1" si="7"/>
        <v>1078819.2032272958</v>
      </c>
      <c r="T56" s="37">
        <f t="shared" ca="1" si="8"/>
        <v>2272952.2258727932</v>
      </c>
      <c r="U56" s="35">
        <f ca="1">IF($C56="", "", IF(T56&lt;=0, 0, MAX(VLOOKUP($D56-1, $R$4:$S$7, 2)*$N56-T56, 0)*OFFSET(鑫意锁风险保险费!$B$5, $D56-1, IF($D$3="男", 1, 2))/1000))</f>
        <v>0</v>
      </c>
      <c r="V56" s="36">
        <f t="shared" ca="1" si="9"/>
        <v>2363870.3149077049</v>
      </c>
      <c r="W56" s="35">
        <f t="shared" ca="1" si="15"/>
        <v>2363870.3149077049</v>
      </c>
      <c r="X56" s="31">
        <f t="shared" ca="1" si="10"/>
        <v>2363870.3149077049</v>
      </c>
    </row>
    <row r="57" spans="2:24" x14ac:dyDescent="0.3">
      <c r="B57" s="55"/>
      <c r="C57" s="29">
        <f t="shared" si="11"/>
        <v>40</v>
      </c>
      <c r="D57" s="57">
        <f t="shared" si="12"/>
        <v>70</v>
      </c>
      <c r="E57" s="37">
        <f t="shared" si="3"/>
        <v>0</v>
      </c>
      <c r="F57" s="85"/>
      <c r="G57" s="85"/>
      <c r="H57" s="90">
        <f ca="1">IF(C57="", "", IF(AND(C57&gt;=6, D57&lt;=60), OFFSET(利益演示!$G$16, C57-1, 0), IF(D57&gt;60, OFFSET(利益演示!$H$16, C57-1, 0), 0)))</f>
        <v>48600</v>
      </c>
      <c r="I57" s="65">
        <f ca="1">IF(C57="", "", SUM($E$18:H57))</f>
        <v>1594500</v>
      </c>
      <c r="J57" s="59">
        <f t="shared" ca="1" si="4"/>
        <v>486</v>
      </c>
      <c r="K57" s="90">
        <f ca="1">IF(C57="", "", ROUND(IF(C57=6, SUM(OFFSET(H56, -4, 0):H56)*1%, IF(C57&gt;6,H56*1%, 0)),0))</f>
        <v>486</v>
      </c>
      <c r="L57" s="94"/>
      <c r="M57" s="90">
        <f t="shared" si="13"/>
        <v>0</v>
      </c>
      <c r="N57" s="67">
        <f ca="1">IF(C57="", "", MAX(I57-SUM(L$17:L56), 0))</f>
        <v>494500</v>
      </c>
      <c r="O57" s="37">
        <f t="shared" ca="1" si="5"/>
        <v>1127419.2032272958</v>
      </c>
      <c r="P57" s="35">
        <f ca="1">IF($C57="", "", IF(O57&lt;=0, 0, MAX(VLOOKUP($D57-1, $R$4:$S$7, 2)*$N57-O57, 0)*OFFSET(鑫意锁风险保险费!$B$5, $D57-1, IF($D$3="男", 1, 2))/1000))</f>
        <v>0</v>
      </c>
      <c r="Q57" s="36">
        <f t="shared" ca="1" si="6"/>
        <v>1149967.5872918416</v>
      </c>
      <c r="R57" s="35">
        <f t="shared" ca="1" si="14"/>
        <v>1149967.5872918416</v>
      </c>
      <c r="S57" s="31">
        <f t="shared" ca="1" si="7"/>
        <v>1149967.5872918416</v>
      </c>
      <c r="T57" s="37">
        <f t="shared" ca="1" si="8"/>
        <v>2412470.3149077049</v>
      </c>
      <c r="U57" s="35">
        <f ca="1">IF($C57="", "", IF(T57&lt;=0, 0, MAX(VLOOKUP($D57-1, $R$4:$S$7, 2)*$N57-T57, 0)*OFFSET(鑫意锁风险保险费!$B$5, $D57-1, IF($D$3="男", 1, 2))/1000))</f>
        <v>0</v>
      </c>
      <c r="V57" s="36">
        <f t="shared" ca="1" si="9"/>
        <v>2508969.127504013</v>
      </c>
      <c r="W57" s="35">
        <f t="shared" ca="1" si="15"/>
        <v>2508969.127504013</v>
      </c>
      <c r="X57" s="31">
        <f t="shared" ca="1" si="10"/>
        <v>2508969.127504013</v>
      </c>
    </row>
    <row r="58" spans="2:24" x14ac:dyDescent="0.3">
      <c r="B58" s="55"/>
      <c r="C58" s="29">
        <f t="shared" si="11"/>
        <v>41</v>
      </c>
      <c r="D58" s="57">
        <f t="shared" si="12"/>
        <v>71</v>
      </c>
      <c r="E58" s="37">
        <f t="shared" si="3"/>
        <v>0</v>
      </c>
      <c r="F58" s="85"/>
      <c r="G58" s="85"/>
      <c r="H58" s="90">
        <f ca="1">IF(C58="", "", IF(AND(C58&gt;=6, D58&lt;=60), OFFSET(利益演示!$G$16, C58-1, 0), IF(D58&gt;60, OFFSET(利益演示!$H$16, C58-1, 0), 0)))</f>
        <v>48600</v>
      </c>
      <c r="I58" s="65">
        <f ca="1">IF(C58="", "", SUM($E$18:H58))</f>
        <v>1643100</v>
      </c>
      <c r="J58" s="59">
        <f t="shared" ca="1" si="4"/>
        <v>486</v>
      </c>
      <c r="K58" s="90">
        <f ca="1">IF(C58="", "", ROUND(IF(C58=6, SUM(OFFSET(H57, -4, 0):H57)*1%, IF(C58&gt;6,H57*1%, 0)),0))</f>
        <v>486</v>
      </c>
      <c r="L58" s="94"/>
      <c r="M58" s="90">
        <f t="shared" si="13"/>
        <v>0</v>
      </c>
      <c r="N58" s="67">
        <f ca="1">IF(C58="", "", MAX(I58-SUM(L$17:L57), 0))</f>
        <v>543100</v>
      </c>
      <c r="O58" s="37">
        <f t="shared" ca="1" si="5"/>
        <v>1198567.5872918416</v>
      </c>
      <c r="P58" s="35">
        <f ca="1">IF($C58="", "", IF(O58&lt;=0, 0, MAX(VLOOKUP($D58-1, $R$4:$S$7, 2)*$N58-O58, 0)*OFFSET(鑫意锁风险保险费!$B$5, $D58-1, IF($D$3="男", 1, 2))/1000))</f>
        <v>0</v>
      </c>
      <c r="Q58" s="36">
        <f t="shared" ca="1" si="6"/>
        <v>1222538.9390376785</v>
      </c>
      <c r="R58" s="35">
        <f t="shared" ca="1" si="14"/>
        <v>1222538.9390376785</v>
      </c>
      <c r="S58" s="31">
        <f t="shared" ca="1" si="7"/>
        <v>1222538.9390376785</v>
      </c>
      <c r="T58" s="37">
        <f t="shared" ca="1" si="8"/>
        <v>2557569.127504013</v>
      </c>
      <c r="U58" s="35">
        <f ca="1">IF($C58="", "", IF(T58&lt;=0, 0, MAX(VLOOKUP($D58-1, $R$4:$S$7, 2)*$N58-T58, 0)*OFFSET(鑫意锁风险保险费!$B$5, $D58-1, IF($D$3="男", 1, 2))/1000))</f>
        <v>0</v>
      </c>
      <c r="V58" s="36">
        <f t="shared" ca="1" si="9"/>
        <v>2659871.8926041736</v>
      </c>
      <c r="W58" s="35">
        <f t="shared" ca="1" si="15"/>
        <v>2659871.8926041736</v>
      </c>
      <c r="X58" s="31">
        <f t="shared" ca="1" si="10"/>
        <v>2659871.8926041736</v>
      </c>
    </row>
    <row r="59" spans="2:24" x14ac:dyDescent="0.3">
      <c r="B59" s="55"/>
      <c r="C59" s="29">
        <f t="shared" si="11"/>
        <v>42</v>
      </c>
      <c r="D59" s="57">
        <f t="shared" si="12"/>
        <v>72</v>
      </c>
      <c r="E59" s="37">
        <f t="shared" si="3"/>
        <v>0</v>
      </c>
      <c r="F59" s="85"/>
      <c r="G59" s="85"/>
      <c r="H59" s="90">
        <f ca="1">IF(C59="", "", IF(AND(C59&gt;=6, D59&lt;=60), OFFSET(利益演示!$G$16, C59-1, 0), IF(D59&gt;60, OFFSET(利益演示!$H$16, C59-1, 0), 0)))</f>
        <v>48600</v>
      </c>
      <c r="I59" s="65">
        <f ca="1">IF(C59="", "", SUM($E$18:H59))</f>
        <v>1691700</v>
      </c>
      <c r="J59" s="59">
        <f t="shared" ca="1" si="4"/>
        <v>486</v>
      </c>
      <c r="K59" s="90">
        <f ca="1">IF(C59="", "", ROUND(IF(C59=6, SUM(OFFSET(H58, -4, 0):H58)*1%, IF(C59&gt;6,H58*1%, 0)),0))</f>
        <v>486</v>
      </c>
      <c r="L59" s="94"/>
      <c r="M59" s="90">
        <f t="shared" si="13"/>
        <v>0</v>
      </c>
      <c r="N59" s="67">
        <f ca="1">IF(C59="", "", MAX(I59-SUM(L$17:L58), 0))</f>
        <v>591700</v>
      </c>
      <c r="O59" s="37">
        <f t="shared" ca="1" si="5"/>
        <v>1271138.9390376785</v>
      </c>
      <c r="P59" s="35">
        <f ca="1">IF($C59="", "", IF(O59&lt;=0, 0, MAX(VLOOKUP($D59-1, $R$4:$S$7, 2)*$N59-O59, 0)*OFFSET(鑫意锁风险保险费!$B$5, $D59-1, IF($D$3="男", 1, 2))/1000))</f>
        <v>0</v>
      </c>
      <c r="Q59" s="36">
        <f t="shared" ca="1" si="6"/>
        <v>1296561.717818432</v>
      </c>
      <c r="R59" s="35">
        <f t="shared" ca="1" si="14"/>
        <v>1296561.717818432</v>
      </c>
      <c r="S59" s="31">
        <f t="shared" ca="1" si="7"/>
        <v>1296561.717818432</v>
      </c>
      <c r="T59" s="37">
        <f t="shared" ca="1" si="8"/>
        <v>2708471.8926041736</v>
      </c>
      <c r="U59" s="35">
        <f ca="1">IF($C59="", "", IF(T59&lt;=0, 0, MAX(VLOOKUP($D59-1, $R$4:$S$7, 2)*$N59-T59, 0)*OFFSET(鑫意锁风险保险费!$B$5, $D59-1, IF($D$3="男", 1, 2))/1000))</f>
        <v>0</v>
      </c>
      <c r="V59" s="36">
        <f t="shared" ca="1" si="9"/>
        <v>2816810.7683083406</v>
      </c>
      <c r="W59" s="35">
        <f t="shared" ca="1" si="15"/>
        <v>2816810.7683083406</v>
      </c>
      <c r="X59" s="31">
        <f t="shared" ca="1" si="10"/>
        <v>2816810.7683083406</v>
      </c>
    </row>
    <row r="60" spans="2:24" x14ac:dyDescent="0.3">
      <c r="B60" s="55"/>
      <c r="C60" s="29">
        <f t="shared" si="11"/>
        <v>43</v>
      </c>
      <c r="D60" s="57">
        <f t="shared" si="12"/>
        <v>73</v>
      </c>
      <c r="E60" s="37">
        <f t="shared" si="3"/>
        <v>0</v>
      </c>
      <c r="F60" s="85"/>
      <c r="G60" s="85"/>
      <c r="H60" s="90">
        <f ca="1">IF(C60="", "", IF(AND(C60&gt;=6, D60&lt;=60), OFFSET(利益演示!$G$16, C60-1, 0), IF(D60&gt;60, OFFSET(利益演示!$H$16, C60-1, 0), 0)))</f>
        <v>48600</v>
      </c>
      <c r="I60" s="65">
        <f ca="1">IF(C60="", "", SUM($E$18:H60))</f>
        <v>1740300</v>
      </c>
      <c r="J60" s="59">
        <f t="shared" ca="1" si="4"/>
        <v>486</v>
      </c>
      <c r="K60" s="90">
        <f ca="1">IF(C60="", "", ROUND(IF(C60=6, SUM(OFFSET(H59, -4, 0):H59)*1%, IF(C60&gt;6,H59*1%, 0)),0))</f>
        <v>486</v>
      </c>
      <c r="L60" s="94"/>
      <c r="M60" s="90">
        <f t="shared" si="13"/>
        <v>0</v>
      </c>
      <c r="N60" s="67">
        <f ca="1">IF(C60="", "", MAX(I60-SUM(L$17:L59), 0))</f>
        <v>640300</v>
      </c>
      <c r="O60" s="37">
        <f t="shared" ca="1" si="5"/>
        <v>1345161.717818432</v>
      </c>
      <c r="P60" s="35">
        <f ca="1">IF($C60="", "", IF(O60&lt;=0, 0, MAX(VLOOKUP($D60-1, $R$4:$S$7, 2)*$N60-O60, 0)*OFFSET(鑫意锁风险保险费!$B$5, $D60-1, IF($D$3="男", 1, 2))/1000))</f>
        <v>0</v>
      </c>
      <c r="Q60" s="36">
        <f t="shared" ca="1" si="6"/>
        <v>1372064.9521748007</v>
      </c>
      <c r="R60" s="35">
        <f t="shared" ca="1" si="14"/>
        <v>1372064.9521748007</v>
      </c>
      <c r="S60" s="31">
        <f t="shared" ca="1" si="7"/>
        <v>1372064.9521748007</v>
      </c>
      <c r="T60" s="37">
        <f t="shared" ca="1" si="8"/>
        <v>2865410.7683083406</v>
      </c>
      <c r="U60" s="35">
        <f ca="1">IF($C60="", "", IF(T60&lt;=0, 0, MAX(VLOOKUP($D60-1, $R$4:$S$7, 2)*$N60-T60, 0)*OFFSET(鑫意锁风险保险费!$B$5, $D60-1, IF($D$3="男", 1, 2))/1000))</f>
        <v>0</v>
      </c>
      <c r="V60" s="36">
        <f t="shared" ca="1" si="9"/>
        <v>2980027.1990406741</v>
      </c>
      <c r="W60" s="35">
        <f t="shared" ca="1" si="15"/>
        <v>2980027.1990406741</v>
      </c>
      <c r="X60" s="31">
        <f t="shared" ca="1" si="10"/>
        <v>2980027.1990406741</v>
      </c>
    </row>
    <row r="61" spans="2:24" x14ac:dyDescent="0.3">
      <c r="B61" s="55"/>
      <c r="C61" s="29">
        <f t="shared" si="11"/>
        <v>44</v>
      </c>
      <c r="D61" s="57">
        <f t="shared" si="12"/>
        <v>74</v>
      </c>
      <c r="E61" s="37">
        <f t="shared" si="3"/>
        <v>0</v>
      </c>
      <c r="F61" s="85"/>
      <c r="G61" s="85"/>
      <c r="H61" s="90">
        <f ca="1">IF(C61="", "", IF(AND(C61&gt;=6, D61&lt;=60), OFFSET(利益演示!$G$16, C61-1, 0), IF(D61&gt;60, OFFSET(利益演示!$H$16, C61-1, 0), 0)))</f>
        <v>48600</v>
      </c>
      <c r="I61" s="65">
        <f ca="1">IF(C61="", "", SUM($E$18:H61))</f>
        <v>1788900</v>
      </c>
      <c r="J61" s="59">
        <f t="shared" ca="1" si="4"/>
        <v>486</v>
      </c>
      <c r="K61" s="90">
        <f ca="1">IF(C61="", "", ROUND(IF(C61=6, SUM(OFFSET(H60, -4, 0):H60)*1%, IF(C61&gt;6,H60*1%, 0)),0))</f>
        <v>486</v>
      </c>
      <c r="L61" s="94"/>
      <c r="M61" s="90">
        <f t="shared" si="13"/>
        <v>0</v>
      </c>
      <c r="N61" s="67">
        <f ca="1">IF(C61="", "", MAX(I61-SUM(L$17:L60), 0))</f>
        <v>688900</v>
      </c>
      <c r="O61" s="37">
        <f t="shared" ca="1" si="5"/>
        <v>1420664.9521748007</v>
      </c>
      <c r="P61" s="35">
        <f ca="1">IF($C61="", "", IF(O61&lt;=0, 0, MAX(VLOOKUP($D61-1, $R$4:$S$7, 2)*$N61-O61, 0)*OFFSET(鑫意锁风险保险费!$B$5, $D61-1, IF($D$3="男", 1, 2))/1000))</f>
        <v>0</v>
      </c>
      <c r="Q61" s="36">
        <f t="shared" ca="1" si="6"/>
        <v>1449078.2512182968</v>
      </c>
      <c r="R61" s="35">
        <f t="shared" ca="1" si="14"/>
        <v>1449078.2512182968</v>
      </c>
      <c r="S61" s="31">
        <f t="shared" ca="1" si="7"/>
        <v>1449078.2512182968</v>
      </c>
      <c r="T61" s="37">
        <f t="shared" ca="1" si="8"/>
        <v>3028627.1990406741</v>
      </c>
      <c r="U61" s="35">
        <f ca="1">IF($C61="", "", IF(T61&lt;=0, 0, MAX(VLOOKUP($D61-1, $R$4:$S$7, 2)*$N61-T61, 0)*OFFSET(鑫意锁风险保险费!$B$5, $D61-1, IF($D$3="男", 1, 2))/1000))</f>
        <v>0</v>
      </c>
      <c r="V61" s="36">
        <f t="shared" ca="1" si="9"/>
        <v>3149772.2870023013</v>
      </c>
      <c r="W61" s="35">
        <f t="shared" ca="1" si="15"/>
        <v>3149772.2870023013</v>
      </c>
      <c r="X61" s="31">
        <f t="shared" ca="1" si="10"/>
        <v>3149772.2870023013</v>
      </c>
    </row>
    <row r="62" spans="2:24" x14ac:dyDescent="0.3">
      <c r="B62" s="55"/>
      <c r="C62" s="29">
        <f t="shared" si="11"/>
        <v>45</v>
      </c>
      <c r="D62" s="57">
        <f t="shared" si="12"/>
        <v>75</v>
      </c>
      <c r="E62" s="37">
        <f t="shared" si="3"/>
        <v>0</v>
      </c>
      <c r="F62" s="85"/>
      <c r="G62" s="85"/>
      <c r="H62" s="90">
        <f ca="1">IF(C62="", "", IF(AND(C62&gt;=6, D62&lt;=60), OFFSET(利益演示!$G$16, C62-1, 0), IF(D62&gt;60, OFFSET(利益演示!$H$16, C62-1, 0), 0)))</f>
        <v>48600</v>
      </c>
      <c r="I62" s="65">
        <f ca="1">IF(C62="", "", SUM($E$18:H62))</f>
        <v>1837500</v>
      </c>
      <c r="J62" s="59">
        <f t="shared" ca="1" si="4"/>
        <v>486</v>
      </c>
      <c r="K62" s="90">
        <f ca="1">IF(C62="", "", ROUND(IF(C62=6, SUM(OFFSET(H61, -4, 0):H61)*1%, IF(C62&gt;6,H61*1%, 0)),0))</f>
        <v>486</v>
      </c>
      <c r="L62" s="94"/>
      <c r="M62" s="90">
        <f t="shared" si="13"/>
        <v>0</v>
      </c>
      <c r="N62" s="67">
        <f ca="1">IF(C62="", "", MAX(I62-SUM(L$17:L61), 0))</f>
        <v>737500</v>
      </c>
      <c r="O62" s="37">
        <f t="shared" ca="1" si="5"/>
        <v>1497678.2512182968</v>
      </c>
      <c r="P62" s="35">
        <f ca="1">IF($C62="", "", IF(O62&lt;=0, 0, MAX(VLOOKUP($D62-1, $R$4:$S$7, 2)*$N62-O62, 0)*OFFSET(鑫意锁风险保险费!$B$5, $D62-1, IF($D$3="男", 1, 2))/1000))</f>
        <v>0</v>
      </c>
      <c r="Q62" s="36">
        <f t="shared" ca="1" si="6"/>
        <v>1527631.8162426627</v>
      </c>
      <c r="R62" s="35">
        <f t="shared" ca="1" si="14"/>
        <v>1527631.8162426627</v>
      </c>
      <c r="S62" s="31">
        <f t="shared" ca="1" si="7"/>
        <v>1527631.8162426627</v>
      </c>
      <c r="T62" s="37">
        <f t="shared" ca="1" si="8"/>
        <v>3198372.2870023013</v>
      </c>
      <c r="U62" s="35">
        <f ca="1">IF($C62="", "", IF(T62&lt;=0, 0, MAX(VLOOKUP($D62-1, $R$4:$S$7, 2)*$N62-T62, 0)*OFFSET(鑫意锁风险保险费!$B$5, $D62-1, IF($D$3="男", 1, 2))/1000))</f>
        <v>0</v>
      </c>
      <c r="V62" s="36">
        <f t="shared" ca="1" si="9"/>
        <v>3326307.1784823933</v>
      </c>
      <c r="W62" s="35">
        <f t="shared" ca="1" si="15"/>
        <v>3326307.1784823933</v>
      </c>
      <c r="X62" s="31">
        <f t="shared" ca="1" si="10"/>
        <v>3326307.1784823933</v>
      </c>
    </row>
    <row r="63" spans="2:24" x14ac:dyDescent="0.3">
      <c r="B63" s="55"/>
      <c r="C63" s="29">
        <f t="shared" si="11"/>
        <v>46</v>
      </c>
      <c r="D63" s="57">
        <f t="shared" si="12"/>
        <v>76</v>
      </c>
      <c r="E63" s="37">
        <f t="shared" si="3"/>
        <v>0</v>
      </c>
      <c r="F63" s="85"/>
      <c r="G63" s="85"/>
      <c r="H63" s="90">
        <f ca="1">IF(C63="", "", IF(AND(C63&gt;=6, D63&lt;=60), OFFSET(利益演示!$G$16, C63-1, 0), IF(D63&gt;60, OFFSET(利益演示!$H$16, C63-1, 0), 0)))</f>
        <v>48600</v>
      </c>
      <c r="I63" s="65">
        <f ca="1">IF(C63="", "", SUM($E$18:H63))</f>
        <v>1886100</v>
      </c>
      <c r="J63" s="59">
        <f t="shared" ca="1" si="4"/>
        <v>486</v>
      </c>
      <c r="K63" s="90">
        <f ca="1">IF(C63="", "", ROUND(IF(C63=6, SUM(OFFSET(H62, -4, 0):H62)*1%, IF(C63&gt;6,H62*1%, 0)),0))</f>
        <v>486</v>
      </c>
      <c r="L63" s="94"/>
      <c r="M63" s="90">
        <f t="shared" si="13"/>
        <v>0</v>
      </c>
      <c r="N63" s="67">
        <f ca="1">IF(C63="", "", MAX(I63-SUM(L$17:L62), 0))</f>
        <v>786100</v>
      </c>
      <c r="O63" s="37">
        <f t="shared" ca="1" si="5"/>
        <v>1576231.8162426627</v>
      </c>
      <c r="P63" s="35">
        <f ca="1">IF($C63="", "", IF(O63&lt;=0, 0, MAX(VLOOKUP($D63-1, $R$4:$S$7, 2)*$N63-O63, 0)*OFFSET(鑫意锁风险保险费!$B$5, $D63-1, IF($D$3="男", 1, 2))/1000))</f>
        <v>0</v>
      </c>
      <c r="Q63" s="36">
        <f t="shared" ca="1" si="6"/>
        <v>1607756.4525675159</v>
      </c>
      <c r="R63" s="35">
        <f t="shared" ca="1" si="14"/>
        <v>1607756.4525675159</v>
      </c>
      <c r="S63" s="31">
        <f t="shared" ca="1" si="7"/>
        <v>1607756.4525675159</v>
      </c>
      <c r="T63" s="37">
        <f t="shared" ca="1" si="8"/>
        <v>3374907.1784823933</v>
      </c>
      <c r="U63" s="35">
        <f ca="1">IF($C63="", "", IF(T63&lt;=0, 0, MAX(VLOOKUP($D63-1, $R$4:$S$7, 2)*$N63-T63, 0)*OFFSET(鑫意锁风险保险费!$B$5, $D63-1, IF($D$3="男", 1, 2))/1000))</f>
        <v>0</v>
      </c>
      <c r="V63" s="36">
        <f t="shared" ca="1" si="9"/>
        <v>3509903.4656216893</v>
      </c>
      <c r="W63" s="35">
        <f t="shared" ca="1" si="15"/>
        <v>3509903.4656216893</v>
      </c>
      <c r="X63" s="31">
        <f t="shared" ca="1" si="10"/>
        <v>3509903.4656216893</v>
      </c>
    </row>
    <row r="64" spans="2:24" x14ac:dyDescent="0.3">
      <c r="B64" s="55"/>
      <c r="C64" s="29">
        <f t="shared" si="11"/>
        <v>47</v>
      </c>
      <c r="D64" s="57">
        <f t="shared" si="12"/>
        <v>77</v>
      </c>
      <c r="E64" s="37">
        <f t="shared" si="3"/>
        <v>0</v>
      </c>
      <c r="F64" s="85"/>
      <c r="G64" s="85"/>
      <c r="H64" s="90">
        <f ca="1">IF(C64="", "", IF(AND(C64&gt;=6, D64&lt;=60), OFFSET(利益演示!$G$16, C64-1, 0), IF(D64&gt;60, OFFSET(利益演示!$H$16, C64-1, 0), 0)))</f>
        <v>48600</v>
      </c>
      <c r="I64" s="65">
        <f ca="1">IF(C64="", "", SUM($E$18:H64))</f>
        <v>1934700</v>
      </c>
      <c r="J64" s="59">
        <f t="shared" ca="1" si="4"/>
        <v>486</v>
      </c>
      <c r="K64" s="90">
        <f ca="1">IF(C64="", "", ROUND(IF(C64=6, SUM(OFFSET(H63, -4, 0):H63)*1%, IF(C64&gt;6,H63*1%, 0)),0))</f>
        <v>486</v>
      </c>
      <c r="L64" s="94"/>
      <c r="M64" s="90">
        <f t="shared" si="13"/>
        <v>0</v>
      </c>
      <c r="N64" s="67">
        <f ca="1">IF(C64="", "", MAX(I64-SUM(L$17:L63), 0))</f>
        <v>834700</v>
      </c>
      <c r="O64" s="37">
        <f t="shared" ca="1" si="5"/>
        <v>1656356.4525675159</v>
      </c>
      <c r="P64" s="35">
        <f ca="1">IF($C64="", "", IF(O64&lt;=0, 0, MAX(VLOOKUP($D64-1, $R$4:$S$7, 2)*$N64-O64, 0)*OFFSET(鑫意锁风险保险费!$B$5, $D64-1, IF($D$3="男", 1, 2))/1000))</f>
        <v>0</v>
      </c>
      <c r="Q64" s="36">
        <f t="shared" ca="1" si="6"/>
        <v>1689483.5816188662</v>
      </c>
      <c r="R64" s="35">
        <f t="shared" ca="1" si="14"/>
        <v>1689483.5816188662</v>
      </c>
      <c r="S64" s="31">
        <f t="shared" ca="1" si="7"/>
        <v>1689483.5816188662</v>
      </c>
      <c r="T64" s="37">
        <f t="shared" ca="1" si="8"/>
        <v>3558503.4656216893</v>
      </c>
      <c r="U64" s="35">
        <f ca="1">IF($C64="", "", IF(T64&lt;=0, 0, MAX(VLOOKUP($D64-1, $R$4:$S$7, 2)*$N64-T64, 0)*OFFSET(鑫意锁风险保险费!$B$5, $D64-1, IF($D$3="男", 1, 2))/1000))</f>
        <v>0</v>
      </c>
      <c r="V64" s="36">
        <f t="shared" ca="1" si="9"/>
        <v>3700843.6042465572</v>
      </c>
      <c r="W64" s="35">
        <f t="shared" ca="1" si="15"/>
        <v>3700843.6042465572</v>
      </c>
      <c r="X64" s="31">
        <f t="shared" ca="1" si="10"/>
        <v>3700843.6042465572</v>
      </c>
    </row>
    <row r="65" spans="2:24" x14ac:dyDescent="0.3">
      <c r="B65" s="55"/>
      <c r="C65" s="29">
        <f t="shared" si="11"/>
        <v>48</v>
      </c>
      <c r="D65" s="57">
        <f t="shared" si="12"/>
        <v>78</v>
      </c>
      <c r="E65" s="37">
        <f t="shared" si="3"/>
        <v>0</v>
      </c>
      <c r="F65" s="85"/>
      <c r="G65" s="85"/>
      <c r="H65" s="90">
        <f ca="1">IF(C65="", "", IF(AND(C65&gt;=6, D65&lt;=60), OFFSET(利益演示!$G$16, C65-1, 0), IF(D65&gt;60, OFFSET(利益演示!$H$16, C65-1, 0), 0)))</f>
        <v>48600</v>
      </c>
      <c r="I65" s="65">
        <f ca="1">IF(C65="", "", SUM($E$18:H65))</f>
        <v>1983300</v>
      </c>
      <c r="J65" s="59">
        <f t="shared" ca="1" si="4"/>
        <v>486</v>
      </c>
      <c r="K65" s="90">
        <f ca="1">IF(C65="", "", ROUND(IF(C65=6, SUM(OFFSET(H64, -4, 0):H64)*1%, IF(C65&gt;6,H64*1%, 0)),0))</f>
        <v>486</v>
      </c>
      <c r="L65" s="94"/>
      <c r="M65" s="90">
        <f t="shared" si="13"/>
        <v>0</v>
      </c>
      <c r="N65" s="67">
        <f ca="1">IF(C65="", "", MAX(I65-SUM(L$17:L64), 0))</f>
        <v>883300</v>
      </c>
      <c r="O65" s="37">
        <f t="shared" ca="1" si="5"/>
        <v>1738083.5816188662</v>
      </c>
      <c r="P65" s="35">
        <f ca="1">IF($C65="", "", IF(O65&lt;=0, 0, MAX(VLOOKUP($D65-1, $R$4:$S$7, 2)*$N65-O65, 0)*OFFSET(鑫意锁风险保险费!$B$5, $D65-1, IF($D$3="男", 1, 2))/1000))</f>
        <v>0</v>
      </c>
      <c r="Q65" s="36">
        <f t="shared" ca="1" si="6"/>
        <v>1772845.2532512436</v>
      </c>
      <c r="R65" s="35">
        <f t="shared" ca="1" si="14"/>
        <v>1772845.2532512436</v>
      </c>
      <c r="S65" s="31">
        <f t="shared" ca="1" si="7"/>
        <v>1772845.2532512436</v>
      </c>
      <c r="T65" s="37">
        <f t="shared" ca="1" si="8"/>
        <v>3749443.6042465572</v>
      </c>
      <c r="U65" s="35">
        <f ca="1">IF($C65="", "", IF(T65&lt;=0, 0, MAX(VLOOKUP($D65-1, $R$4:$S$7, 2)*$N65-T65, 0)*OFFSET(鑫意锁风险保险费!$B$5, $D65-1, IF($D$3="男", 1, 2))/1000))</f>
        <v>0</v>
      </c>
      <c r="V65" s="36">
        <f t="shared" ca="1" si="9"/>
        <v>3899421.3484164197</v>
      </c>
      <c r="W65" s="35">
        <f t="shared" ca="1" si="15"/>
        <v>3899421.3484164197</v>
      </c>
      <c r="X65" s="31">
        <f t="shared" ca="1" si="10"/>
        <v>3899421.3484164197</v>
      </c>
    </row>
    <row r="66" spans="2:24" x14ac:dyDescent="0.3">
      <c r="B66" s="55"/>
      <c r="C66" s="29">
        <f t="shared" si="11"/>
        <v>49</v>
      </c>
      <c r="D66" s="57">
        <f t="shared" si="12"/>
        <v>79</v>
      </c>
      <c r="E66" s="37">
        <f t="shared" si="3"/>
        <v>0</v>
      </c>
      <c r="F66" s="85"/>
      <c r="G66" s="85"/>
      <c r="H66" s="90">
        <f ca="1">IF(C66="", "", IF(AND(C66&gt;=6, D66&lt;=60), OFFSET(利益演示!$G$16, C66-1, 0), IF(D66&gt;60, OFFSET(利益演示!$H$16, C66-1, 0), 0)))</f>
        <v>48600</v>
      </c>
      <c r="I66" s="65">
        <f ca="1">IF(C66="", "", SUM($E$18:H66))</f>
        <v>2031900</v>
      </c>
      <c r="J66" s="59">
        <f t="shared" ca="1" si="4"/>
        <v>486</v>
      </c>
      <c r="K66" s="90">
        <f ca="1">IF(C66="", "", ROUND(IF(C66=6, SUM(OFFSET(H65, -4, 0):H65)*1%, IF(C66&gt;6,H65*1%, 0)),0))</f>
        <v>486</v>
      </c>
      <c r="L66" s="94"/>
      <c r="M66" s="90">
        <f t="shared" si="13"/>
        <v>0</v>
      </c>
      <c r="N66" s="67">
        <f ca="1">IF(C66="", "", MAX(I66-SUM(L$17:L65), 0))</f>
        <v>931900</v>
      </c>
      <c r="O66" s="37">
        <f t="shared" ca="1" si="5"/>
        <v>1821445.2532512436</v>
      </c>
      <c r="P66" s="35">
        <f ca="1">IF($C66="", "", IF(O66&lt;=0, 0, MAX(VLOOKUP($D66-1, $R$4:$S$7, 2)*$N66-O66, 0)*OFFSET(鑫意锁风险保险费!$B$5, $D66-1, IF($D$3="男", 1, 2))/1000))</f>
        <v>0</v>
      </c>
      <c r="Q66" s="36">
        <f t="shared" ca="1" si="6"/>
        <v>1857874.1583162686</v>
      </c>
      <c r="R66" s="35">
        <f t="shared" ca="1" si="14"/>
        <v>1857874.1583162686</v>
      </c>
      <c r="S66" s="31">
        <f t="shared" ca="1" si="7"/>
        <v>1857874.1583162686</v>
      </c>
      <c r="T66" s="37">
        <f t="shared" ca="1" si="8"/>
        <v>3948021.3484164197</v>
      </c>
      <c r="U66" s="35">
        <f ca="1">IF($C66="", "", IF(T66&lt;=0, 0, MAX(VLOOKUP($D66-1, $R$4:$S$7, 2)*$N66-T66, 0)*OFFSET(鑫意锁风险保险费!$B$5, $D66-1, IF($D$3="男", 1, 2))/1000))</f>
        <v>0</v>
      </c>
      <c r="V66" s="36">
        <f t="shared" ca="1" si="9"/>
        <v>4105942.2023530765</v>
      </c>
      <c r="W66" s="35">
        <f t="shared" ca="1" si="15"/>
        <v>4105942.2023530765</v>
      </c>
      <c r="X66" s="31">
        <f t="shared" ca="1" si="10"/>
        <v>4105942.2023530765</v>
      </c>
    </row>
    <row r="67" spans="2:24" x14ac:dyDescent="0.3">
      <c r="B67" s="55"/>
      <c r="C67" s="29">
        <f t="shared" si="11"/>
        <v>50</v>
      </c>
      <c r="D67" s="57">
        <f t="shared" si="12"/>
        <v>80</v>
      </c>
      <c r="E67" s="37">
        <f t="shared" si="3"/>
        <v>0</v>
      </c>
      <c r="F67" s="85"/>
      <c r="G67" s="85"/>
      <c r="H67" s="90">
        <f ca="1">IF(C67="", "", IF(AND(C67&gt;=6, D67&lt;=60), OFFSET(利益演示!$G$16, C67-1, 0), IF(D67&gt;60, OFFSET(利益演示!$H$16, C67-1, 0), 0)))</f>
        <v>48600</v>
      </c>
      <c r="I67" s="65">
        <f ca="1">IF(C67="", "", SUM($E$18:H67))</f>
        <v>2080500</v>
      </c>
      <c r="J67" s="59">
        <f t="shared" ca="1" si="4"/>
        <v>486</v>
      </c>
      <c r="K67" s="90">
        <f ca="1">IF(C67="", "", ROUND(IF(C67=6, SUM(OFFSET(H66, -4, 0):H66)*1%, IF(C67&gt;6,H66*1%, 0)),0))</f>
        <v>486</v>
      </c>
      <c r="L67" s="94"/>
      <c r="M67" s="90">
        <f t="shared" si="13"/>
        <v>0</v>
      </c>
      <c r="N67" s="67">
        <f ca="1">IF(C67="", "", MAX(I67-SUM(L$17:L66), 0))</f>
        <v>980500</v>
      </c>
      <c r="O67" s="37">
        <f t="shared" ca="1" si="5"/>
        <v>1906474.1583162686</v>
      </c>
      <c r="P67" s="35">
        <f ca="1">IF($C67="", "", IF(O67&lt;=0, 0, MAX(VLOOKUP($D67-1, $R$4:$S$7, 2)*$N67-O67, 0)*OFFSET(鑫意锁风险保险费!$B$5, $D67-1, IF($D$3="男", 1, 2))/1000))</f>
        <v>0</v>
      </c>
      <c r="Q67" s="36">
        <f t="shared" ca="1" si="6"/>
        <v>1944603.641482594</v>
      </c>
      <c r="R67" s="35">
        <f t="shared" ca="1" si="14"/>
        <v>1944603.641482594</v>
      </c>
      <c r="S67" s="31">
        <f t="shared" ca="1" si="7"/>
        <v>1944603.641482594</v>
      </c>
      <c r="T67" s="37">
        <f t="shared" ca="1" si="8"/>
        <v>4154542.2023530765</v>
      </c>
      <c r="U67" s="35">
        <f ca="1">IF($C67="", "", IF(T67&lt;=0, 0, MAX(VLOOKUP($D67-1, $R$4:$S$7, 2)*$N67-T67, 0)*OFFSET(鑫意锁风险保险费!$B$5, $D67-1, IF($D$3="男", 1, 2))/1000))</f>
        <v>0</v>
      </c>
      <c r="V67" s="36">
        <f t="shared" ca="1" si="9"/>
        <v>4320723.8904471993</v>
      </c>
      <c r="W67" s="35">
        <f t="shared" ca="1" si="15"/>
        <v>4320723.8904471993</v>
      </c>
      <c r="X67" s="31">
        <f t="shared" ca="1" si="10"/>
        <v>4320723.8904471993</v>
      </c>
    </row>
    <row r="68" spans="2:24" x14ac:dyDescent="0.3">
      <c r="B68" s="55"/>
      <c r="C68" s="29">
        <f t="shared" si="11"/>
        <v>51</v>
      </c>
      <c r="D68" s="57">
        <f t="shared" si="12"/>
        <v>81</v>
      </c>
      <c r="E68" s="37">
        <f t="shared" si="3"/>
        <v>0</v>
      </c>
      <c r="F68" s="85"/>
      <c r="G68" s="85"/>
      <c r="H68" s="90">
        <f ca="1">IF(C68="", "", IF(AND(C68&gt;=6, D68&lt;=60), OFFSET(利益演示!$G$16, C68-1, 0), IF(D68&gt;60, OFFSET(利益演示!$H$16, C68-1, 0), 0)))</f>
        <v>48600</v>
      </c>
      <c r="I68" s="65">
        <f ca="1">IF(C68="", "", SUM($E$18:H68))</f>
        <v>2129100</v>
      </c>
      <c r="J68" s="59">
        <f t="shared" ca="1" si="4"/>
        <v>486</v>
      </c>
      <c r="K68" s="90">
        <f ca="1">IF(C68="", "", ROUND(IF(C68=6, SUM(OFFSET(H67, -4, 0):H67)*1%, IF(C68&gt;6,H67*1%, 0)),0))</f>
        <v>486</v>
      </c>
      <c r="L68" s="94"/>
      <c r="M68" s="90">
        <f t="shared" si="13"/>
        <v>0</v>
      </c>
      <c r="N68" s="67">
        <f ca="1">IF(C68="", "", MAX(I68-SUM(L$17:L67), 0))</f>
        <v>1029100</v>
      </c>
      <c r="O68" s="37">
        <f t="shared" ca="1" si="5"/>
        <v>1993203.641482594</v>
      </c>
      <c r="P68" s="35">
        <f ca="1">IF($C68="", "", IF(O68&lt;=0, 0, MAX(VLOOKUP($D68-1, $R$4:$S$7, 2)*$N68-O68, 0)*OFFSET(鑫意锁风险保险费!$B$5, $D68-1, IF($D$3="男", 1, 2))/1000))</f>
        <v>0</v>
      </c>
      <c r="Q68" s="36">
        <f t="shared" ca="1" si="6"/>
        <v>2033067.7143122458</v>
      </c>
      <c r="R68" s="35">
        <f t="shared" ca="1" si="14"/>
        <v>2033067.7143122458</v>
      </c>
      <c r="S68" s="31">
        <f t="shared" ca="1" si="7"/>
        <v>2033067.7143122458</v>
      </c>
      <c r="T68" s="37">
        <f t="shared" ca="1" si="8"/>
        <v>4369323.8904471993</v>
      </c>
      <c r="U68" s="35">
        <f ca="1">IF($C68="", "", IF(T68&lt;=0, 0, MAX(VLOOKUP($D68-1, $R$4:$S$7, 2)*$N68-T68, 0)*OFFSET(鑫意锁风险保险费!$B$5, $D68-1, IF($D$3="男", 1, 2))/1000))</f>
        <v>0</v>
      </c>
      <c r="V68" s="36">
        <f t="shared" ca="1" si="9"/>
        <v>4544096.8460650872</v>
      </c>
      <c r="W68" s="35">
        <f t="shared" ca="1" si="15"/>
        <v>4544096.8460650872</v>
      </c>
      <c r="X68" s="31">
        <f t="shared" ca="1" si="10"/>
        <v>4544096.8460650872</v>
      </c>
    </row>
    <row r="69" spans="2:24" x14ac:dyDescent="0.3">
      <c r="B69" s="55"/>
      <c r="C69" s="29">
        <f t="shared" si="11"/>
        <v>52</v>
      </c>
      <c r="D69" s="57">
        <f t="shared" si="12"/>
        <v>82</v>
      </c>
      <c r="E69" s="37">
        <f t="shared" si="3"/>
        <v>0</v>
      </c>
      <c r="F69" s="85"/>
      <c r="G69" s="85"/>
      <c r="H69" s="90">
        <f ca="1">IF(C69="", "", IF(AND(C69&gt;=6, D69&lt;=60), OFFSET(利益演示!$G$16, C69-1, 0), IF(D69&gt;60, OFFSET(利益演示!$H$16, C69-1, 0), 0)))</f>
        <v>48600</v>
      </c>
      <c r="I69" s="65">
        <f ca="1">IF(C69="", "", SUM($E$18:H69))</f>
        <v>2177700</v>
      </c>
      <c r="J69" s="59">
        <f t="shared" ca="1" si="4"/>
        <v>486</v>
      </c>
      <c r="K69" s="90">
        <f ca="1">IF(C69="", "", ROUND(IF(C69=6, SUM(OFFSET(H68, -4, 0):H68)*1%, IF(C69&gt;6,H68*1%, 0)),0))</f>
        <v>486</v>
      </c>
      <c r="L69" s="94"/>
      <c r="M69" s="90">
        <f t="shared" si="13"/>
        <v>0</v>
      </c>
      <c r="N69" s="67">
        <f ca="1">IF(C69="", "", MAX(I69-SUM(L$17:L68), 0))</f>
        <v>1077700</v>
      </c>
      <c r="O69" s="37">
        <f t="shared" ca="1" si="5"/>
        <v>2081667.7143122458</v>
      </c>
      <c r="P69" s="35">
        <f ca="1">IF($C69="", "", IF(O69&lt;=0, 0, MAX(VLOOKUP($D69-1, $R$4:$S$7, 2)*$N69-O69, 0)*OFFSET(鑫意锁风险保险费!$B$5, $D69-1, IF($D$3="男", 1, 2))/1000))</f>
        <v>0</v>
      </c>
      <c r="Q69" s="36">
        <f t="shared" ca="1" si="6"/>
        <v>2123301.0685984907</v>
      </c>
      <c r="R69" s="35">
        <f t="shared" ca="1" si="14"/>
        <v>2123301.0685984907</v>
      </c>
      <c r="S69" s="31">
        <f t="shared" ca="1" si="7"/>
        <v>2123301.0685984907</v>
      </c>
      <c r="T69" s="37">
        <f t="shared" ca="1" si="8"/>
        <v>4592696.8460650872</v>
      </c>
      <c r="U69" s="35">
        <f ca="1">IF($C69="", "", IF(T69&lt;=0, 0, MAX(VLOOKUP($D69-1, $R$4:$S$7, 2)*$N69-T69, 0)*OFFSET(鑫意锁风险保险费!$B$5, $D69-1, IF($D$3="男", 1, 2))/1000))</f>
        <v>0</v>
      </c>
      <c r="V69" s="36">
        <f t="shared" ca="1" si="9"/>
        <v>4776404.7199076908</v>
      </c>
      <c r="W69" s="35">
        <f t="shared" ca="1" si="15"/>
        <v>4776404.7199076908</v>
      </c>
      <c r="X69" s="31">
        <f t="shared" ca="1" si="10"/>
        <v>4776404.7199076908</v>
      </c>
    </row>
    <row r="70" spans="2:24" x14ac:dyDescent="0.3">
      <c r="B70" s="55"/>
      <c r="C70" s="29">
        <f t="shared" si="11"/>
        <v>53</v>
      </c>
      <c r="D70" s="57">
        <f t="shared" si="12"/>
        <v>83</v>
      </c>
      <c r="E70" s="37">
        <f t="shared" si="3"/>
        <v>0</v>
      </c>
      <c r="F70" s="85"/>
      <c r="G70" s="85"/>
      <c r="H70" s="90">
        <f ca="1">IF(C70="", "", IF(AND(C70&gt;=6, D70&lt;=60), OFFSET(利益演示!$G$16, C70-1, 0), IF(D70&gt;60, OFFSET(利益演示!$H$16, C70-1, 0), 0)))</f>
        <v>48600</v>
      </c>
      <c r="I70" s="65">
        <f ca="1">IF(C70="", "", SUM($E$18:H70))</f>
        <v>2226300</v>
      </c>
      <c r="J70" s="59">
        <f t="shared" ca="1" si="4"/>
        <v>486</v>
      </c>
      <c r="K70" s="90">
        <f ca="1">IF(C70="", "", ROUND(IF(C70=6, SUM(OFFSET(H69, -4, 0):H69)*1%, IF(C70&gt;6,H69*1%, 0)),0))</f>
        <v>486</v>
      </c>
      <c r="L70" s="94"/>
      <c r="M70" s="90">
        <f t="shared" si="13"/>
        <v>0</v>
      </c>
      <c r="N70" s="67">
        <f ca="1">IF(C70="", "", MAX(I70-SUM(L$17:L69), 0))</f>
        <v>1126300</v>
      </c>
      <c r="O70" s="37">
        <f t="shared" ca="1" si="5"/>
        <v>2171901.0685984907</v>
      </c>
      <c r="P70" s="35">
        <f ca="1">IF($C70="", "", IF(O70&lt;=0, 0, MAX(VLOOKUP($D70-1, $R$4:$S$7, 2)*$N70-O70, 0)*OFFSET(鑫意锁风险保险费!$B$5, $D70-1, IF($D$3="男", 1, 2))/1000))</f>
        <v>0</v>
      </c>
      <c r="Q70" s="36">
        <f t="shared" ca="1" si="6"/>
        <v>2215339.0899704606</v>
      </c>
      <c r="R70" s="35">
        <f t="shared" ca="1" si="14"/>
        <v>2215339.0899704606</v>
      </c>
      <c r="S70" s="31">
        <f t="shared" ca="1" si="7"/>
        <v>2215339.0899704606</v>
      </c>
      <c r="T70" s="37">
        <f t="shared" ca="1" si="8"/>
        <v>4825004.7199076908</v>
      </c>
      <c r="U70" s="35">
        <f ca="1">IF($C70="", "", IF(T70&lt;=0, 0, MAX(VLOOKUP($D70-1, $R$4:$S$7, 2)*$N70-T70, 0)*OFFSET(鑫意锁风险保险费!$B$5, $D70-1, IF($D$3="男", 1, 2))/1000))</f>
        <v>0</v>
      </c>
      <c r="V70" s="36">
        <f t="shared" ca="1" si="9"/>
        <v>5018004.9087039987</v>
      </c>
      <c r="W70" s="35">
        <f t="shared" ca="1" si="15"/>
        <v>5018004.9087039987</v>
      </c>
      <c r="X70" s="31">
        <f t="shared" ca="1" si="10"/>
        <v>5018004.9087039987</v>
      </c>
    </row>
    <row r="71" spans="2:24" x14ac:dyDescent="0.3">
      <c r="B71" s="55"/>
      <c r="C71" s="29">
        <f t="shared" si="11"/>
        <v>54</v>
      </c>
      <c r="D71" s="57">
        <f t="shared" si="12"/>
        <v>84</v>
      </c>
      <c r="E71" s="37">
        <f t="shared" si="3"/>
        <v>0</v>
      </c>
      <c r="F71" s="85"/>
      <c r="G71" s="85"/>
      <c r="H71" s="90">
        <f ca="1">IF(C71="", "", IF(AND(C71&gt;=6, D71&lt;=60), OFFSET(利益演示!$G$16, C71-1, 0), IF(D71&gt;60, OFFSET(利益演示!$H$16, C71-1, 0), 0)))</f>
        <v>48600</v>
      </c>
      <c r="I71" s="65">
        <f ca="1">IF(C71="", "", SUM($E$18:H71))</f>
        <v>2274900</v>
      </c>
      <c r="J71" s="59">
        <f t="shared" ca="1" si="4"/>
        <v>486</v>
      </c>
      <c r="K71" s="90">
        <f ca="1">IF(C71="", "", ROUND(IF(C71=6, SUM(OFFSET(H70, -4, 0):H70)*1%, IF(C71&gt;6,H70*1%, 0)),0))</f>
        <v>486</v>
      </c>
      <c r="L71" s="94"/>
      <c r="M71" s="90">
        <f t="shared" si="13"/>
        <v>0</v>
      </c>
      <c r="N71" s="67">
        <f ca="1">IF(C71="", "", MAX(I71-SUM(L$17:L70), 0))</f>
        <v>1174900</v>
      </c>
      <c r="O71" s="37">
        <f t="shared" ca="1" si="5"/>
        <v>2263939.0899704606</v>
      </c>
      <c r="P71" s="35">
        <f ca="1">IF($C71="", "", IF(O71&lt;=0, 0, MAX(VLOOKUP($D71-1, $R$4:$S$7, 2)*$N71-O71, 0)*OFFSET(鑫意锁风险保险费!$B$5, $D71-1, IF($D$3="男", 1, 2))/1000))</f>
        <v>0</v>
      </c>
      <c r="Q71" s="36">
        <f t="shared" ca="1" si="6"/>
        <v>2309217.8717698697</v>
      </c>
      <c r="R71" s="35">
        <f t="shared" ca="1" si="14"/>
        <v>2309217.8717698697</v>
      </c>
      <c r="S71" s="31">
        <f t="shared" ca="1" si="7"/>
        <v>2309217.8717698697</v>
      </c>
      <c r="T71" s="37">
        <f t="shared" ca="1" si="8"/>
        <v>5066604.9087039987</v>
      </c>
      <c r="U71" s="35">
        <f ca="1">IF($C71="", "", IF(T71&lt;=0, 0, MAX(VLOOKUP($D71-1, $R$4:$S$7, 2)*$N71-T71, 0)*OFFSET(鑫意锁风险保险费!$B$5, $D71-1, IF($D$3="男", 1, 2))/1000))</f>
        <v>0</v>
      </c>
      <c r="V71" s="36">
        <f t="shared" ca="1" si="9"/>
        <v>5269269.1050521592</v>
      </c>
      <c r="W71" s="35">
        <f t="shared" ca="1" si="15"/>
        <v>5269269.1050521592</v>
      </c>
      <c r="X71" s="31">
        <f t="shared" ca="1" si="10"/>
        <v>5269269.1050521592</v>
      </c>
    </row>
    <row r="72" spans="2:24" x14ac:dyDescent="0.3">
      <c r="B72" s="55"/>
      <c r="C72" s="29">
        <f t="shared" si="11"/>
        <v>55</v>
      </c>
      <c r="D72" s="57">
        <f t="shared" si="12"/>
        <v>85</v>
      </c>
      <c r="E72" s="37">
        <f t="shared" si="3"/>
        <v>0</v>
      </c>
      <c r="F72" s="85"/>
      <c r="G72" s="85"/>
      <c r="H72" s="90">
        <f ca="1">IF(C72="", "", IF(AND(C72&gt;=6, D72&lt;=60), OFFSET(利益演示!$G$16, C72-1, 0), IF(D72&gt;60, OFFSET(利益演示!$H$16, C72-1, 0), 0)))</f>
        <v>48600</v>
      </c>
      <c r="I72" s="65">
        <f ca="1">IF(C72="", "", SUM($E$18:H72))</f>
        <v>2323500</v>
      </c>
      <c r="J72" s="59">
        <f t="shared" ca="1" si="4"/>
        <v>486</v>
      </c>
      <c r="K72" s="90">
        <f ca="1">IF(C72="", "", ROUND(IF(C72=6, SUM(OFFSET(H71, -4, 0):H71)*1%, IF(C72&gt;6,H71*1%, 0)),0))</f>
        <v>486</v>
      </c>
      <c r="L72" s="94"/>
      <c r="M72" s="90">
        <f t="shared" si="13"/>
        <v>0</v>
      </c>
      <c r="N72" s="67">
        <f ca="1">IF(C72="", "", MAX(I72-SUM(L$17:L71), 0))</f>
        <v>1223500</v>
      </c>
      <c r="O72" s="37">
        <f t="shared" ca="1" si="5"/>
        <v>2357817.8717698697</v>
      </c>
      <c r="P72" s="35">
        <f ca="1">IF($C72="", "", IF(O72&lt;=0, 0, MAX(VLOOKUP($D72-1, $R$4:$S$7, 2)*$N72-O72, 0)*OFFSET(鑫意锁风险保险费!$B$5, $D72-1, IF($D$3="男", 1, 2))/1000))</f>
        <v>0</v>
      </c>
      <c r="Q72" s="36">
        <f t="shared" ca="1" si="6"/>
        <v>2404974.229205267</v>
      </c>
      <c r="R72" s="35">
        <f t="shared" ca="1" si="14"/>
        <v>2404974.229205267</v>
      </c>
      <c r="S72" s="31">
        <f t="shared" ca="1" si="7"/>
        <v>2404974.229205267</v>
      </c>
      <c r="T72" s="37">
        <f t="shared" ca="1" si="8"/>
        <v>5317869.1050521592</v>
      </c>
      <c r="U72" s="35">
        <f ca="1">IF($C72="", "", IF(T72&lt;=0, 0, MAX(VLOOKUP($D72-1, $R$4:$S$7, 2)*$N72-T72, 0)*OFFSET(鑫意锁风险保险费!$B$5, $D72-1, IF($D$3="男", 1, 2))/1000))</f>
        <v>0</v>
      </c>
      <c r="V72" s="36">
        <f t="shared" ca="1" si="9"/>
        <v>5530583.8692542454</v>
      </c>
      <c r="W72" s="35">
        <f t="shared" ca="1" si="15"/>
        <v>5530583.8692542454</v>
      </c>
      <c r="X72" s="31">
        <f t="shared" ca="1" si="10"/>
        <v>5530583.8692542454</v>
      </c>
    </row>
    <row r="73" spans="2:24" x14ac:dyDescent="0.3">
      <c r="B73" s="55"/>
      <c r="C73" s="29">
        <f t="shared" si="11"/>
        <v>56</v>
      </c>
      <c r="D73" s="57">
        <f t="shared" si="12"/>
        <v>86</v>
      </c>
      <c r="E73" s="37">
        <f t="shared" si="3"/>
        <v>0</v>
      </c>
      <c r="F73" s="85"/>
      <c r="G73" s="85"/>
      <c r="H73" s="90">
        <f ca="1">IF(C73="", "", IF(AND(C73&gt;=6, D73&lt;=60), OFFSET(利益演示!$G$16, C73-1, 0), IF(D73&gt;60, OFFSET(利益演示!$H$16, C73-1, 0), 0)))</f>
        <v>48600</v>
      </c>
      <c r="I73" s="65">
        <f ca="1">IF(C73="", "", SUM($E$18:H73))</f>
        <v>2372100</v>
      </c>
      <c r="J73" s="59">
        <f t="shared" ca="1" si="4"/>
        <v>486</v>
      </c>
      <c r="K73" s="90">
        <f ca="1">IF(C73="", "", ROUND(IF(C73=6, SUM(OFFSET(H72, -4, 0):H72)*1%, IF(C73&gt;6,H72*1%, 0)),0))</f>
        <v>486</v>
      </c>
      <c r="L73" s="94"/>
      <c r="M73" s="90">
        <f t="shared" si="13"/>
        <v>0</v>
      </c>
      <c r="N73" s="67">
        <f ca="1">IF(C73="", "", MAX(I73-SUM(L$17:L72), 0))</f>
        <v>1272100</v>
      </c>
      <c r="O73" s="37">
        <f t="shared" ca="1" si="5"/>
        <v>2453574.229205267</v>
      </c>
      <c r="P73" s="35">
        <f ca="1">IF($C73="", "", IF(O73&lt;=0, 0, MAX(VLOOKUP($D73-1, $R$4:$S$7, 2)*$N73-O73, 0)*OFFSET(鑫意锁风险保险费!$B$5, $D73-1, IF($D$3="男", 1, 2))/1000))</f>
        <v>0</v>
      </c>
      <c r="Q73" s="36">
        <f t="shared" ca="1" si="6"/>
        <v>2502645.7137893722</v>
      </c>
      <c r="R73" s="35">
        <f t="shared" ca="1" si="14"/>
        <v>2502645.7137893722</v>
      </c>
      <c r="S73" s="31">
        <f t="shared" ca="1" si="7"/>
        <v>2502645.7137893722</v>
      </c>
      <c r="T73" s="37">
        <f t="shared" ca="1" si="8"/>
        <v>5579183.8692542454</v>
      </c>
      <c r="U73" s="35">
        <f ca="1">IF($C73="", "", IF(T73&lt;=0, 0, MAX(VLOOKUP($D73-1, $R$4:$S$7, 2)*$N73-T73, 0)*OFFSET(鑫意锁风险保险费!$B$5, $D73-1, IF($D$3="男", 1, 2))/1000))</f>
        <v>0</v>
      </c>
      <c r="V73" s="36">
        <f t="shared" ca="1" si="9"/>
        <v>5802351.224024415</v>
      </c>
      <c r="W73" s="35">
        <f t="shared" ca="1" si="15"/>
        <v>5802351.224024415</v>
      </c>
      <c r="X73" s="31">
        <f t="shared" ca="1" si="10"/>
        <v>5802351.224024415</v>
      </c>
    </row>
    <row r="74" spans="2:24" x14ac:dyDescent="0.3">
      <c r="B74" s="55"/>
      <c r="C74" s="29">
        <f t="shared" si="11"/>
        <v>57</v>
      </c>
      <c r="D74" s="57">
        <f t="shared" si="12"/>
        <v>87</v>
      </c>
      <c r="E74" s="37">
        <f t="shared" si="3"/>
        <v>0</v>
      </c>
      <c r="F74" s="85"/>
      <c r="G74" s="85"/>
      <c r="H74" s="90">
        <f ca="1">IF(C74="", "", IF(AND(C74&gt;=6, D74&lt;=60), OFFSET(利益演示!$G$16, C74-1, 0), IF(D74&gt;60, OFFSET(利益演示!$H$16, C74-1, 0), 0)))</f>
        <v>48600</v>
      </c>
      <c r="I74" s="65">
        <f ca="1">IF(C74="", "", SUM($E$18:H74))</f>
        <v>2420700</v>
      </c>
      <c r="J74" s="59">
        <f t="shared" ca="1" si="4"/>
        <v>486</v>
      </c>
      <c r="K74" s="90">
        <f ca="1">IF(C74="", "", ROUND(IF(C74=6, SUM(OFFSET(H73, -4, 0):H73)*1%, IF(C74&gt;6,H73*1%, 0)),0))</f>
        <v>486</v>
      </c>
      <c r="L74" s="94"/>
      <c r="M74" s="90">
        <f t="shared" si="13"/>
        <v>0</v>
      </c>
      <c r="N74" s="67">
        <f ca="1">IF(C74="", "", MAX(I74-SUM(L$17:L73), 0))</f>
        <v>1320700</v>
      </c>
      <c r="O74" s="37">
        <f t="shared" ca="1" si="5"/>
        <v>2551245.7137893722</v>
      </c>
      <c r="P74" s="35">
        <f ca="1">IF($C74="", "", IF(O74&lt;=0, 0, MAX(VLOOKUP($D74-1, $R$4:$S$7, 2)*$N74-O74, 0)*OFFSET(鑫意锁风险保险费!$B$5, $D74-1, IF($D$3="男", 1, 2))/1000))</f>
        <v>0</v>
      </c>
      <c r="Q74" s="36">
        <f t="shared" ca="1" si="6"/>
        <v>2602270.6280651595</v>
      </c>
      <c r="R74" s="35">
        <f t="shared" ca="1" si="14"/>
        <v>2602270.6280651595</v>
      </c>
      <c r="S74" s="31">
        <f t="shared" ca="1" si="7"/>
        <v>2602270.6280651595</v>
      </c>
      <c r="T74" s="37">
        <f t="shared" ca="1" si="8"/>
        <v>5850951.224024415</v>
      </c>
      <c r="U74" s="35">
        <f ca="1">IF($C74="", "", IF(T74&lt;=0, 0, MAX(VLOOKUP($D74-1, $R$4:$S$7, 2)*$N74-T74, 0)*OFFSET(鑫意锁风险保险费!$B$5, $D74-1, IF($D$3="男", 1, 2))/1000))</f>
        <v>0</v>
      </c>
      <c r="V74" s="36">
        <f t="shared" ca="1" si="9"/>
        <v>6084989.2729853923</v>
      </c>
      <c r="W74" s="35">
        <f t="shared" ca="1" si="15"/>
        <v>6084989.2729853923</v>
      </c>
      <c r="X74" s="31">
        <f t="shared" ca="1" si="10"/>
        <v>6084989.2729853923</v>
      </c>
    </row>
    <row r="75" spans="2:24" x14ac:dyDescent="0.3">
      <c r="B75" s="55"/>
      <c r="C75" s="29">
        <f t="shared" si="11"/>
        <v>58</v>
      </c>
      <c r="D75" s="57">
        <f t="shared" si="12"/>
        <v>88</v>
      </c>
      <c r="E75" s="37">
        <f t="shared" si="3"/>
        <v>0</v>
      </c>
      <c r="F75" s="85"/>
      <c r="G75" s="85"/>
      <c r="H75" s="90">
        <f ca="1">IF(C75="", "", IF(AND(C75&gt;=6, D75&lt;=60), OFFSET(利益演示!$G$16, C75-1, 0), IF(D75&gt;60, OFFSET(利益演示!$H$16, C75-1, 0), 0)))</f>
        <v>48600</v>
      </c>
      <c r="I75" s="65">
        <f ca="1">IF(C75="", "", SUM($E$18:H75))</f>
        <v>2469300</v>
      </c>
      <c r="J75" s="59">
        <f t="shared" ca="1" si="4"/>
        <v>486</v>
      </c>
      <c r="K75" s="90">
        <f ca="1">IF(C75="", "", ROUND(IF(C75=6, SUM(OFFSET(H74, -4, 0):H74)*1%, IF(C75&gt;6,H74*1%, 0)),0))</f>
        <v>486</v>
      </c>
      <c r="L75" s="94"/>
      <c r="M75" s="90">
        <f t="shared" si="13"/>
        <v>0</v>
      </c>
      <c r="N75" s="67">
        <f ca="1">IF(C75="", "", MAX(I75-SUM(L$17:L74), 0))</f>
        <v>1369300</v>
      </c>
      <c r="O75" s="37">
        <f t="shared" ca="1" si="5"/>
        <v>2650870.6280651595</v>
      </c>
      <c r="P75" s="35">
        <f ca="1">IF($C75="", "", IF(O75&lt;=0, 0, MAX(VLOOKUP($D75-1, $R$4:$S$7, 2)*$N75-O75, 0)*OFFSET(鑫意锁风险保险费!$B$5, $D75-1, IF($D$3="男", 1, 2))/1000))</f>
        <v>0</v>
      </c>
      <c r="Q75" s="36">
        <f t="shared" ca="1" si="6"/>
        <v>2703888.040626463</v>
      </c>
      <c r="R75" s="35">
        <f t="shared" ca="1" si="14"/>
        <v>2703888.040626463</v>
      </c>
      <c r="S75" s="31">
        <f t="shared" ca="1" si="7"/>
        <v>2703888.040626463</v>
      </c>
      <c r="T75" s="37">
        <f t="shared" ca="1" si="8"/>
        <v>6133589.2729853923</v>
      </c>
      <c r="U75" s="35">
        <f ca="1">IF($C75="", "", IF(T75&lt;=0, 0, MAX(VLOOKUP($D75-1, $R$4:$S$7, 2)*$N75-T75, 0)*OFFSET(鑫意锁风险保险费!$B$5, $D75-1, IF($D$3="男", 1, 2))/1000))</f>
        <v>0</v>
      </c>
      <c r="V75" s="36">
        <f t="shared" ca="1" si="9"/>
        <v>6378932.8439048082</v>
      </c>
      <c r="W75" s="35">
        <f t="shared" ca="1" si="15"/>
        <v>6378932.8439048082</v>
      </c>
      <c r="X75" s="31">
        <f t="shared" ca="1" si="10"/>
        <v>6378932.8439048082</v>
      </c>
    </row>
    <row r="76" spans="2:24" x14ac:dyDescent="0.3">
      <c r="B76" s="55"/>
      <c r="C76" s="29">
        <f t="shared" si="11"/>
        <v>59</v>
      </c>
      <c r="D76" s="57">
        <f t="shared" si="12"/>
        <v>89</v>
      </c>
      <c r="E76" s="37">
        <f t="shared" si="3"/>
        <v>0</v>
      </c>
      <c r="F76" s="85"/>
      <c r="G76" s="85"/>
      <c r="H76" s="90">
        <f ca="1">IF(C76="", "", IF(AND(C76&gt;=6, D76&lt;=60), OFFSET(利益演示!$G$16, C76-1, 0), IF(D76&gt;60, OFFSET(利益演示!$H$16, C76-1, 0), 0)))</f>
        <v>48600</v>
      </c>
      <c r="I76" s="65">
        <f ca="1">IF(C76="", "", SUM($E$18:H76))</f>
        <v>2517900</v>
      </c>
      <c r="J76" s="59">
        <f t="shared" ca="1" si="4"/>
        <v>486</v>
      </c>
      <c r="K76" s="90">
        <f ca="1">IF(C76="", "", ROUND(IF(C76=6, SUM(OFFSET(H75, -4, 0):H75)*1%, IF(C76&gt;6,H75*1%, 0)),0))</f>
        <v>486</v>
      </c>
      <c r="L76" s="94"/>
      <c r="M76" s="90">
        <f t="shared" si="13"/>
        <v>0</v>
      </c>
      <c r="N76" s="67">
        <f ca="1">IF(C76="", "", MAX(I76-SUM(L$17:L75), 0))</f>
        <v>1417900</v>
      </c>
      <c r="O76" s="37">
        <f t="shared" ca="1" si="5"/>
        <v>2752488.040626463</v>
      </c>
      <c r="P76" s="35">
        <f ca="1">IF($C76="", "", IF(O76&lt;=0, 0, MAX(VLOOKUP($D76-1, $R$4:$S$7, 2)*$N76-O76, 0)*OFFSET(鑫意锁风险保险费!$B$5, $D76-1, IF($D$3="男", 1, 2))/1000))</f>
        <v>0</v>
      </c>
      <c r="Q76" s="36">
        <f t="shared" ca="1" si="6"/>
        <v>2807537.8014389924</v>
      </c>
      <c r="R76" s="35">
        <f t="shared" ca="1" si="14"/>
        <v>2807537.8014389924</v>
      </c>
      <c r="S76" s="31">
        <f t="shared" ca="1" si="7"/>
        <v>2807537.8014389924</v>
      </c>
      <c r="T76" s="37">
        <f t="shared" ca="1" si="8"/>
        <v>6427532.8439048082</v>
      </c>
      <c r="U76" s="35">
        <f ca="1">IF($C76="", "", IF(T76&lt;=0, 0, MAX(VLOOKUP($D76-1, $R$4:$S$7, 2)*$N76-T76, 0)*OFFSET(鑫意锁风险保险费!$B$5, $D76-1, IF($D$3="男", 1, 2))/1000))</f>
        <v>0</v>
      </c>
      <c r="V76" s="36">
        <f t="shared" ca="1" si="9"/>
        <v>6684634.1576610003</v>
      </c>
      <c r="W76" s="35">
        <f t="shared" ca="1" si="15"/>
        <v>6684634.1576610003</v>
      </c>
      <c r="X76" s="31">
        <f t="shared" ca="1" si="10"/>
        <v>6684634.1576610003</v>
      </c>
    </row>
    <row r="77" spans="2:24" x14ac:dyDescent="0.3">
      <c r="B77" s="55"/>
      <c r="C77" s="29">
        <f t="shared" si="11"/>
        <v>60</v>
      </c>
      <c r="D77" s="57">
        <f t="shared" si="12"/>
        <v>90</v>
      </c>
      <c r="E77" s="37">
        <f t="shared" si="3"/>
        <v>0</v>
      </c>
      <c r="F77" s="85"/>
      <c r="G77" s="85"/>
      <c r="H77" s="90">
        <f ca="1">IF(C77="", "", IF(AND(C77&gt;=6, D77&lt;=60), OFFSET(利益演示!$G$16, C77-1, 0), IF(D77&gt;60, OFFSET(利益演示!$H$16, C77-1, 0), 0)))</f>
        <v>48600</v>
      </c>
      <c r="I77" s="65">
        <f ca="1">IF(C77="", "", SUM($E$18:H77))</f>
        <v>2566500</v>
      </c>
      <c r="J77" s="59">
        <f t="shared" ca="1" si="4"/>
        <v>486</v>
      </c>
      <c r="K77" s="90">
        <f ca="1">IF(C77="", "", ROUND(IF(C77=6, SUM(OFFSET(H76, -4, 0):H76)*1%, IF(C77&gt;6,H76*1%, 0)),0))</f>
        <v>486</v>
      </c>
      <c r="L77" s="94"/>
      <c r="M77" s="90">
        <f t="shared" si="13"/>
        <v>0</v>
      </c>
      <c r="N77" s="67">
        <f ca="1">IF(C77="", "", MAX(I77-SUM(L$17:L76), 0))</f>
        <v>1466500</v>
      </c>
      <c r="O77" s="37">
        <f t="shared" ca="1" si="5"/>
        <v>2856137.8014389924</v>
      </c>
      <c r="P77" s="35">
        <f ca="1">IF($C77="", "", IF(O77&lt;=0, 0, MAX(VLOOKUP($D77-1, $R$4:$S$7, 2)*$N77-O77, 0)*OFFSET(鑫意锁风险保险费!$B$5, $D77-1, IF($D$3="男", 1, 2))/1000))</f>
        <v>0</v>
      </c>
      <c r="Q77" s="36">
        <f t="shared" ca="1" si="6"/>
        <v>2913260.5574677722</v>
      </c>
      <c r="R77" s="35">
        <f t="shared" ca="1" si="14"/>
        <v>2913260.5574677722</v>
      </c>
      <c r="S77" s="31">
        <f t="shared" ca="1" si="7"/>
        <v>2913260.5574677722</v>
      </c>
      <c r="T77" s="37">
        <f t="shared" ca="1" si="8"/>
        <v>6733234.1576610003</v>
      </c>
      <c r="U77" s="35">
        <f ca="1">IF($C77="", "", IF(T77&lt;=0, 0, MAX(VLOOKUP($D77-1, $R$4:$S$7, 2)*$N77-T77, 0)*OFFSET(鑫意锁风险保险费!$B$5, $D77-1, IF($D$3="男", 1, 2))/1000))</f>
        <v>0</v>
      </c>
      <c r="V77" s="36">
        <f t="shared" ca="1" si="9"/>
        <v>7002563.5239674402</v>
      </c>
      <c r="W77" s="35">
        <f t="shared" ca="1" si="15"/>
        <v>7002563.5239674402</v>
      </c>
      <c r="X77" s="31">
        <f t="shared" ca="1" si="10"/>
        <v>7002563.5239674402</v>
      </c>
    </row>
    <row r="78" spans="2:24" x14ac:dyDescent="0.3">
      <c r="B78" s="55"/>
      <c r="C78" s="29">
        <f t="shared" si="11"/>
        <v>61</v>
      </c>
      <c r="D78" s="57">
        <f t="shared" si="12"/>
        <v>91</v>
      </c>
      <c r="E78" s="37">
        <f t="shared" si="3"/>
        <v>0</v>
      </c>
      <c r="F78" s="85"/>
      <c r="G78" s="85"/>
      <c r="H78" s="90">
        <f ca="1">IF(C78="", "", IF(AND(C78&gt;=6, D78&lt;=60), OFFSET(利益演示!$G$16, C78-1, 0), IF(D78&gt;60, OFFSET(利益演示!$H$16, C78-1, 0), 0)))</f>
        <v>48600</v>
      </c>
      <c r="I78" s="65">
        <f ca="1">IF(C78="", "", SUM($E$18:H78))</f>
        <v>2615100</v>
      </c>
      <c r="J78" s="59">
        <f t="shared" ca="1" si="4"/>
        <v>486</v>
      </c>
      <c r="K78" s="90">
        <f ca="1">IF(C78="", "", ROUND(IF(C78=6, SUM(OFFSET(H77, -4, 0):H77)*1%, IF(C78&gt;6,H77*1%, 0)),0))</f>
        <v>486</v>
      </c>
      <c r="L78" s="94"/>
      <c r="M78" s="90">
        <f t="shared" si="13"/>
        <v>0</v>
      </c>
      <c r="N78" s="67">
        <f ca="1">IF(C78="", "", MAX(I78-SUM(L$17:L77), 0))</f>
        <v>1515100</v>
      </c>
      <c r="O78" s="37">
        <f t="shared" ca="1" si="5"/>
        <v>2961860.5574677722</v>
      </c>
      <c r="P78" s="35">
        <f ca="1">IF($C78="", "", IF(O78&lt;=0, 0, MAX(VLOOKUP($D78-1, $R$4:$S$7, 2)*$N78-O78, 0)*OFFSET(鑫意锁风险保险费!$B$5, $D78-1, IF($D$3="男", 1, 2))/1000))</f>
        <v>0</v>
      </c>
      <c r="Q78" s="36">
        <f t="shared" ca="1" si="6"/>
        <v>3021097.7686171276</v>
      </c>
      <c r="R78" s="35">
        <f t="shared" ca="1" si="14"/>
        <v>3021097.7686171276</v>
      </c>
      <c r="S78" s="31">
        <f t="shared" ca="1" si="7"/>
        <v>3021097.7686171276</v>
      </c>
      <c r="T78" s="37">
        <f t="shared" ca="1" si="8"/>
        <v>7051163.5239674402</v>
      </c>
      <c r="U78" s="35">
        <f ca="1">IF($C78="", "", IF(T78&lt;=0, 0, MAX(VLOOKUP($D78-1, $R$4:$S$7, 2)*$N78-T78, 0)*OFFSET(鑫意锁风险保险费!$B$5, $D78-1, IF($D$3="男", 1, 2))/1000))</f>
        <v>0</v>
      </c>
      <c r="V78" s="36">
        <f t="shared" ca="1" si="9"/>
        <v>7333210.0649261381</v>
      </c>
      <c r="W78" s="35">
        <f t="shared" ca="1" si="15"/>
        <v>7333210.0649261381</v>
      </c>
      <c r="X78" s="31">
        <f t="shared" ca="1" si="10"/>
        <v>7333210.0649261381</v>
      </c>
    </row>
    <row r="79" spans="2:24" x14ac:dyDescent="0.3">
      <c r="B79" s="55"/>
      <c r="C79" s="29">
        <f t="shared" si="11"/>
        <v>62</v>
      </c>
      <c r="D79" s="57">
        <f t="shared" si="12"/>
        <v>92</v>
      </c>
      <c r="E79" s="37">
        <f t="shared" si="3"/>
        <v>0</v>
      </c>
      <c r="F79" s="85"/>
      <c r="G79" s="85"/>
      <c r="H79" s="90">
        <f ca="1">IF(C79="", "", IF(AND(C79&gt;=6, D79&lt;=60), OFFSET(利益演示!$G$16, C79-1, 0), IF(D79&gt;60, OFFSET(利益演示!$H$16, C79-1, 0), 0)))</f>
        <v>48600</v>
      </c>
      <c r="I79" s="65">
        <f ca="1">IF(C79="", "", SUM($E$18:H79))</f>
        <v>2663700</v>
      </c>
      <c r="J79" s="59">
        <f t="shared" ca="1" si="4"/>
        <v>486</v>
      </c>
      <c r="K79" s="90">
        <f ca="1">IF(C79="", "", ROUND(IF(C79=6, SUM(OFFSET(H78, -4, 0):H78)*1%, IF(C79&gt;6,H78*1%, 0)),0))</f>
        <v>486</v>
      </c>
      <c r="L79" s="94"/>
      <c r="M79" s="90">
        <f t="shared" si="13"/>
        <v>0</v>
      </c>
      <c r="N79" s="67">
        <f ca="1">IF(C79="", "", MAX(I79-SUM(L$17:L78), 0))</f>
        <v>1563700</v>
      </c>
      <c r="O79" s="37">
        <f t="shared" ca="1" si="5"/>
        <v>3069697.7686171276</v>
      </c>
      <c r="P79" s="35">
        <f ca="1">IF($C79="", "", IF(O79&lt;=0, 0, MAX(VLOOKUP($D79-1, $R$4:$S$7, 2)*$N79-O79, 0)*OFFSET(鑫意锁风险保险费!$B$5, $D79-1, IF($D$3="男", 1, 2))/1000))</f>
        <v>0</v>
      </c>
      <c r="Q79" s="36">
        <f t="shared" ca="1" si="6"/>
        <v>3131091.7239894699</v>
      </c>
      <c r="R79" s="35">
        <f t="shared" ca="1" si="14"/>
        <v>3131091.7239894699</v>
      </c>
      <c r="S79" s="31">
        <f t="shared" ca="1" si="7"/>
        <v>3131091.7239894699</v>
      </c>
      <c r="T79" s="37">
        <f t="shared" ca="1" si="8"/>
        <v>7381810.0649261381</v>
      </c>
      <c r="U79" s="35">
        <f ca="1">IF($C79="", "", IF(T79&lt;=0, 0, MAX(VLOOKUP($D79-1, $R$4:$S$7, 2)*$N79-T79, 0)*OFFSET(鑫意锁风险保险费!$B$5, $D79-1, IF($D$3="男", 1, 2))/1000))</f>
        <v>0</v>
      </c>
      <c r="V79" s="36">
        <f t="shared" ca="1" si="9"/>
        <v>7677082.4675231837</v>
      </c>
      <c r="W79" s="35">
        <f t="shared" ca="1" si="15"/>
        <v>7677082.4675231837</v>
      </c>
      <c r="X79" s="31">
        <f t="shared" ca="1" si="10"/>
        <v>7677082.4675231837</v>
      </c>
    </row>
    <row r="80" spans="2:24" x14ac:dyDescent="0.3">
      <c r="B80" s="55"/>
      <c r="C80" s="29">
        <f t="shared" si="11"/>
        <v>63</v>
      </c>
      <c r="D80" s="57">
        <f t="shared" si="12"/>
        <v>93</v>
      </c>
      <c r="E80" s="37">
        <f t="shared" si="3"/>
        <v>0</v>
      </c>
      <c r="F80" s="85"/>
      <c r="G80" s="85"/>
      <c r="H80" s="90">
        <f ca="1">IF(C80="", "", IF(AND(C80&gt;=6, D80&lt;=60), OFFSET(利益演示!$G$16, C80-1, 0), IF(D80&gt;60, OFFSET(利益演示!$H$16, C80-1, 0), 0)))</f>
        <v>48600</v>
      </c>
      <c r="I80" s="65">
        <f ca="1">IF(C80="", "", SUM($E$18:H80))</f>
        <v>2712300</v>
      </c>
      <c r="J80" s="59">
        <f t="shared" ca="1" si="4"/>
        <v>486</v>
      </c>
      <c r="K80" s="90">
        <f ca="1">IF(C80="", "", ROUND(IF(C80=6, SUM(OFFSET(H79, -4, 0):H79)*1%, IF(C80&gt;6,H79*1%, 0)),0))</f>
        <v>486</v>
      </c>
      <c r="L80" s="94"/>
      <c r="M80" s="90">
        <f t="shared" si="13"/>
        <v>0</v>
      </c>
      <c r="N80" s="67">
        <f ca="1">IF(C80="", "", MAX(I80-SUM(L$17:L79), 0))</f>
        <v>1612300</v>
      </c>
      <c r="O80" s="37">
        <f t="shared" ca="1" si="5"/>
        <v>3179691.7239894699</v>
      </c>
      <c r="P80" s="35">
        <f ca="1">IF($C80="", "", IF(O80&lt;=0, 0, MAX(VLOOKUP($D80-1, $R$4:$S$7, 2)*$N80-O80, 0)*OFFSET(鑫意锁风险保险费!$B$5, $D80-1, IF($D$3="男", 1, 2))/1000))</f>
        <v>0</v>
      </c>
      <c r="Q80" s="36">
        <f t="shared" ca="1" si="6"/>
        <v>3243285.5584692592</v>
      </c>
      <c r="R80" s="35">
        <f t="shared" ca="1" si="14"/>
        <v>3243285.5584692592</v>
      </c>
      <c r="S80" s="31">
        <f t="shared" ca="1" si="7"/>
        <v>3243285.5584692592</v>
      </c>
      <c r="T80" s="37">
        <f t="shared" ca="1" si="8"/>
        <v>7725682.4675231837</v>
      </c>
      <c r="U80" s="35">
        <f ca="1">IF($C80="", "", IF(T80&lt;=0, 0, MAX(VLOOKUP($D80-1, $R$4:$S$7, 2)*$N80-T80, 0)*OFFSET(鑫意锁风险保险费!$B$5, $D80-1, IF($D$3="男", 1, 2))/1000))</f>
        <v>0</v>
      </c>
      <c r="V80" s="36">
        <f t="shared" ca="1" si="9"/>
        <v>8034709.7662241114</v>
      </c>
      <c r="W80" s="35">
        <f t="shared" ca="1" si="15"/>
        <v>8034709.7662241114</v>
      </c>
      <c r="X80" s="31">
        <f t="shared" ca="1" si="10"/>
        <v>8034709.7662241114</v>
      </c>
    </row>
    <row r="81" spans="2:24" x14ac:dyDescent="0.3">
      <c r="B81" s="55"/>
      <c r="C81" s="29">
        <f t="shared" si="11"/>
        <v>64</v>
      </c>
      <c r="D81" s="57">
        <f t="shared" si="12"/>
        <v>94</v>
      </c>
      <c r="E81" s="37">
        <f t="shared" si="3"/>
        <v>0</v>
      </c>
      <c r="F81" s="85"/>
      <c r="G81" s="85"/>
      <c r="H81" s="90">
        <f ca="1">IF(C81="", "", IF(AND(C81&gt;=6, D81&lt;=60), OFFSET(利益演示!$G$16, C81-1, 0), IF(D81&gt;60, OFFSET(利益演示!$H$16, C81-1, 0), 0)))</f>
        <v>48600</v>
      </c>
      <c r="I81" s="65">
        <f ca="1">IF(C81="", "", SUM($E$18:H81))</f>
        <v>2760900</v>
      </c>
      <c r="J81" s="59">
        <f t="shared" ca="1" si="4"/>
        <v>486</v>
      </c>
      <c r="K81" s="90">
        <f ca="1">IF(C81="", "", ROUND(IF(C81=6, SUM(OFFSET(H80, -4, 0):H80)*1%, IF(C81&gt;6,H80*1%, 0)),0))</f>
        <v>486</v>
      </c>
      <c r="L81" s="94"/>
      <c r="M81" s="90">
        <f t="shared" si="13"/>
        <v>0</v>
      </c>
      <c r="N81" s="67">
        <f ca="1">IF(C81="", "", MAX(I81-SUM(L$17:L80), 0))</f>
        <v>1660900</v>
      </c>
      <c r="O81" s="37">
        <f t="shared" ca="1" si="5"/>
        <v>3291885.5584692592</v>
      </c>
      <c r="P81" s="35">
        <f ca="1">IF($C81="", "", IF(O81&lt;=0, 0, MAX(VLOOKUP($D81-1, $R$4:$S$7, 2)*$N81-O81, 0)*OFFSET(鑫意锁风险保险费!$B$5, $D81-1, IF($D$3="男", 1, 2))/1000))</f>
        <v>0</v>
      </c>
      <c r="Q81" s="36">
        <f t="shared" ca="1" si="6"/>
        <v>3357723.2696386445</v>
      </c>
      <c r="R81" s="35">
        <f t="shared" ca="1" si="14"/>
        <v>3357723.2696386445</v>
      </c>
      <c r="S81" s="31">
        <f t="shared" ca="1" si="7"/>
        <v>3357723.2696386445</v>
      </c>
      <c r="T81" s="37">
        <f t="shared" ca="1" si="8"/>
        <v>8083309.7662241114</v>
      </c>
      <c r="U81" s="35">
        <f ca="1">IF($C81="", "", IF(T81&lt;=0, 0, MAX(VLOOKUP($D81-1, $R$4:$S$7, 2)*$N81-T81, 0)*OFFSET(鑫意锁风险保险费!$B$5, $D81-1, IF($D$3="男", 1, 2))/1000))</f>
        <v>0</v>
      </c>
      <c r="V81" s="36">
        <f t="shared" ca="1" si="9"/>
        <v>8406642.1568730753</v>
      </c>
      <c r="W81" s="35">
        <f t="shared" ca="1" si="15"/>
        <v>8406642.1568730753</v>
      </c>
      <c r="X81" s="31">
        <f t="shared" ca="1" si="10"/>
        <v>8406642.1568730753</v>
      </c>
    </row>
    <row r="82" spans="2:24" x14ac:dyDescent="0.3">
      <c r="B82" s="55"/>
      <c r="C82" s="29">
        <f t="shared" si="11"/>
        <v>65</v>
      </c>
      <c r="D82" s="57">
        <f t="shared" si="12"/>
        <v>95</v>
      </c>
      <c r="E82" s="37">
        <f t="shared" si="3"/>
        <v>0</v>
      </c>
      <c r="F82" s="85"/>
      <c r="G82" s="85"/>
      <c r="H82" s="90">
        <f ca="1">IF(C82="", "", IF(AND(C82&gt;=6, D82&lt;=60), OFFSET(利益演示!$G$16, C82-1, 0), IF(D82&gt;60, OFFSET(利益演示!$H$16, C82-1, 0), 0)))</f>
        <v>48600</v>
      </c>
      <c r="I82" s="65">
        <f ca="1">IF(C82="", "", SUM($E$18:H82))</f>
        <v>2809500</v>
      </c>
      <c r="J82" s="59">
        <f t="shared" ca="1" si="4"/>
        <v>486</v>
      </c>
      <c r="K82" s="90">
        <f ca="1">IF(C82="", "", ROUND(IF(C82=6, SUM(OFFSET(H81, -4, 0):H81)*1%, IF(C82&gt;6,H81*1%, 0)),0))</f>
        <v>486</v>
      </c>
      <c r="L82" s="94"/>
      <c r="M82" s="90">
        <f t="shared" ref="M82:M113" si="16">IF(C82="", "", L82*VLOOKUP(C82, $U$4:$V$9, 2))</f>
        <v>0</v>
      </c>
      <c r="N82" s="67">
        <f ca="1">IF(C82="", "", MAX(I82-SUM(L$17:L81), 0))</f>
        <v>1709500</v>
      </c>
      <c r="O82" s="37">
        <f t="shared" ca="1" si="5"/>
        <v>3406323.2696386445</v>
      </c>
      <c r="P82" s="35">
        <f ca="1">IF($C82="", "", IF(O82&lt;=0, 0, MAX(VLOOKUP($D82-1, $R$4:$S$7, 2)*$N82-O82, 0)*OFFSET(鑫意锁风险保险费!$B$5, $D82-1, IF($D$3="男", 1, 2))/1000))</f>
        <v>0</v>
      </c>
      <c r="Q82" s="36">
        <f t="shared" ca="1" si="6"/>
        <v>3474449.7350314176</v>
      </c>
      <c r="R82" s="35">
        <f t="shared" ref="R82:R113" ca="1" si="17">IF($C82="", "", Q82*(1-VLOOKUP($C82, $U$4:$V$9, 2)))</f>
        <v>3474449.7350314176</v>
      </c>
      <c r="S82" s="31">
        <f t="shared" ca="1" si="7"/>
        <v>3474449.7350314176</v>
      </c>
      <c r="T82" s="37">
        <f t="shared" ca="1" si="8"/>
        <v>8455242.1568730753</v>
      </c>
      <c r="U82" s="35">
        <f ca="1">IF($C82="", "", IF(T82&lt;=0, 0, MAX(VLOOKUP($D82-1, $R$4:$S$7, 2)*$N82-T82, 0)*OFFSET(鑫意锁风险保险费!$B$5, $D82-1, IF($D$3="男", 1, 2))/1000))</f>
        <v>0</v>
      </c>
      <c r="V82" s="36">
        <f t="shared" ca="1" si="9"/>
        <v>8793451.8431479987</v>
      </c>
      <c r="W82" s="35">
        <f t="shared" ref="W82:W113" ca="1" si="18">IF($C82="", "", V82*(1-VLOOKUP($C82, $U$4:$V$9, 2)))</f>
        <v>8793451.8431479987</v>
      </c>
      <c r="X82" s="31">
        <f t="shared" ca="1" si="10"/>
        <v>8793451.8431479987</v>
      </c>
    </row>
    <row r="83" spans="2:24" x14ac:dyDescent="0.3">
      <c r="B83" s="55"/>
      <c r="C83" s="29">
        <f t="shared" si="11"/>
        <v>66</v>
      </c>
      <c r="D83" s="57">
        <f t="shared" si="12"/>
        <v>96</v>
      </c>
      <c r="E83" s="37">
        <f t="shared" ref="E83:E122" si="19">IF(C83="", "", IF(C83=1, $F$6, 0))</f>
        <v>0</v>
      </c>
      <c r="F83" s="85"/>
      <c r="G83" s="85"/>
      <c r="H83" s="90">
        <f ca="1">IF(C83="", "", IF(AND(C83&gt;=6, D83&lt;=60), OFFSET(利益演示!$G$16, C83-1, 0), IF(D83&gt;60, OFFSET(利益演示!$H$16, C83-1, 0), 0)))</f>
        <v>48600</v>
      </c>
      <c r="I83" s="65">
        <f ca="1">IF(C83="", "", SUM($E$18:H83))</f>
        <v>2858100</v>
      </c>
      <c r="J83" s="59">
        <f t="shared" ref="J83:J122" ca="1" si="20">IF(C83="","",E83*1%+F83*1%+G83*3%+H83*1%)</f>
        <v>486</v>
      </c>
      <c r="K83" s="90">
        <f ca="1">IF(C83="", "", ROUND(IF(C83=6, SUM(OFFSET(H82, -4, 0):H82)*1%, IF(C83&gt;6,H82*1%, 0)),0))</f>
        <v>486</v>
      </c>
      <c r="L83" s="94"/>
      <c r="M83" s="90">
        <f t="shared" si="16"/>
        <v>0</v>
      </c>
      <c r="N83" s="67">
        <f ca="1">IF(C83="", "", MAX(I83-SUM(L$17:L82), 0))</f>
        <v>1758100</v>
      </c>
      <c r="O83" s="37">
        <f t="shared" ref="O83:O122" ca="1" si="21">IF($C83="", "", IF(AND($C83&gt;1, Q82&lt;=0), 0, Q82+SUM($E83:$H83)-$J83+K83))</f>
        <v>3523049.7350314176</v>
      </c>
      <c r="P83" s="35">
        <f ca="1">IF($C83="", "", IF(O83&lt;=0, 0, MAX(VLOOKUP($D83-1, $R$4:$S$7, 2)*$N83-O83, 0)*OFFSET(鑫意锁风险保险费!$B$5, $D83-1, IF($D$3="男", 1, 2))/1000))</f>
        <v>0</v>
      </c>
      <c r="Q83" s="36">
        <f t="shared" ref="Q83:Q122" ca="1" si="22">IF($C83="", "", MAX((O83-P83)*(1+2%)-L83, 0))</f>
        <v>3593510.7297320459</v>
      </c>
      <c r="R83" s="35">
        <f t="shared" ca="1" si="17"/>
        <v>3593510.7297320459</v>
      </c>
      <c r="S83" s="31">
        <f t="shared" ref="S83:S122" ca="1" si="23">IF($C83="", "", IF(Q83&lt;=0, 0, MAX(VLOOKUP($D83, $R$4:$S$7, 2)*N83, Q83)))</f>
        <v>3593510.7297320459</v>
      </c>
      <c r="T83" s="37">
        <f t="shared" ref="T83:T122" ca="1" si="24">IF($C83="", "", IF(AND($C83&gt;1, V82&lt;=0), 0, V82+SUM($E83:$H83)-$J83+K83))</f>
        <v>8842051.8431479987</v>
      </c>
      <c r="U83" s="35">
        <f ca="1">IF($C83="", "", IF(T83&lt;=0, 0, MAX(VLOOKUP($D83-1, $R$4:$S$7, 2)*$N83-T83, 0)*OFFSET(鑫意锁风险保险费!$B$5, $D83-1, IF($D$3="男", 1, 2))/1000))</f>
        <v>0</v>
      </c>
      <c r="V83" s="36">
        <f t="shared" ref="V83:V122" ca="1" si="25">IF($C83="", "", MAX((T83-U83)*(1+4%)-$L83, 0))</f>
        <v>9195733.9168739188</v>
      </c>
      <c r="W83" s="35">
        <f t="shared" ca="1" si="18"/>
        <v>9195733.9168739188</v>
      </c>
      <c r="X83" s="31">
        <f t="shared" ref="X83:X122" ca="1" si="26">IF($C83="", "", IF(V83&lt;=0, 0, MAX(VLOOKUP($D83, $R$4:$S$7, 2)*$N83, V83)))</f>
        <v>9195733.9168739188</v>
      </c>
    </row>
    <row r="84" spans="2:24" x14ac:dyDescent="0.3">
      <c r="B84" s="55"/>
      <c r="C84" s="29">
        <f t="shared" ref="C84:C122" si="27">IF(AND(C83&gt;0, C83&lt;99-$H$3), C83+1,"")</f>
        <v>67</v>
      </c>
      <c r="D84" s="57">
        <f t="shared" ref="D84:D122" si="28">IF(C84="","",D83+1)</f>
        <v>97</v>
      </c>
      <c r="E84" s="37">
        <f t="shared" si="19"/>
        <v>0</v>
      </c>
      <c r="F84" s="85"/>
      <c r="G84" s="85"/>
      <c r="H84" s="90">
        <f ca="1">IF(C84="", "", IF(AND(C84&gt;=6, D84&lt;=60), OFFSET(利益演示!$G$16, C84-1, 0), IF(D84&gt;60, OFFSET(利益演示!$H$16, C84-1, 0), 0)))</f>
        <v>48600</v>
      </c>
      <c r="I84" s="65">
        <f ca="1">IF(C84="", "", SUM($E$18:H84))</f>
        <v>2906700</v>
      </c>
      <c r="J84" s="59">
        <f t="shared" ca="1" si="20"/>
        <v>486</v>
      </c>
      <c r="K84" s="90">
        <f ca="1">IF(C84="", "", ROUND(IF(C84=6, SUM(OFFSET(H83, -4, 0):H83)*1%, IF(C84&gt;6,H83*1%, 0)),0))</f>
        <v>486</v>
      </c>
      <c r="L84" s="94"/>
      <c r="M84" s="90">
        <f t="shared" si="16"/>
        <v>0</v>
      </c>
      <c r="N84" s="67">
        <f ca="1">IF(C84="", "", MAX(I84-SUM(L$17:L83), 0))</f>
        <v>1806700</v>
      </c>
      <c r="O84" s="37">
        <f t="shared" ca="1" si="21"/>
        <v>3642110.7297320459</v>
      </c>
      <c r="P84" s="35">
        <f ca="1">IF($C84="", "", IF(O84&lt;=0, 0, MAX(VLOOKUP($D84-1, $R$4:$S$7, 2)*$N84-O84, 0)*OFFSET(鑫意锁风险保险费!$B$5, $D84-1, IF($D$3="男", 1, 2))/1000))</f>
        <v>0</v>
      </c>
      <c r="Q84" s="36">
        <f t="shared" ca="1" si="22"/>
        <v>3714952.9443266867</v>
      </c>
      <c r="R84" s="35">
        <f t="shared" ca="1" si="17"/>
        <v>3714952.9443266867</v>
      </c>
      <c r="S84" s="31">
        <f t="shared" ca="1" si="23"/>
        <v>3714952.9443266867</v>
      </c>
      <c r="T84" s="37">
        <f t="shared" ca="1" si="24"/>
        <v>9244333.9168739188</v>
      </c>
      <c r="U84" s="35">
        <f ca="1">IF($C84="", "", IF(T84&lt;=0, 0, MAX(VLOOKUP($D84-1, $R$4:$S$7, 2)*$N84-T84, 0)*OFFSET(鑫意锁风险保险费!$B$5, $D84-1, IF($D$3="男", 1, 2))/1000))</f>
        <v>0</v>
      </c>
      <c r="V84" s="36">
        <f t="shared" ca="1" si="25"/>
        <v>9614107.273548875</v>
      </c>
      <c r="W84" s="35">
        <f t="shared" ca="1" si="18"/>
        <v>9614107.273548875</v>
      </c>
      <c r="X84" s="31">
        <f t="shared" ca="1" si="26"/>
        <v>9614107.273548875</v>
      </c>
    </row>
    <row r="85" spans="2:24" x14ac:dyDescent="0.3">
      <c r="B85" s="55"/>
      <c r="C85" s="29">
        <f t="shared" si="27"/>
        <v>68</v>
      </c>
      <c r="D85" s="57">
        <f t="shared" si="28"/>
        <v>98</v>
      </c>
      <c r="E85" s="37">
        <f t="shared" si="19"/>
        <v>0</v>
      </c>
      <c r="F85" s="85"/>
      <c r="G85" s="85"/>
      <c r="H85" s="90">
        <f ca="1">IF(C85="", "", IF(AND(C85&gt;=6, D85&lt;=60), OFFSET(利益演示!$G$16, C85-1, 0), IF(D85&gt;60, OFFSET(利益演示!$H$16, C85-1, 0), 0)))</f>
        <v>48600</v>
      </c>
      <c r="I85" s="65">
        <f ca="1">IF(C85="", "", SUM($E$18:H85))</f>
        <v>2955300</v>
      </c>
      <c r="J85" s="59">
        <f t="shared" ca="1" si="20"/>
        <v>486</v>
      </c>
      <c r="K85" s="90">
        <f ca="1">IF(C85="", "", ROUND(IF(C85=6, SUM(OFFSET(H84, -4, 0):H84)*1%, IF(C85&gt;6,H84*1%, 0)),0))</f>
        <v>486</v>
      </c>
      <c r="L85" s="94"/>
      <c r="M85" s="90">
        <f t="shared" si="16"/>
        <v>0</v>
      </c>
      <c r="N85" s="67">
        <f ca="1">IF(C85="", "", MAX(I85-SUM(L$17:L84), 0))</f>
        <v>1855300</v>
      </c>
      <c r="O85" s="37">
        <f t="shared" ca="1" si="21"/>
        <v>3763552.9443266867</v>
      </c>
      <c r="P85" s="35">
        <f ca="1">IF($C85="", "", IF(O85&lt;=0, 0, MAX(VLOOKUP($D85-1, $R$4:$S$7, 2)*$N85-O85, 0)*OFFSET(鑫意锁风险保险费!$B$5, $D85-1, IF($D$3="男", 1, 2))/1000))</f>
        <v>0</v>
      </c>
      <c r="Q85" s="36">
        <f t="shared" ca="1" si="22"/>
        <v>3838824.0032132203</v>
      </c>
      <c r="R85" s="35">
        <f t="shared" ca="1" si="17"/>
        <v>3838824.0032132203</v>
      </c>
      <c r="S85" s="31">
        <f t="shared" ca="1" si="23"/>
        <v>3838824.0032132203</v>
      </c>
      <c r="T85" s="37">
        <f t="shared" ca="1" si="24"/>
        <v>9662707.273548875</v>
      </c>
      <c r="U85" s="35">
        <f ca="1">IF($C85="", "", IF(T85&lt;=0, 0, MAX(VLOOKUP($D85-1, $R$4:$S$7, 2)*$N85-T85, 0)*OFFSET(鑫意锁风险保险费!$B$5, $D85-1, IF($D$3="男", 1, 2))/1000))</f>
        <v>0</v>
      </c>
      <c r="V85" s="36">
        <f t="shared" ca="1" si="25"/>
        <v>10049215.564490831</v>
      </c>
      <c r="W85" s="35">
        <f t="shared" ca="1" si="18"/>
        <v>10049215.564490831</v>
      </c>
      <c r="X85" s="31">
        <f t="shared" ca="1" si="26"/>
        <v>10049215.564490831</v>
      </c>
    </row>
    <row r="86" spans="2:24" x14ac:dyDescent="0.3">
      <c r="B86" s="55"/>
      <c r="C86" s="29">
        <f t="shared" si="27"/>
        <v>69</v>
      </c>
      <c r="D86" s="57">
        <f t="shared" si="28"/>
        <v>99</v>
      </c>
      <c r="E86" s="37">
        <f t="shared" si="19"/>
        <v>0</v>
      </c>
      <c r="F86" s="85"/>
      <c r="G86" s="85"/>
      <c r="H86" s="90">
        <f ca="1">IF(C86="", "", IF(AND(C86&gt;=6, D86&lt;=60), OFFSET(利益演示!$G$16, C86-1, 0), IF(D86&gt;60, OFFSET(利益演示!$H$16, C86-1, 0), 0)))</f>
        <v>48600</v>
      </c>
      <c r="I86" s="65">
        <f ca="1">IF(C86="", "", SUM($E$18:H86))</f>
        <v>3003900</v>
      </c>
      <c r="J86" s="59">
        <f t="shared" ca="1" si="20"/>
        <v>486</v>
      </c>
      <c r="K86" s="90">
        <f ca="1">IF(C86="", "", ROUND(IF(C86=6, SUM(OFFSET(H85, -4, 0):H85)*1%, IF(C86&gt;6,H85*1%, 0)),0))</f>
        <v>486</v>
      </c>
      <c r="L86" s="94"/>
      <c r="M86" s="90">
        <f t="shared" si="16"/>
        <v>0</v>
      </c>
      <c r="N86" s="67">
        <f ca="1">IF(C86="", "", MAX(I86-SUM(L$17:L85), 0))</f>
        <v>1903900</v>
      </c>
      <c r="O86" s="37">
        <f t="shared" ca="1" si="21"/>
        <v>3887424.0032132203</v>
      </c>
      <c r="P86" s="35">
        <f ca="1">IF($C86="", "", IF(O86&lt;=0, 0, MAX(VLOOKUP($D86-1, $R$4:$S$7, 2)*$N86-O86, 0)*OFFSET(鑫意锁风险保险费!$B$5, $D86-1, IF($D$3="男", 1, 2))/1000))</f>
        <v>0</v>
      </c>
      <c r="Q86" s="36">
        <f t="shared" ca="1" si="22"/>
        <v>3965172.4832774848</v>
      </c>
      <c r="R86" s="35">
        <f t="shared" ca="1" si="17"/>
        <v>3965172.4832774848</v>
      </c>
      <c r="S86" s="31">
        <f t="shared" ca="1" si="23"/>
        <v>3965172.4832774848</v>
      </c>
      <c r="T86" s="37">
        <f t="shared" ca="1" si="24"/>
        <v>10097815.564490831</v>
      </c>
      <c r="U86" s="35">
        <f ca="1">IF($C86="", "", IF(T86&lt;=0, 0, MAX(VLOOKUP($D86-1, $R$4:$S$7, 2)*$N86-T86, 0)*OFFSET(鑫意锁风险保险费!$B$5, $D86-1, IF($D$3="男", 1, 2))/1000))</f>
        <v>0</v>
      </c>
      <c r="V86" s="36">
        <f t="shared" ca="1" si="25"/>
        <v>10501728.187070465</v>
      </c>
      <c r="W86" s="35">
        <f t="shared" ca="1" si="18"/>
        <v>10501728.187070465</v>
      </c>
      <c r="X86" s="31">
        <f t="shared" ca="1" si="26"/>
        <v>10501728.187070465</v>
      </c>
    </row>
    <row r="87" spans="2:24" x14ac:dyDescent="0.3">
      <c r="B87" s="55"/>
      <c r="C87" s="29" t="str">
        <f t="shared" si="27"/>
        <v/>
      </c>
      <c r="D87" s="57" t="str">
        <f t="shared" si="28"/>
        <v/>
      </c>
      <c r="E87" s="37" t="str">
        <f t="shared" si="19"/>
        <v/>
      </c>
      <c r="F87" s="85"/>
      <c r="G87" s="85"/>
      <c r="H87" s="90" t="str">
        <f ca="1">IF(C87="", "", IF(AND(C87&gt;=6, D87&lt;=60), OFFSET(利益演示!$G$16, C87-1, 0), IF(D87&gt;60, OFFSET(利益演示!$H$16, C87-1, 0), 0)))</f>
        <v/>
      </c>
      <c r="I87" s="65" t="str">
        <f>IF(C87="", "", SUM($E$18:H87))</f>
        <v/>
      </c>
      <c r="J87" s="59" t="str">
        <f t="shared" si="20"/>
        <v/>
      </c>
      <c r="K87" s="90" t="str">
        <f ca="1">IF(C87="", "", ROUND(IF(C87=6, SUM(OFFSET(H86, -4, 0):H86)*1%, IF(C87&gt;6,H86*1%, 0)),0))</f>
        <v/>
      </c>
      <c r="L87" s="94"/>
      <c r="M87" s="90" t="str">
        <f t="shared" si="16"/>
        <v/>
      </c>
      <c r="N87" s="67" t="str">
        <f>IF(C87="", "", MAX(I87-SUM(L$17:L86), 0))</f>
        <v/>
      </c>
      <c r="O87" s="37" t="str">
        <f t="shared" si="21"/>
        <v/>
      </c>
      <c r="P87" s="35" t="str">
        <f ca="1">IF($C87="", "", IF(O87&lt;=0, 0, MAX(VLOOKUP($D87-1, $R$4:$S$7, 2)*$N87-O87, 0)*OFFSET(鑫意锁风险保险费!$B$5, $D87-1, IF($D$3="男", 1, 2))/1000))</f>
        <v/>
      </c>
      <c r="Q87" s="36" t="str">
        <f t="shared" si="22"/>
        <v/>
      </c>
      <c r="R87" s="35" t="str">
        <f t="shared" si="17"/>
        <v/>
      </c>
      <c r="S87" s="31" t="str">
        <f t="shared" si="23"/>
        <v/>
      </c>
      <c r="T87" s="37" t="str">
        <f t="shared" si="24"/>
        <v/>
      </c>
      <c r="U87" s="35" t="str">
        <f ca="1">IF($C87="", "", IF(T87&lt;=0, 0, MAX(VLOOKUP($D87-1, $R$4:$S$7, 2)*$N87-T87, 0)*OFFSET(鑫意锁风险保险费!$B$5, $D87-1, IF($D$3="男", 1, 2))/1000))</f>
        <v/>
      </c>
      <c r="V87" s="36" t="str">
        <f t="shared" si="25"/>
        <v/>
      </c>
      <c r="W87" s="35" t="str">
        <f t="shared" si="18"/>
        <v/>
      </c>
      <c r="X87" s="31" t="str">
        <f t="shared" si="26"/>
        <v/>
      </c>
    </row>
    <row r="88" spans="2:24" x14ac:dyDescent="0.3">
      <c r="B88" s="55"/>
      <c r="C88" s="29" t="str">
        <f t="shared" si="27"/>
        <v/>
      </c>
      <c r="D88" s="57" t="str">
        <f t="shared" si="28"/>
        <v/>
      </c>
      <c r="E88" s="37" t="str">
        <f t="shared" si="19"/>
        <v/>
      </c>
      <c r="F88" s="85"/>
      <c r="G88" s="85"/>
      <c r="H88" s="90" t="str">
        <f ca="1">IF(C88="", "", IF(AND(C88&gt;=6, D88&lt;=60), OFFSET(利益演示!$G$16, C88-1, 0), IF(D88&gt;60, OFFSET(利益演示!$H$16, C88-1, 0), 0)))</f>
        <v/>
      </c>
      <c r="I88" s="65" t="str">
        <f>IF(C88="", "", SUM($E$18:H88))</f>
        <v/>
      </c>
      <c r="J88" s="59" t="str">
        <f t="shared" si="20"/>
        <v/>
      </c>
      <c r="K88" s="90" t="str">
        <f ca="1">IF(C88="", "", ROUND(IF(C88=6, SUM(OFFSET(H87, -4, 0):H87)*1%, IF(C88&gt;6,H87*1%, 0)),0))</f>
        <v/>
      </c>
      <c r="L88" s="94"/>
      <c r="M88" s="90" t="str">
        <f t="shared" si="16"/>
        <v/>
      </c>
      <c r="N88" s="67" t="str">
        <f>IF(C88="", "", MAX(I88-SUM(L$17:L87), 0))</f>
        <v/>
      </c>
      <c r="O88" s="37" t="str">
        <f t="shared" si="21"/>
        <v/>
      </c>
      <c r="P88" s="35" t="str">
        <f ca="1">IF($C88="", "", IF(O88&lt;=0, 0, MAX(VLOOKUP($D88-1, $R$4:$S$7, 2)*$N88-O88, 0)*OFFSET(鑫意锁风险保险费!$B$5, $D88-1, IF($D$3="男", 1, 2))/1000))</f>
        <v/>
      </c>
      <c r="Q88" s="36" t="str">
        <f t="shared" si="22"/>
        <v/>
      </c>
      <c r="R88" s="35" t="str">
        <f t="shared" si="17"/>
        <v/>
      </c>
      <c r="S88" s="31" t="str">
        <f t="shared" si="23"/>
        <v/>
      </c>
      <c r="T88" s="37" t="str">
        <f t="shared" si="24"/>
        <v/>
      </c>
      <c r="U88" s="35" t="str">
        <f ca="1">IF($C88="", "", IF(T88&lt;=0, 0, MAX(VLOOKUP($D88-1, $R$4:$S$7, 2)*$N88-T88, 0)*OFFSET(鑫意锁风险保险费!$B$5, $D88-1, IF($D$3="男", 1, 2))/1000))</f>
        <v/>
      </c>
      <c r="V88" s="36" t="str">
        <f t="shared" si="25"/>
        <v/>
      </c>
      <c r="W88" s="35" t="str">
        <f t="shared" si="18"/>
        <v/>
      </c>
      <c r="X88" s="31" t="str">
        <f t="shared" si="26"/>
        <v/>
      </c>
    </row>
    <row r="89" spans="2:24" x14ac:dyDescent="0.3">
      <c r="B89" s="55"/>
      <c r="C89" s="29" t="str">
        <f t="shared" si="27"/>
        <v/>
      </c>
      <c r="D89" s="57" t="str">
        <f t="shared" si="28"/>
        <v/>
      </c>
      <c r="E89" s="37" t="str">
        <f t="shared" si="19"/>
        <v/>
      </c>
      <c r="F89" s="85"/>
      <c r="G89" s="85"/>
      <c r="H89" s="90" t="str">
        <f ca="1">IF(C89="", "", IF(AND(C89&gt;=6, D89&lt;=60), OFFSET(利益演示!$G$16, C89-1, 0), IF(D89&gt;60, OFFSET(利益演示!$H$16, C89-1, 0), 0)))</f>
        <v/>
      </c>
      <c r="I89" s="65" t="str">
        <f>IF(C89="", "", SUM($E$18:H89))</f>
        <v/>
      </c>
      <c r="J89" s="59" t="str">
        <f t="shared" si="20"/>
        <v/>
      </c>
      <c r="K89" s="90" t="str">
        <f ca="1">IF(C89="", "", ROUND(IF(C89=6, SUM(OFFSET(H88, -4, 0):H88)*1%, IF(C89&gt;6,H88*1%, 0)),0))</f>
        <v/>
      </c>
      <c r="L89" s="94"/>
      <c r="M89" s="90" t="str">
        <f t="shared" si="16"/>
        <v/>
      </c>
      <c r="N89" s="67" t="str">
        <f>IF(C89="", "", MAX(I89-SUM(L$17:L88), 0))</f>
        <v/>
      </c>
      <c r="O89" s="37" t="str">
        <f t="shared" si="21"/>
        <v/>
      </c>
      <c r="P89" s="35" t="str">
        <f ca="1">IF($C89="", "", IF(O89&lt;=0, 0, MAX(VLOOKUP($D89-1, $R$4:$S$7, 2)*$N89-O89, 0)*OFFSET(鑫意锁风险保险费!$B$5, $D89-1, IF($D$3="男", 1, 2))/1000))</f>
        <v/>
      </c>
      <c r="Q89" s="36" t="str">
        <f t="shared" si="22"/>
        <v/>
      </c>
      <c r="R89" s="35" t="str">
        <f t="shared" si="17"/>
        <v/>
      </c>
      <c r="S89" s="31" t="str">
        <f t="shared" si="23"/>
        <v/>
      </c>
      <c r="T89" s="37" t="str">
        <f t="shared" si="24"/>
        <v/>
      </c>
      <c r="U89" s="35" t="str">
        <f ca="1">IF($C89="", "", IF(T89&lt;=0, 0, MAX(VLOOKUP($D89-1, $R$4:$S$7, 2)*$N89-T89, 0)*OFFSET(鑫意锁风险保险费!$B$5, $D89-1, IF($D$3="男", 1, 2))/1000))</f>
        <v/>
      </c>
      <c r="V89" s="36" t="str">
        <f t="shared" si="25"/>
        <v/>
      </c>
      <c r="W89" s="35" t="str">
        <f t="shared" si="18"/>
        <v/>
      </c>
      <c r="X89" s="31" t="str">
        <f t="shared" si="26"/>
        <v/>
      </c>
    </row>
    <row r="90" spans="2:24" x14ac:dyDescent="0.3">
      <c r="B90" s="55"/>
      <c r="C90" s="29" t="str">
        <f t="shared" si="27"/>
        <v/>
      </c>
      <c r="D90" s="57" t="str">
        <f t="shared" si="28"/>
        <v/>
      </c>
      <c r="E90" s="37" t="str">
        <f t="shared" si="19"/>
        <v/>
      </c>
      <c r="F90" s="85"/>
      <c r="G90" s="85"/>
      <c r="H90" s="90" t="str">
        <f ca="1">IF(C90="", "", IF(AND(C90&gt;=6, D90&lt;=60), OFFSET(利益演示!$G$16, C90-1, 0), IF(D90&gt;60, OFFSET(利益演示!$H$16, C90-1, 0), 0)))</f>
        <v/>
      </c>
      <c r="I90" s="65" t="str">
        <f>IF(C90="", "", SUM($E$18:H90))</f>
        <v/>
      </c>
      <c r="J90" s="59" t="str">
        <f t="shared" si="20"/>
        <v/>
      </c>
      <c r="K90" s="90" t="str">
        <f ca="1">IF(C90="", "", ROUND(IF(C90=6, SUM(OFFSET(H89, -4, 0):H89)*1%, IF(C90&gt;6,H89*1%, 0)),0))</f>
        <v/>
      </c>
      <c r="L90" s="94"/>
      <c r="M90" s="90" t="str">
        <f t="shared" si="16"/>
        <v/>
      </c>
      <c r="N90" s="67" t="str">
        <f>IF(C90="", "", MAX(I90-SUM(L$17:L89), 0))</f>
        <v/>
      </c>
      <c r="O90" s="37" t="str">
        <f t="shared" si="21"/>
        <v/>
      </c>
      <c r="P90" s="35" t="str">
        <f ca="1">IF($C90="", "", IF(O90&lt;=0, 0, MAX(VLOOKUP($D90-1, $R$4:$S$7, 2)*$N90-O90, 0)*OFFSET(鑫意锁风险保险费!$B$5, $D90-1, IF($D$3="男", 1, 2))/1000))</f>
        <v/>
      </c>
      <c r="Q90" s="36" t="str">
        <f t="shared" si="22"/>
        <v/>
      </c>
      <c r="R90" s="35" t="str">
        <f t="shared" si="17"/>
        <v/>
      </c>
      <c r="S90" s="31" t="str">
        <f t="shared" si="23"/>
        <v/>
      </c>
      <c r="T90" s="37" t="str">
        <f t="shared" si="24"/>
        <v/>
      </c>
      <c r="U90" s="35" t="str">
        <f ca="1">IF($C90="", "", IF(T90&lt;=0, 0, MAX(VLOOKUP($D90-1, $R$4:$S$7, 2)*$N90-T90, 0)*OFFSET(鑫意锁风险保险费!$B$5, $D90-1, IF($D$3="男", 1, 2))/1000))</f>
        <v/>
      </c>
      <c r="V90" s="36" t="str">
        <f t="shared" si="25"/>
        <v/>
      </c>
      <c r="W90" s="35" t="str">
        <f t="shared" si="18"/>
        <v/>
      </c>
      <c r="X90" s="31" t="str">
        <f t="shared" si="26"/>
        <v/>
      </c>
    </row>
    <row r="91" spans="2:24" x14ac:dyDescent="0.3">
      <c r="B91" s="55"/>
      <c r="C91" s="29" t="str">
        <f t="shared" si="27"/>
        <v/>
      </c>
      <c r="D91" s="57" t="str">
        <f t="shared" si="28"/>
        <v/>
      </c>
      <c r="E91" s="37" t="str">
        <f t="shared" si="19"/>
        <v/>
      </c>
      <c r="F91" s="85"/>
      <c r="G91" s="85"/>
      <c r="H91" s="90" t="str">
        <f ca="1">IF(C91="", "", IF(AND(C91&gt;=6, D91&lt;=60), OFFSET(利益演示!$G$16, C91-1, 0), IF(D91&gt;60, OFFSET(利益演示!$H$16, C91-1, 0), 0)))</f>
        <v/>
      </c>
      <c r="I91" s="65" t="str">
        <f>IF(C91="", "", SUM($E$18:H91))</f>
        <v/>
      </c>
      <c r="J91" s="59" t="str">
        <f t="shared" si="20"/>
        <v/>
      </c>
      <c r="K91" s="90" t="str">
        <f ca="1">IF(C91="", "", ROUND(IF(C91=6, SUM(OFFSET(H90, -4, 0):H90)*1%, IF(C91&gt;6,H90*1%, 0)),0))</f>
        <v/>
      </c>
      <c r="L91" s="94"/>
      <c r="M91" s="90" t="str">
        <f t="shared" si="16"/>
        <v/>
      </c>
      <c r="N91" s="67" t="str">
        <f>IF(C91="", "", MAX(I91-SUM(L$17:L90), 0))</f>
        <v/>
      </c>
      <c r="O91" s="37" t="str">
        <f t="shared" si="21"/>
        <v/>
      </c>
      <c r="P91" s="35" t="str">
        <f ca="1">IF($C91="", "", IF(O91&lt;=0, 0, MAX(VLOOKUP($D91-1, $R$4:$S$7, 2)*$N91-O91, 0)*OFFSET(鑫意锁风险保险费!$B$5, $D91-1, IF($D$3="男", 1, 2))/1000))</f>
        <v/>
      </c>
      <c r="Q91" s="36" t="str">
        <f t="shared" si="22"/>
        <v/>
      </c>
      <c r="R91" s="35" t="str">
        <f t="shared" si="17"/>
        <v/>
      </c>
      <c r="S91" s="31" t="str">
        <f t="shared" si="23"/>
        <v/>
      </c>
      <c r="T91" s="37" t="str">
        <f t="shared" si="24"/>
        <v/>
      </c>
      <c r="U91" s="35" t="str">
        <f ca="1">IF($C91="", "", IF(T91&lt;=0, 0, MAX(VLOOKUP($D91-1, $R$4:$S$7, 2)*$N91-T91, 0)*OFFSET(鑫意锁风险保险费!$B$5, $D91-1, IF($D$3="男", 1, 2))/1000))</f>
        <v/>
      </c>
      <c r="V91" s="36" t="str">
        <f t="shared" si="25"/>
        <v/>
      </c>
      <c r="W91" s="35" t="str">
        <f t="shared" si="18"/>
        <v/>
      </c>
      <c r="X91" s="31" t="str">
        <f t="shared" si="26"/>
        <v/>
      </c>
    </row>
    <row r="92" spans="2:24" x14ac:dyDescent="0.3">
      <c r="B92" s="55"/>
      <c r="C92" s="29" t="str">
        <f t="shared" si="27"/>
        <v/>
      </c>
      <c r="D92" s="57" t="str">
        <f t="shared" si="28"/>
        <v/>
      </c>
      <c r="E92" s="37" t="str">
        <f t="shared" si="19"/>
        <v/>
      </c>
      <c r="F92" s="85"/>
      <c r="G92" s="85"/>
      <c r="H92" s="90" t="str">
        <f ca="1">IF(C92="", "", IF(AND(C92&gt;=6, D92&lt;=60), OFFSET(利益演示!$G$16, C92-1, 0), IF(D92&gt;60, OFFSET(利益演示!$H$16, C92-1, 0), 0)))</f>
        <v/>
      </c>
      <c r="I92" s="65" t="str">
        <f>IF(C92="", "", SUM($E$18:H92))</f>
        <v/>
      </c>
      <c r="J92" s="59" t="str">
        <f t="shared" si="20"/>
        <v/>
      </c>
      <c r="K92" s="90" t="str">
        <f ca="1">IF(C92="", "", ROUND(IF(C92=6, SUM(OFFSET(H91, -4, 0):H91)*1%, IF(C92&gt;6,H91*1%, 0)),0))</f>
        <v/>
      </c>
      <c r="L92" s="94"/>
      <c r="M92" s="90" t="str">
        <f t="shared" si="16"/>
        <v/>
      </c>
      <c r="N92" s="67" t="str">
        <f>IF(C92="", "", MAX(I92-SUM(L$17:L91), 0))</f>
        <v/>
      </c>
      <c r="O92" s="37" t="str">
        <f t="shared" si="21"/>
        <v/>
      </c>
      <c r="P92" s="35" t="str">
        <f ca="1">IF($C92="", "", IF(O92&lt;=0, 0, MAX(VLOOKUP($D92-1, $R$4:$S$7, 2)*$N92-O92, 0)*OFFSET(鑫意锁风险保险费!$B$5, $D92-1, IF($D$3="男", 1, 2))/1000))</f>
        <v/>
      </c>
      <c r="Q92" s="36" t="str">
        <f t="shared" si="22"/>
        <v/>
      </c>
      <c r="R92" s="35" t="str">
        <f t="shared" si="17"/>
        <v/>
      </c>
      <c r="S92" s="31" t="str">
        <f t="shared" si="23"/>
        <v/>
      </c>
      <c r="T92" s="37" t="str">
        <f t="shared" si="24"/>
        <v/>
      </c>
      <c r="U92" s="35" t="str">
        <f ca="1">IF($C92="", "", IF(T92&lt;=0, 0, MAX(VLOOKUP($D92-1, $R$4:$S$7, 2)*$N92-T92, 0)*OFFSET(鑫意锁风险保险费!$B$5, $D92-1, IF($D$3="男", 1, 2))/1000))</f>
        <v/>
      </c>
      <c r="V92" s="36" t="str">
        <f t="shared" si="25"/>
        <v/>
      </c>
      <c r="W92" s="35" t="str">
        <f t="shared" si="18"/>
        <v/>
      </c>
      <c r="X92" s="31" t="str">
        <f t="shared" si="26"/>
        <v/>
      </c>
    </row>
    <row r="93" spans="2:24" x14ac:dyDescent="0.3">
      <c r="B93" s="55"/>
      <c r="C93" s="29" t="str">
        <f t="shared" si="27"/>
        <v/>
      </c>
      <c r="D93" s="57" t="str">
        <f t="shared" si="28"/>
        <v/>
      </c>
      <c r="E93" s="37" t="str">
        <f t="shared" si="19"/>
        <v/>
      </c>
      <c r="F93" s="85"/>
      <c r="G93" s="85"/>
      <c r="H93" s="90" t="str">
        <f ca="1">IF(C93="", "", IF(AND(C93&gt;=6, D93&lt;=60), OFFSET(利益演示!$G$16, C93-1, 0), IF(D93&gt;60, OFFSET(利益演示!$H$16, C93-1, 0), 0)))</f>
        <v/>
      </c>
      <c r="I93" s="65" t="str">
        <f>IF(C93="", "", SUM($E$18:H93))</f>
        <v/>
      </c>
      <c r="J93" s="59" t="str">
        <f t="shared" si="20"/>
        <v/>
      </c>
      <c r="K93" s="90" t="str">
        <f ca="1">IF(C93="", "", ROUND(IF(C93=6, SUM(OFFSET(H92, -4, 0):H92)*1%, IF(C93&gt;6,H92*1%, 0)),0))</f>
        <v/>
      </c>
      <c r="L93" s="94"/>
      <c r="M93" s="90" t="str">
        <f t="shared" si="16"/>
        <v/>
      </c>
      <c r="N93" s="67" t="str">
        <f>IF(C93="", "", MAX(I93-SUM(L$17:L92), 0))</f>
        <v/>
      </c>
      <c r="O93" s="37" t="str">
        <f t="shared" si="21"/>
        <v/>
      </c>
      <c r="P93" s="35" t="str">
        <f ca="1">IF($C93="", "", IF(O93&lt;=0, 0, MAX(VLOOKUP($D93-1, $R$4:$S$7, 2)*$N93-O93, 0)*OFFSET(鑫意锁风险保险费!$B$5, $D93-1, IF($D$3="男", 1, 2))/1000))</f>
        <v/>
      </c>
      <c r="Q93" s="36" t="str">
        <f t="shared" si="22"/>
        <v/>
      </c>
      <c r="R93" s="35" t="str">
        <f t="shared" si="17"/>
        <v/>
      </c>
      <c r="S93" s="31" t="str">
        <f t="shared" si="23"/>
        <v/>
      </c>
      <c r="T93" s="37" t="str">
        <f t="shared" si="24"/>
        <v/>
      </c>
      <c r="U93" s="35" t="str">
        <f ca="1">IF($C93="", "", IF(T93&lt;=0, 0, MAX(VLOOKUP($D93-1, $R$4:$S$7, 2)*$N93-T93, 0)*OFFSET(鑫意锁风险保险费!$B$5, $D93-1, IF($D$3="男", 1, 2))/1000))</f>
        <v/>
      </c>
      <c r="V93" s="36" t="str">
        <f t="shared" si="25"/>
        <v/>
      </c>
      <c r="W93" s="35" t="str">
        <f t="shared" si="18"/>
        <v/>
      </c>
      <c r="X93" s="31" t="str">
        <f t="shared" si="26"/>
        <v/>
      </c>
    </row>
    <row r="94" spans="2:24" x14ac:dyDescent="0.3">
      <c r="B94" s="55"/>
      <c r="C94" s="29" t="str">
        <f t="shared" si="27"/>
        <v/>
      </c>
      <c r="D94" s="57" t="str">
        <f t="shared" si="28"/>
        <v/>
      </c>
      <c r="E94" s="37" t="str">
        <f t="shared" si="19"/>
        <v/>
      </c>
      <c r="F94" s="85"/>
      <c r="G94" s="85"/>
      <c r="H94" s="90" t="str">
        <f ca="1">IF(C94="", "", IF(AND(C94&gt;=6, D94&lt;=60), OFFSET(利益演示!$G$16, C94-1, 0), IF(D94&gt;60, OFFSET(利益演示!$H$16, C94-1, 0), 0)))</f>
        <v/>
      </c>
      <c r="I94" s="65" t="str">
        <f>IF(C94="", "", SUM($E$18:H94))</f>
        <v/>
      </c>
      <c r="J94" s="59" t="str">
        <f t="shared" si="20"/>
        <v/>
      </c>
      <c r="K94" s="90" t="str">
        <f ca="1">IF(C94="", "", ROUND(IF(C94=6, SUM(OFFSET(H93, -4, 0):H93)*1%, IF(C94&gt;6,H93*1%, 0)),0))</f>
        <v/>
      </c>
      <c r="L94" s="94"/>
      <c r="M94" s="90" t="str">
        <f t="shared" si="16"/>
        <v/>
      </c>
      <c r="N94" s="67" t="str">
        <f>IF(C94="", "", MAX(I94-SUM(L$17:L93), 0))</f>
        <v/>
      </c>
      <c r="O94" s="37" t="str">
        <f t="shared" si="21"/>
        <v/>
      </c>
      <c r="P94" s="35" t="str">
        <f ca="1">IF($C94="", "", IF(O94&lt;=0, 0, MAX(VLOOKUP($D94-1, $R$4:$S$7, 2)*$N94-O94, 0)*OFFSET(鑫意锁风险保险费!$B$5, $D94-1, IF($D$3="男", 1, 2))/1000))</f>
        <v/>
      </c>
      <c r="Q94" s="36" t="str">
        <f t="shared" si="22"/>
        <v/>
      </c>
      <c r="R94" s="35" t="str">
        <f t="shared" si="17"/>
        <v/>
      </c>
      <c r="S94" s="31" t="str">
        <f t="shared" si="23"/>
        <v/>
      </c>
      <c r="T94" s="37" t="str">
        <f t="shared" si="24"/>
        <v/>
      </c>
      <c r="U94" s="35" t="str">
        <f ca="1">IF($C94="", "", IF(T94&lt;=0, 0, MAX(VLOOKUP($D94-1, $R$4:$S$7, 2)*$N94-T94, 0)*OFFSET(鑫意锁风险保险费!$B$5, $D94-1, IF($D$3="男", 1, 2))/1000))</f>
        <v/>
      </c>
      <c r="V94" s="36" t="str">
        <f t="shared" si="25"/>
        <v/>
      </c>
      <c r="W94" s="35" t="str">
        <f t="shared" si="18"/>
        <v/>
      </c>
      <c r="X94" s="31" t="str">
        <f t="shared" si="26"/>
        <v/>
      </c>
    </row>
    <row r="95" spans="2:24" x14ac:dyDescent="0.3">
      <c r="B95" s="55"/>
      <c r="C95" s="29" t="str">
        <f t="shared" si="27"/>
        <v/>
      </c>
      <c r="D95" s="57" t="str">
        <f t="shared" si="28"/>
        <v/>
      </c>
      <c r="E95" s="37" t="str">
        <f t="shared" si="19"/>
        <v/>
      </c>
      <c r="F95" s="85"/>
      <c r="G95" s="85"/>
      <c r="H95" s="90" t="str">
        <f ca="1">IF(C95="", "", IF(AND(C95&gt;=6, D95&lt;=60), OFFSET(利益演示!$G$16, C95-1, 0), IF(D95&gt;60, OFFSET(利益演示!$H$16, C95-1, 0), 0)))</f>
        <v/>
      </c>
      <c r="I95" s="65" t="str">
        <f>IF(C95="", "", SUM($E$18:H95))</f>
        <v/>
      </c>
      <c r="J95" s="59" t="str">
        <f t="shared" si="20"/>
        <v/>
      </c>
      <c r="K95" s="90" t="str">
        <f ca="1">IF(C95="", "", ROUND(IF(C95=6, SUM(OFFSET(H94, -4, 0):H94)*1%, IF(C95&gt;6,H94*1%, 0)),0))</f>
        <v/>
      </c>
      <c r="L95" s="94"/>
      <c r="M95" s="90" t="str">
        <f t="shared" si="16"/>
        <v/>
      </c>
      <c r="N95" s="67" t="str">
        <f>IF(C95="", "", MAX(I95-SUM(L$17:L94), 0))</f>
        <v/>
      </c>
      <c r="O95" s="37" t="str">
        <f t="shared" si="21"/>
        <v/>
      </c>
      <c r="P95" s="35" t="str">
        <f ca="1">IF($C95="", "", IF(O95&lt;=0, 0, MAX(VLOOKUP($D95-1, $R$4:$S$7, 2)*$N95-O95, 0)*OFFSET(鑫意锁风险保险费!$B$5, $D95-1, IF($D$3="男", 1, 2))/1000))</f>
        <v/>
      </c>
      <c r="Q95" s="36" t="str">
        <f t="shared" si="22"/>
        <v/>
      </c>
      <c r="R95" s="35" t="str">
        <f t="shared" si="17"/>
        <v/>
      </c>
      <c r="S95" s="31" t="str">
        <f t="shared" si="23"/>
        <v/>
      </c>
      <c r="T95" s="37" t="str">
        <f t="shared" si="24"/>
        <v/>
      </c>
      <c r="U95" s="35" t="str">
        <f ca="1">IF($C95="", "", IF(T95&lt;=0, 0, MAX(VLOOKUP($D95-1, $R$4:$S$7, 2)*$N95-T95, 0)*OFFSET(鑫意锁风险保险费!$B$5, $D95-1, IF($D$3="男", 1, 2))/1000))</f>
        <v/>
      </c>
      <c r="V95" s="36" t="str">
        <f t="shared" si="25"/>
        <v/>
      </c>
      <c r="W95" s="35" t="str">
        <f t="shared" si="18"/>
        <v/>
      </c>
      <c r="X95" s="31" t="str">
        <f t="shared" si="26"/>
        <v/>
      </c>
    </row>
    <row r="96" spans="2:24" x14ac:dyDescent="0.3">
      <c r="B96" s="55"/>
      <c r="C96" s="29" t="str">
        <f t="shared" si="27"/>
        <v/>
      </c>
      <c r="D96" s="57" t="str">
        <f t="shared" si="28"/>
        <v/>
      </c>
      <c r="E96" s="37" t="str">
        <f t="shared" si="19"/>
        <v/>
      </c>
      <c r="F96" s="85"/>
      <c r="G96" s="85"/>
      <c r="H96" s="90" t="str">
        <f ca="1">IF(C96="", "", IF(AND(C96&gt;=6, D96&lt;=60), OFFSET(利益演示!$G$16, C96-1, 0), IF(D96&gt;60, OFFSET(利益演示!$H$16, C96-1, 0), 0)))</f>
        <v/>
      </c>
      <c r="I96" s="65" t="str">
        <f>IF(C96="", "", SUM($E$18:H96))</f>
        <v/>
      </c>
      <c r="J96" s="59" t="str">
        <f t="shared" si="20"/>
        <v/>
      </c>
      <c r="K96" s="90" t="str">
        <f ca="1">IF(C96="", "", ROUND(IF(C96=6, SUM(OFFSET(H95, -4, 0):H95)*1%, IF(C96&gt;6,H95*1%, 0)),0))</f>
        <v/>
      </c>
      <c r="L96" s="94"/>
      <c r="M96" s="90" t="str">
        <f t="shared" si="16"/>
        <v/>
      </c>
      <c r="N96" s="67" t="str">
        <f>IF(C96="", "", MAX(I96-SUM(L$17:L95), 0))</f>
        <v/>
      </c>
      <c r="O96" s="37" t="str">
        <f t="shared" si="21"/>
        <v/>
      </c>
      <c r="P96" s="35" t="str">
        <f ca="1">IF($C96="", "", IF(O96&lt;=0, 0, MAX(VLOOKUP($D96-1, $R$4:$S$7, 2)*$N96-O96, 0)*OFFSET(鑫意锁风险保险费!$B$5, $D96-1, IF($D$3="男", 1, 2))/1000))</f>
        <v/>
      </c>
      <c r="Q96" s="36" t="str">
        <f t="shared" si="22"/>
        <v/>
      </c>
      <c r="R96" s="35" t="str">
        <f t="shared" si="17"/>
        <v/>
      </c>
      <c r="S96" s="31" t="str">
        <f t="shared" si="23"/>
        <v/>
      </c>
      <c r="T96" s="37" t="str">
        <f t="shared" si="24"/>
        <v/>
      </c>
      <c r="U96" s="35" t="str">
        <f ca="1">IF($C96="", "", IF(T96&lt;=0, 0, MAX(VLOOKUP($D96-1, $R$4:$S$7, 2)*$N96-T96, 0)*OFFSET(鑫意锁风险保险费!$B$5, $D96-1, IF($D$3="男", 1, 2))/1000))</f>
        <v/>
      </c>
      <c r="V96" s="36" t="str">
        <f t="shared" si="25"/>
        <v/>
      </c>
      <c r="W96" s="35" t="str">
        <f t="shared" si="18"/>
        <v/>
      </c>
      <c r="X96" s="31" t="str">
        <f t="shared" si="26"/>
        <v/>
      </c>
    </row>
    <row r="97" spans="2:24" x14ac:dyDescent="0.3">
      <c r="B97" s="55"/>
      <c r="C97" s="29" t="str">
        <f t="shared" si="27"/>
        <v/>
      </c>
      <c r="D97" s="57" t="str">
        <f t="shared" si="28"/>
        <v/>
      </c>
      <c r="E97" s="37" t="str">
        <f t="shared" si="19"/>
        <v/>
      </c>
      <c r="F97" s="85"/>
      <c r="G97" s="85"/>
      <c r="H97" s="90" t="str">
        <f ca="1">IF(C97="", "", IF(AND(C97&gt;=6, D97&lt;=60), OFFSET(利益演示!$G$16, C97-1, 0), IF(D97&gt;60, OFFSET(利益演示!$H$16, C97-1, 0), 0)))</f>
        <v/>
      </c>
      <c r="I97" s="65" t="str">
        <f>IF(C97="", "", SUM($E$18:H97))</f>
        <v/>
      </c>
      <c r="J97" s="59" t="str">
        <f t="shared" si="20"/>
        <v/>
      </c>
      <c r="K97" s="90" t="str">
        <f ca="1">IF(C97="", "", ROUND(IF(C97=6, SUM(OFFSET(H96, -4, 0):H96)*1%, IF(C97&gt;6,H96*1%, 0)),0))</f>
        <v/>
      </c>
      <c r="L97" s="94"/>
      <c r="M97" s="90" t="str">
        <f t="shared" si="16"/>
        <v/>
      </c>
      <c r="N97" s="67" t="str">
        <f>IF(C97="", "", MAX(I97-SUM(L$17:L96), 0))</f>
        <v/>
      </c>
      <c r="O97" s="37" t="str">
        <f t="shared" si="21"/>
        <v/>
      </c>
      <c r="P97" s="35" t="str">
        <f ca="1">IF($C97="", "", IF(O97&lt;=0, 0, MAX(VLOOKUP($D97-1, $R$4:$S$7, 2)*$N97-O97, 0)*OFFSET(鑫意锁风险保险费!$B$5, $D97-1, IF($D$3="男", 1, 2))/1000))</f>
        <v/>
      </c>
      <c r="Q97" s="36" t="str">
        <f t="shared" si="22"/>
        <v/>
      </c>
      <c r="R97" s="35" t="str">
        <f t="shared" si="17"/>
        <v/>
      </c>
      <c r="S97" s="31" t="str">
        <f t="shared" si="23"/>
        <v/>
      </c>
      <c r="T97" s="37" t="str">
        <f t="shared" si="24"/>
        <v/>
      </c>
      <c r="U97" s="35" t="str">
        <f ca="1">IF($C97="", "", IF(T97&lt;=0, 0, MAX(VLOOKUP($D97-1, $R$4:$S$7, 2)*$N97-T97, 0)*OFFSET(鑫意锁风险保险费!$B$5, $D97-1, IF($D$3="男", 1, 2))/1000))</f>
        <v/>
      </c>
      <c r="V97" s="36" t="str">
        <f t="shared" si="25"/>
        <v/>
      </c>
      <c r="W97" s="35" t="str">
        <f t="shared" si="18"/>
        <v/>
      </c>
      <c r="X97" s="31" t="str">
        <f t="shared" si="26"/>
        <v/>
      </c>
    </row>
    <row r="98" spans="2:24" x14ac:dyDescent="0.3">
      <c r="B98" s="55"/>
      <c r="C98" s="29" t="str">
        <f t="shared" si="27"/>
        <v/>
      </c>
      <c r="D98" s="57" t="str">
        <f t="shared" si="28"/>
        <v/>
      </c>
      <c r="E98" s="37" t="str">
        <f t="shared" si="19"/>
        <v/>
      </c>
      <c r="F98" s="85"/>
      <c r="G98" s="85"/>
      <c r="H98" s="90" t="str">
        <f ca="1">IF(C98="", "", IF(AND(C98&gt;=6, D98&lt;=60), OFFSET(利益演示!$G$16, C98-1, 0), IF(D98&gt;60, OFFSET(利益演示!$H$16, C98-1, 0), 0)))</f>
        <v/>
      </c>
      <c r="I98" s="65" t="str">
        <f>IF(C98="", "", SUM($E$18:H98))</f>
        <v/>
      </c>
      <c r="J98" s="59" t="str">
        <f t="shared" si="20"/>
        <v/>
      </c>
      <c r="K98" s="90" t="str">
        <f ca="1">IF(C98="", "", ROUND(IF(C98=6, SUM(OFFSET(H97, -4, 0):H97)*1%, IF(C98&gt;6,H97*1%, 0)),0))</f>
        <v/>
      </c>
      <c r="L98" s="94"/>
      <c r="M98" s="90" t="str">
        <f t="shared" si="16"/>
        <v/>
      </c>
      <c r="N98" s="67" t="str">
        <f>IF(C98="", "", MAX(I98-SUM(L$17:L97), 0))</f>
        <v/>
      </c>
      <c r="O98" s="37" t="str">
        <f t="shared" si="21"/>
        <v/>
      </c>
      <c r="P98" s="35" t="str">
        <f ca="1">IF($C98="", "", IF(O98&lt;=0, 0, MAX(VLOOKUP($D98-1, $R$4:$S$7, 2)*$N98-O98, 0)*OFFSET(鑫意锁风险保险费!$B$5, $D98-1, IF($D$3="男", 1, 2))/1000))</f>
        <v/>
      </c>
      <c r="Q98" s="36" t="str">
        <f t="shared" si="22"/>
        <v/>
      </c>
      <c r="R98" s="35" t="str">
        <f t="shared" si="17"/>
        <v/>
      </c>
      <c r="S98" s="31" t="str">
        <f t="shared" si="23"/>
        <v/>
      </c>
      <c r="T98" s="37" t="str">
        <f t="shared" si="24"/>
        <v/>
      </c>
      <c r="U98" s="35" t="str">
        <f ca="1">IF($C98="", "", IF(T98&lt;=0, 0, MAX(VLOOKUP($D98-1, $R$4:$S$7, 2)*$N98-T98, 0)*OFFSET(鑫意锁风险保险费!$B$5, $D98-1, IF($D$3="男", 1, 2))/1000))</f>
        <v/>
      </c>
      <c r="V98" s="36" t="str">
        <f t="shared" si="25"/>
        <v/>
      </c>
      <c r="W98" s="35" t="str">
        <f t="shared" si="18"/>
        <v/>
      </c>
      <c r="X98" s="31" t="str">
        <f t="shared" si="26"/>
        <v/>
      </c>
    </row>
    <row r="99" spans="2:24" x14ac:dyDescent="0.3">
      <c r="B99" s="55"/>
      <c r="C99" s="29" t="str">
        <f t="shared" si="27"/>
        <v/>
      </c>
      <c r="D99" s="57" t="str">
        <f t="shared" si="28"/>
        <v/>
      </c>
      <c r="E99" s="37" t="str">
        <f t="shared" si="19"/>
        <v/>
      </c>
      <c r="F99" s="85"/>
      <c r="G99" s="85"/>
      <c r="H99" s="90" t="str">
        <f ca="1">IF(C99="", "", IF(AND(C99&gt;=6, D99&lt;=60), OFFSET(利益演示!$G$16, C99-1, 0), IF(D99&gt;60, OFFSET(利益演示!$H$16, C99-1, 0), 0)))</f>
        <v/>
      </c>
      <c r="I99" s="65" t="str">
        <f>IF(C99="", "", SUM($E$18:H99))</f>
        <v/>
      </c>
      <c r="J99" s="59" t="str">
        <f t="shared" si="20"/>
        <v/>
      </c>
      <c r="K99" s="90" t="str">
        <f ca="1">IF(C99="", "", ROUND(IF(C99=6, SUM(OFFSET(H98, -4, 0):H98)*1%, IF(C99&gt;6,H98*1%, 0)),0))</f>
        <v/>
      </c>
      <c r="L99" s="94"/>
      <c r="M99" s="90" t="str">
        <f t="shared" si="16"/>
        <v/>
      </c>
      <c r="N99" s="67" t="str">
        <f>IF(C99="", "", MAX(I99-SUM(L$17:L98), 0))</f>
        <v/>
      </c>
      <c r="O99" s="37" t="str">
        <f t="shared" si="21"/>
        <v/>
      </c>
      <c r="P99" s="35" t="str">
        <f ca="1">IF($C99="", "", IF(O99&lt;=0, 0, MAX(VLOOKUP($D99-1, $R$4:$S$7, 2)*$N99-O99, 0)*OFFSET(鑫意锁风险保险费!$B$5, $D99-1, IF($D$3="男", 1, 2))/1000))</f>
        <v/>
      </c>
      <c r="Q99" s="36" t="str">
        <f t="shared" si="22"/>
        <v/>
      </c>
      <c r="R99" s="35" t="str">
        <f t="shared" si="17"/>
        <v/>
      </c>
      <c r="S99" s="31" t="str">
        <f t="shared" si="23"/>
        <v/>
      </c>
      <c r="T99" s="37" t="str">
        <f t="shared" si="24"/>
        <v/>
      </c>
      <c r="U99" s="35" t="str">
        <f ca="1">IF($C99="", "", IF(T99&lt;=0, 0, MAX(VLOOKUP($D99-1, $R$4:$S$7, 2)*$N99-T99, 0)*OFFSET(鑫意锁风险保险费!$B$5, $D99-1, IF($D$3="男", 1, 2))/1000))</f>
        <v/>
      </c>
      <c r="V99" s="36" t="str">
        <f t="shared" si="25"/>
        <v/>
      </c>
      <c r="W99" s="35" t="str">
        <f t="shared" si="18"/>
        <v/>
      </c>
      <c r="X99" s="31" t="str">
        <f t="shared" si="26"/>
        <v/>
      </c>
    </row>
    <row r="100" spans="2:24" x14ac:dyDescent="0.3">
      <c r="B100" s="55"/>
      <c r="C100" s="29" t="str">
        <f t="shared" si="27"/>
        <v/>
      </c>
      <c r="D100" s="57" t="str">
        <f t="shared" si="28"/>
        <v/>
      </c>
      <c r="E100" s="37" t="str">
        <f t="shared" si="19"/>
        <v/>
      </c>
      <c r="F100" s="85"/>
      <c r="G100" s="85"/>
      <c r="H100" s="90" t="str">
        <f ca="1">IF(C100="", "", IF(AND(C100&gt;=6, D100&lt;=60), OFFSET(利益演示!$G$16, C100-1, 0), IF(D100&gt;60, OFFSET(利益演示!$H$16, C100-1, 0), 0)))</f>
        <v/>
      </c>
      <c r="I100" s="65" t="str">
        <f>IF(C100="", "", SUM($E$18:H100))</f>
        <v/>
      </c>
      <c r="J100" s="59" t="str">
        <f t="shared" si="20"/>
        <v/>
      </c>
      <c r="K100" s="90" t="str">
        <f ca="1">IF(C100="", "", ROUND(IF(C100=6, SUM(OFFSET(H99, -4, 0):H99)*1%, IF(C100&gt;6,H99*1%, 0)),0))</f>
        <v/>
      </c>
      <c r="L100" s="94"/>
      <c r="M100" s="90" t="str">
        <f t="shared" si="16"/>
        <v/>
      </c>
      <c r="N100" s="67" t="str">
        <f>IF(C100="", "", MAX(I100-SUM(L$17:L99), 0))</f>
        <v/>
      </c>
      <c r="O100" s="37" t="str">
        <f t="shared" si="21"/>
        <v/>
      </c>
      <c r="P100" s="35" t="str">
        <f ca="1">IF($C100="", "", IF(O100&lt;=0, 0, MAX(VLOOKUP($D100-1, $R$4:$S$7, 2)*$N100-O100, 0)*OFFSET(鑫意锁风险保险费!$B$5, $D100-1, IF($D$3="男", 1, 2))/1000))</f>
        <v/>
      </c>
      <c r="Q100" s="36" t="str">
        <f t="shared" si="22"/>
        <v/>
      </c>
      <c r="R100" s="35" t="str">
        <f t="shared" si="17"/>
        <v/>
      </c>
      <c r="S100" s="31" t="str">
        <f t="shared" si="23"/>
        <v/>
      </c>
      <c r="T100" s="37" t="str">
        <f t="shared" si="24"/>
        <v/>
      </c>
      <c r="U100" s="35" t="str">
        <f ca="1">IF($C100="", "", IF(T100&lt;=0, 0, MAX(VLOOKUP($D100-1, $R$4:$S$7, 2)*$N100-T100, 0)*OFFSET(鑫意锁风险保险费!$B$5, $D100-1, IF($D$3="男", 1, 2))/1000))</f>
        <v/>
      </c>
      <c r="V100" s="36" t="str">
        <f t="shared" si="25"/>
        <v/>
      </c>
      <c r="W100" s="35" t="str">
        <f t="shared" si="18"/>
        <v/>
      </c>
      <c r="X100" s="31" t="str">
        <f t="shared" si="26"/>
        <v/>
      </c>
    </row>
    <row r="101" spans="2:24" x14ac:dyDescent="0.3">
      <c r="B101" s="55"/>
      <c r="C101" s="29" t="str">
        <f t="shared" si="27"/>
        <v/>
      </c>
      <c r="D101" s="57" t="str">
        <f t="shared" si="28"/>
        <v/>
      </c>
      <c r="E101" s="37" t="str">
        <f t="shared" si="19"/>
        <v/>
      </c>
      <c r="F101" s="85"/>
      <c r="G101" s="85"/>
      <c r="H101" s="90" t="str">
        <f ca="1">IF(C101="", "", IF(AND(C101&gt;=6, D101&lt;=60), OFFSET(利益演示!$G$16, C101-1, 0), IF(D101&gt;60, OFFSET(利益演示!$H$16, C101-1, 0), 0)))</f>
        <v/>
      </c>
      <c r="I101" s="65" t="str">
        <f>IF(C101="", "", SUM($E$18:H101))</f>
        <v/>
      </c>
      <c r="J101" s="59" t="str">
        <f t="shared" si="20"/>
        <v/>
      </c>
      <c r="K101" s="90" t="str">
        <f ca="1">IF(C101="", "", ROUND(IF(C101=6, SUM(OFFSET(H100, -4, 0):H100)*1%, IF(C101&gt;6,H100*1%, 0)),0))</f>
        <v/>
      </c>
      <c r="L101" s="94"/>
      <c r="M101" s="90" t="str">
        <f t="shared" si="16"/>
        <v/>
      </c>
      <c r="N101" s="67" t="str">
        <f>IF(C101="", "", MAX(I101-SUM(L$17:L100), 0))</f>
        <v/>
      </c>
      <c r="O101" s="37" t="str">
        <f t="shared" si="21"/>
        <v/>
      </c>
      <c r="P101" s="35" t="str">
        <f ca="1">IF($C101="", "", IF(O101&lt;=0, 0, MAX(VLOOKUP($D101-1, $R$4:$S$7, 2)*$N101-O101, 0)*OFFSET(鑫意锁风险保险费!$B$5, $D101-1, IF($D$3="男", 1, 2))/1000))</f>
        <v/>
      </c>
      <c r="Q101" s="36" t="str">
        <f t="shared" si="22"/>
        <v/>
      </c>
      <c r="R101" s="35" t="str">
        <f t="shared" si="17"/>
        <v/>
      </c>
      <c r="S101" s="31" t="str">
        <f t="shared" si="23"/>
        <v/>
      </c>
      <c r="T101" s="37" t="str">
        <f t="shared" si="24"/>
        <v/>
      </c>
      <c r="U101" s="35" t="str">
        <f ca="1">IF($C101="", "", IF(T101&lt;=0, 0, MAX(VLOOKUP($D101-1, $R$4:$S$7, 2)*$N101-T101, 0)*OFFSET(鑫意锁风险保险费!$B$5, $D101-1, IF($D$3="男", 1, 2))/1000))</f>
        <v/>
      </c>
      <c r="V101" s="36" t="str">
        <f t="shared" si="25"/>
        <v/>
      </c>
      <c r="W101" s="35" t="str">
        <f t="shared" si="18"/>
        <v/>
      </c>
      <c r="X101" s="31" t="str">
        <f t="shared" si="26"/>
        <v/>
      </c>
    </row>
    <row r="102" spans="2:24" x14ac:dyDescent="0.3">
      <c r="B102" s="55"/>
      <c r="C102" s="29" t="str">
        <f t="shared" si="27"/>
        <v/>
      </c>
      <c r="D102" s="57" t="str">
        <f t="shared" si="28"/>
        <v/>
      </c>
      <c r="E102" s="37" t="str">
        <f t="shared" si="19"/>
        <v/>
      </c>
      <c r="F102" s="85"/>
      <c r="G102" s="85"/>
      <c r="H102" s="90" t="str">
        <f ca="1">IF(C102="", "", IF(AND(C102&gt;=6, D102&lt;=60), OFFSET(利益演示!$G$16, C102-1, 0), IF(D102&gt;60, OFFSET(利益演示!$H$16, C102-1, 0), 0)))</f>
        <v/>
      </c>
      <c r="I102" s="65" t="str">
        <f>IF(C102="", "", SUM($E$18:H102))</f>
        <v/>
      </c>
      <c r="J102" s="59" t="str">
        <f t="shared" si="20"/>
        <v/>
      </c>
      <c r="K102" s="90" t="str">
        <f ca="1">IF(C102="", "", ROUND(IF(C102=6, SUM(OFFSET(H101, -4, 0):H101)*1%, IF(C102&gt;6,H101*1%, 0)),0))</f>
        <v/>
      </c>
      <c r="L102" s="94"/>
      <c r="M102" s="90" t="str">
        <f t="shared" si="16"/>
        <v/>
      </c>
      <c r="N102" s="67" t="str">
        <f>IF(C102="", "", MAX(I102-SUM(L$17:L101), 0))</f>
        <v/>
      </c>
      <c r="O102" s="37" t="str">
        <f t="shared" si="21"/>
        <v/>
      </c>
      <c r="P102" s="35" t="str">
        <f ca="1">IF($C102="", "", IF(O102&lt;=0, 0, MAX(VLOOKUP($D102-1, $R$4:$S$7, 2)*$N102-O102, 0)*OFFSET(鑫意锁风险保险费!$B$5, $D102-1, IF($D$3="男", 1, 2))/1000))</f>
        <v/>
      </c>
      <c r="Q102" s="36" t="str">
        <f t="shared" si="22"/>
        <v/>
      </c>
      <c r="R102" s="35" t="str">
        <f t="shared" si="17"/>
        <v/>
      </c>
      <c r="S102" s="31" t="str">
        <f t="shared" si="23"/>
        <v/>
      </c>
      <c r="T102" s="37" t="str">
        <f t="shared" si="24"/>
        <v/>
      </c>
      <c r="U102" s="35" t="str">
        <f ca="1">IF($C102="", "", IF(T102&lt;=0, 0, MAX(VLOOKUP($D102-1, $R$4:$S$7, 2)*$N102-T102, 0)*OFFSET(鑫意锁风险保险费!$B$5, $D102-1, IF($D$3="男", 1, 2))/1000))</f>
        <v/>
      </c>
      <c r="V102" s="36" t="str">
        <f t="shared" si="25"/>
        <v/>
      </c>
      <c r="W102" s="35" t="str">
        <f t="shared" si="18"/>
        <v/>
      </c>
      <c r="X102" s="31" t="str">
        <f t="shared" si="26"/>
        <v/>
      </c>
    </row>
    <row r="103" spans="2:24" x14ac:dyDescent="0.3">
      <c r="B103" s="55"/>
      <c r="C103" s="29" t="str">
        <f t="shared" si="27"/>
        <v/>
      </c>
      <c r="D103" s="57" t="str">
        <f t="shared" si="28"/>
        <v/>
      </c>
      <c r="E103" s="37" t="str">
        <f t="shared" si="19"/>
        <v/>
      </c>
      <c r="F103" s="85"/>
      <c r="G103" s="85"/>
      <c r="H103" s="90" t="str">
        <f ca="1">IF(C103="", "", IF(AND(C103&gt;=6, D103&lt;=60), OFFSET(利益演示!$G$16, C103-1, 0), IF(D103&gt;60, OFFSET(利益演示!$H$16, C103-1, 0), 0)))</f>
        <v/>
      </c>
      <c r="I103" s="65" t="str">
        <f>IF(C103="", "", SUM($E$18:H103))</f>
        <v/>
      </c>
      <c r="J103" s="59" t="str">
        <f t="shared" si="20"/>
        <v/>
      </c>
      <c r="K103" s="90" t="str">
        <f ca="1">IF(C103="", "", ROUND(IF(C103=6, SUM(OFFSET(H102, -4, 0):H102)*1%, IF(C103&gt;6,H102*1%, 0)),0))</f>
        <v/>
      </c>
      <c r="L103" s="94"/>
      <c r="M103" s="90" t="str">
        <f t="shared" si="16"/>
        <v/>
      </c>
      <c r="N103" s="67" t="str">
        <f>IF(C103="", "", MAX(I103-SUM(L$17:L102), 0))</f>
        <v/>
      </c>
      <c r="O103" s="37" t="str">
        <f t="shared" si="21"/>
        <v/>
      </c>
      <c r="P103" s="35" t="str">
        <f ca="1">IF($C103="", "", IF(O103&lt;=0, 0, MAX(VLOOKUP($D103-1, $R$4:$S$7, 2)*$N103-O103, 0)*OFFSET(鑫意锁风险保险费!$B$5, $D103-1, IF($D$3="男", 1, 2))/1000))</f>
        <v/>
      </c>
      <c r="Q103" s="36" t="str">
        <f t="shared" si="22"/>
        <v/>
      </c>
      <c r="R103" s="35" t="str">
        <f t="shared" si="17"/>
        <v/>
      </c>
      <c r="S103" s="31" t="str">
        <f t="shared" si="23"/>
        <v/>
      </c>
      <c r="T103" s="37" t="str">
        <f t="shared" si="24"/>
        <v/>
      </c>
      <c r="U103" s="35" t="str">
        <f ca="1">IF($C103="", "", IF(T103&lt;=0, 0, MAX(VLOOKUP($D103-1, $R$4:$S$7, 2)*$N103-T103, 0)*OFFSET(鑫意锁风险保险费!$B$5, $D103-1, IF($D$3="男", 1, 2))/1000))</f>
        <v/>
      </c>
      <c r="V103" s="36" t="str">
        <f t="shared" si="25"/>
        <v/>
      </c>
      <c r="W103" s="35" t="str">
        <f t="shared" si="18"/>
        <v/>
      </c>
      <c r="X103" s="31" t="str">
        <f t="shared" si="26"/>
        <v/>
      </c>
    </row>
    <row r="104" spans="2:24" x14ac:dyDescent="0.3">
      <c r="B104" s="55"/>
      <c r="C104" s="29" t="str">
        <f t="shared" si="27"/>
        <v/>
      </c>
      <c r="D104" s="57" t="str">
        <f t="shared" si="28"/>
        <v/>
      </c>
      <c r="E104" s="37" t="str">
        <f t="shared" si="19"/>
        <v/>
      </c>
      <c r="F104" s="85"/>
      <c r="G104" s="85"/>
      <c r="H104" s="90" t="str">
        <f ca="1">IF(C104="", "", IF(AND(C104&gt;=6, D104&lt;=60), OFFSET(利益演示!$G$16, C104-1, 0), IF(D104&gt;60, OFFSET(利益演示!$H$16, C104-1, 0), 0)))</f>
        <v/>
      </c>
      <c r="I104" s="65" t="str">
        <f>IF(C104="", "", SUM($E$18:H104))</f>
        <v/>
      </c>
      <c r="J104" s="59" t="str">
        <f t="shared" si="20"/>
        <v/>
      </c>
      <c r="K104" s="90" t="str">
        <f ca="1">IF(C104="", "", ROUND(IF(C104=6, SUM(OFFSET(H103, -4, 0):H103)*1%, IF(C104&gt;6,H103*1%, 0)),0))</f>
        <v/>
      </c>
      <c r="L104" s="94"/>
      <c r="M104" s="90" t="str">
        <f t="shared" si="16"/>
        <v/>
      </c>
      <c r="N104" s="67" t="str">
        <f>IF(C104="", "", MAX(I104-SUM(L$17:L103), 0))</f>
        <v/>
      </c>
      <c r="O104" s="37" t="str">
        <f t="shared" si="21"/>
        <v/>
      </c>
      <c r="P104" s="35" t="str">
        <f ca="1">IF($C104="", "", IF(O104&lt;=0, 0, MAX(VLOOKUP($D104-1, $R$4:$S$7, 2)*$N104-O104, 0)*OFFSET(鑫意锁风险保险费!$B$5, $D104-1, IF($D$3="男", 1, 2))/1000))</f>
        <v/>
      </c>
      <c r="Q104" s="36" t="str">
        <f t="shared" si="22"/>
        <v/>
      </c>
      <c r="R104" s="35" t="str">
        <f t="shared" si="17"/>
        <v/>
      </c>
      <c r="S104" s="31" t="str">
        <f t="shared" si="23"/>
        <v/>
      </c>
      <c r="T104" s="37" t="str">
        <f t="shared" si="24"/>
        <v/>
      </c>
      <c r="U104" s="35" t="str">
        <f ca="1">IF($C104="", "", IF(T104&lt;=0, 0, MAX(VLOOKUP($D104-1, $R$4:$S$7, 2)*$N104-T104, 0)*OFFSET(鑫意锁风险保险费!$B$5, $D104-1, IF($D$3="男", 1, 2))/1000))</f>
        <v/>
      </c>
      <c r="V104" s="36" t="str">
        <f t="shared" si="25"/>
        <v/>
      </c>
      <c r="W104" s="35" t="str">
        <f t="shared" si="18"/>
        <v/>
      </c>
      <c r="X104" s="31" t="str">
        <f t="shared" si="26"/>
        <v/>
      </c>
    </row>
    <row r="105" spans="2:24" x14ac:dyDescent="0.3">
      <c r="B105" s="55"/>
      <c r="C105" s="29" t="str">
        <f t="shared" si="27"/>
        <v/>
      </c>
      <c r="D105" s="57" t="str">
        <f t="shared" si="28"/>
        <v/>
      </c>
      <c r="E105" s="37" t="str">
        <f t="shared" si="19"/>
        <v/>
      </c>
      <c r="F105" s="85"/>
      <c r="G105" s="85"/>
      <c r="H105" s="90" t="str">
        <f ca="1">IF(C105="", "", IF(AND(C105&gt;=6, D105&lt;=60), OFFSET(利益演示!$G$16, C105-1, 0), IF(D105&gt;60, OFFSET(利益演示!$H$16, C105-1, 0), 0)))</f>
        <v/>
      </c>
      <c r="I105" s="65" t="str">
        <f>IF(C105="", "", SUM($E$18:H105))</f>
        <v/>
      </c>
      <c r="J105" s="59" t="str">
        <f t="shared" si="20"/>
        <v/>
      </c>
      <c r="K105" s="90" t="str">
        <f ca="1">IF(C105="", "", ROUND(IF(C105=6, SUM(OFFSET(H104, -4, 0):H104)*1%, IF(C105&gt;6,H104*1%, 0)),0))</f>
        <v/>
      </c>
      <c r="L105" s="94"/>
      <c r="M105" s="90" t="str">
        <f t="shared" si="16"/>
        <v/>
      </c>
      <c r="N105" s="67" t="str">
        <f>IF(C105="", "", MAX(I105-SUM(L$17:L104), 0))</f>
        <v/>
      </c>
      <c r="O105" s="37" t="str">
        <f t="shared" si="21"/>
        <v/>
      </c>
      <c r="P105" s="35" t="str">
        <f ca="1">IF($C105="", "", IF(O105&lt;=0, 0, MAX(VLOOKUP($D105-1, $R$4:$S$7, 2)*$N105-O105, 0)*OFFSET(鑫意锁风险保险费!$B$5, $D105-1, IF($D$3="男", 1, 2))/1000))</f>
        <v/>
      </c>
      <c r="Q105" s="36" t="str">
        <f t="shared" si="22"/>
        <v/>
      </c>
      <c r="R105" s="35" t="str">
        <f t="shared" si="17"/>
        <v/>
      </c>
      <c r="S105" s="31" t="str">
        <f t="shared" si="23"/>
        <v/>
      </c>
      <c r="T105" s="37" t="str">
        <f t="shared" si="24"/>
        <v/>
      </c>
      <c r="U105" s="35" t="str">
        <f ca="1">IF($C105="", "", IF(T105&lt;=0, 0, MAX(VLOOKUP($D105-1, $R$4:$S$7, 2)*$N105-T105, 0)*OFFSET(鑫意锁风险保险费!$B$5, $D105-1, IF($D$3="男", 1, 2))/1000))</f>
        <v/>
      </c>
      <c r="V105" s="36" t="str">
        <f t="shared" si="25"/>
        <v/>
      </c>
      <c r="W105" s="35" t="str">
        <f t="shared" si="18"/>
        <v/>
      </c>
      <c r="X105" s="31" t="str">
        <f t="shared" si="26"/>
        <v/>
      </c>
    </row>
    <row r="106" spans="2:24" x14ac:dyDescent="0.3">
      <c r="B106" s="55"/>
      <c r="C106" s="29" t="str">
        <f t="shared" si="27"/>
        <v/>
      </c>
      <c r="D106" s="57" t="str">
        <f t="shared" si="28"/>
        <v/>
      </c>
      <c r="E106" s="37" t="str">
        <f t="shared" si="19"/>
        <v/>
      </c>
      <c r="F106" s="85"/>
      <c r="G106" s="85"/>
      <c r="H106" s="90" t="str">
        <f ca="1">IF(C106="", "", IF(AND(C106&gt;=6, D106&lt;=60), OFFSET(利益演示!$G$16, C106-1, 0), IF(D106&gt;60, OFFSET(利益演示!$H$16, C106-1, 0), 0)))</f>
        <v/>
      </c>
      <c r="I106" s="65" t="str">
        <f>IF(C106="", "", SUM($E$18:H106))</f>
        <v/>
      </c>
      <c r="J106" s="59" t="str">
        <f t="shared" si="20"/>
        <v/>
      </c>
      <c r="K106" s="90" t="str">
        <f ca="1">IF(C106="", "", ROUND(IF(C106=6, SUM(OFFSET(H105, -4, 0):H105)*1%, IF(C106&gt;6,H105*1%, 0)),0))</f>
        <v/>
      </c>
      <c r="L106" s="94"/>
      <c r="M106" s="90" t="str">
        <f t="shared" si="16"/>
        <v/>
      </c>
      <c r="N106" s="67" t="str">
        <f>IF(C106="", "", MAX(I106-SUM(L$17:L105), 0))</f>
        <v/>
      </c>
      <c r="O106" s="37" t="str">
        <f t="shared" si="21"/>
        <v/>
      </c>
      <c r="P106" s="35" t="str">
        <f ca="1">IF($C106="", "", IF(O106&lt;=0, 0, MAX(VLOOKUP($D106-1, $R$4:$S$7, 2)*$N106-O106, 0)*OFFSET(鑫意锁风险保险费!$B$5, $D106-1, IF($D$3="男", 1, 2))/1000))</f>
        <v/>
      </c>
      <c r="Q106" s="36" t="str">
        <f t="shared" si="22"/>
        <v/>
      </c>
      <c r="R106" s="35" t="str">
        <f t="shared" si="17"/>
        <v/>
      </c>
      <c r="S106" s="31" t="str">
        <f t="shared" si="23"/>
        <v/>
      </c>
      <c r="T106" s="37" t="str">
        <f t="shared" si="24"/>
        <v/>
      </c>
      <c r="U106" s="35" t="str">
        <f ca="1">IF($C106="", "", IF(T106&lt;=0, 0, MAX(VLOOKUP($D106-1, $R$4:$S$7, 2)*$N106-T106, 0)*OFFSET(鑫意锁风险保险费!$B$5, $D106-1, IF($D$3="男", 1, 2))/1000))</f>
        <v/>
      </c>
      <c r="V106" s="36" t="str">
        <f t="shared" si="25"/>
        <v/>
      </c>
      <c r="W106" s="35" t="str">
        <f t="shared" si="18"/>
        <v/>
      </c>
      <c r="X106" s="31" t="str">
        <f t="shared" si="26"/>
        <v/>
      </c>
    </row>
    <row r="107" spans="2:24" x14ac:dyDescent="0.3">
      <c r="B107" s="55"/>
      <c r="C107" s="29" t="str">
        <f t="shared" si="27"/>
        <v/>
      </c>
      <c r="D107" s="57" t="str">
        <f t="shared" si="28"/>
        <v/>
      </c>
      <c r="E107" s="37" t="str">
        <f t="shared" si="19"/>
        <v/>
      </c>
      <c r="F107" s="85"/>
      <c r="G107" s="85"/>
      <c r="H107" s="90" t="str">
        <f ca="1">IF(C107="", "", IF(AND(C107&gt;=6, D107&lt;=60), OFFSET(利益演示!$G$16, C107-1, 0), IF(D107&gt;60, OFFSET(利益演示!$H$16, C107-1, 0), 0)))</f>
        <v/>
      </c>
      <c r="I107" s="65" t="str">
        <f>IF(C107="", "", SUM($E$18:H107))</f>
        <v/>
      </c>
      <c r="J107" s="59" t="str">
        <f t="shared" si="20"/>
        <v/>
      </c>
      <c r="K107" s="90" t="str">
        <f ca="1">IF(C107="", "", ROUND(IF(C107=6, SUM(OFFSET(H106, -4, 0):H106)*1%, IF(C107&gt;6,H106*1%, 0)),0))</f>
        <v/>
      </c>
      <c r="L107" s="94"/>
      <c r="M107" s="90" t="str">
        <f t="shared" si="16"/>
        <v/>
      </c>
      <c r="N107" s="67" t="str">
        <f>IF(C107="", "", MAX(I107-SUM(L$17:L106), 0))</f>
        <v/>
      </c>
      <c r="O107" s="37" t="str">
        <f t="shared" si="21"/>
        <v/>
      </c>
      <c r="P107" s="35" t="str">
        <f ca="1">IF($C107="", "", IF(O107&lt;=0, 0, MAX(VLOOKUP($D107-1, $R$4:$S$7, 2)*$N107-O107, 0)*OFFSET(鑫意锁风险保险费!$B$5, $D107-1, IF($D$3="男", 1, 2))/1000))</f>
        <v/>
      </c>
      <c r="Q107" s="36" t="str">
        <f t="shared" si="22"/>
        <v/>
      </c>
      <c r="R107" s="35" t="str">
        <f t="shared" si="17"/>
        <v/>
      </c>
      <c r="S107" s="31" t="str">
        <f t="shared" si="23"/>
        <v/>
      </c>
      <c r="T107" s="37" t="str">
        <f t="shared" si="24"/>
        <v/>
      </c>
      <c r="U107" s="35" t="str">
        <f ca="1">IF($C107="", "", IF(T107&lt;=0, 0, MAX(VLOOKUP($D107-1, $R$4:$S$7, 2)*$N107-T107, 0)*OFFSET(鑫意锁风险保险费!$B$5, $D107-1, IF($D$3="男", 1, 2))/1000))</f>
        <v/>
      </c>
      <c r="V107" s="36" t="str">
        <f t="shared" si="25"/>
        <v/>
      </c>
      <c r="W107" s="35" t="str">
        <f t="shared" si="18"/>
        <v/>
      </c>
      <c r="X107" s="31" t="str">
        <f t="shared" si="26"/>
        <v/>
      </c>
    </row>
    <row r="108" spans="2:24" x14ac:dyDescent="0.3">
      <c r="B108" s="55"/>
      <c r="C108" s="29" t="str">
        <f t="shared" si="27"/>
        <v/>
      </c>
      <c r="D108" s="57" t="str">
        <f t="shared" si="28"/>
        <v/>
      </c>
      <c r="E108" s="37" t="str">
        <f t="shared" si="19"/>
        <v/>
      </c>
      <c r="F108" s="85"/>
      <c r="G108" s="85"/>
      <c r="H108" s="90" t="str">
        <f ca="1">IF(C108="", "", IF(AND(C108&gt;=6, D108&lt;=60), OFFSET(利益演示!$G$16, C108-1, 0), IF(D108&gt;60, OFFSET(利益演示!$H$16, C108-1, 0), 0)))</f>
        <v/>
      </c>
      <c r="I108" s="65" t="str">
        <f>IF(C108="", "", SUM($E$18:H108))</f>
        <v/>
      </c>
      <c r="J108" s="59" t="str">
        <f t="shared" si="20"/>
        <v/>
      </c>
      <c r="K108" s="90" t="str">
        <f ca="1">IF(C108="", "", ROUND(IF(C108=6, SUM(OFFSET(H107, -4, 0):H107)*1%, IF(C108&gt;6,H107*1%, 0)),0))</f>
        <v/>
      </c>
      <c r="L108" s="94"/>
      <c r="M108" s="90" t="str">
        <f t="shared" si="16"/>
        <v/>
      </c>
      <c r="N108" s="67" t="str">
        <f>IF(C108="", "", MAX(I108-SUM(L$17:L107), 0))</f>
        <v/>
      </c>
      <c r="O108" s="37" t="str">
        <f t="shared" si="21"/>
        <v/>
      </c>
      <c r="P108" s="35" t="str">
        <f ca="1">IF($C108="", "", IF(O108&lt;=0, 0, MAX(VLOOKUP($D108-1, $R$4:$S$7, 2)*$N108-O108, 0)*OFFSET(鑫意锁风险保险费!$B$5, $D108-1, IF($D$3="男", 1, 2))/1000))</f>
        <v/>
      </c>
      <c r="Q108" s="36" t="str">
        <f t="shared" si="22"/>
        <v/>
      </c>
      <c r="R108" s="35" t="str">
        <f t="shared" si="17"/>
        <v/>
      </c>
      <c r="S108" s="31" t="str">
        <f t="shared" si="23"/>
        <v/>
      </c>
      <c r="T108" s="37" t="str">
        <f t="shared" si="24"/>
        <v/>
      </c>
      <c r="U108" s="35" t="str">
        <f ca="1">IF($C108="", "", IF(T108&lt;=0, 0, MAX(VLOOKUP($D108-1, $R$4:$S$7, 2)*$N108-T108, 0)*OFFSET(鑫意锁风险保险费!$B$5, $D108-1, IF($D$3="男", 1, 2))/1000))</f>
        <v/>
      </c>
      <c r="V108" s="36" t="str">
        <f t="shared" si="25"/>
        <v/>
      </c>
      <c r="W108" s="35" t="str">
        <f t="shared" si="18"/>
        <v/>
      </c>
      <c r="X108" s="31" t="str">
        <f t="shared" si="26"/>
        <v/>
      </c>
    </row>
    <row r="109" spans="2:24" x14ac:dyDescent="0.3">
      <c r="B109" s="55"/>
      <c r="C109" s="29" t="str">
        <f t="shared" si="27"/>
        <v/>
      </c>
      <c r="D109" s="57" t="str">
        <f t="shared" si="28"/>
        <v/>
      </c>
      <c r="E109" s="37" t="str">
        <f t="shared" si="19"/>
        <v/>
      </c>
      <c r="F109" s="85"/>
      <c r="G109" s="85"/>
      <c r="H109" s="90" t="str">
        <f ca="1">IF(C109="", "", IF(AND(C109&gt;=6, D109&lt;=60), OFFSET(利益演示!$G$16, C109-1, 0), IF(D109&gt;60, OFFSET(利益演示!$H$16, C109-1, 0), 0)))</f>
        <v/>
      </c>
      <c r="I109" s="65" t="str">
        <f>IF(C109="", "", SUM($E$18:H109))</f>
        <v/>
      </c>
      <c r="J109" s="59" t="str">
        <f t="shared" si="20"/>
        <v/>
      </c>
      <c r="K109" s="90" t="str">
        <f ca="1">IF(C109="", "", ROUND(IF(C109=6, SUM(OFFSET(H108, -4, 0):H108)*1%, IF(C109&gt;6,H108*1%, 0)),0))</f>
        <v/>
      </c>
      <c r="L109" s="94"/>
      <c r="M109" s="90" t="str">
        <f t="shared" si="16"/>
        <v/>
      </c>
      <c r="N109" s="67" t="str">
        <f>IF(C109="", "", MAX(I109-SUM(L$17:L108), 0))</f>
        <v/>
      </c>
      <c r="O109" s="37" t="str">
        <f t="shared" si="21"/>
        <v/>
      </c>
      <c r="P109" s="35" t="str">
        <f ca="1">IF($C109="", "", IF(O109&lt;=0, 0, MAX(VLOOKUP($D109-1, $R$4:$S$7, 2)*$N109-O109, 0)*OFFSET(鑫意锁风险保险费!$B$5, $D109-1, IF($D$3="男", 1, 2))/1000))</f>
        <v/>
      </c>
      <c r="Q109" s="36" t="str">
        <f t="shared" si="22"/>
        <v/>
      </c>
      <c r="R109" s="35" t="str">
        <f t="shared" si="17"/>
        <v/>
      </c>
      <c r="S109" s="31" t="str">
        <f t="shared" si="23"/>
        <v/>
      </c>
      <c r="T109" s="37" t="str">
        <f t="shared" si="24"/>
        <v/>
      </c>
      <c r="U109" s="35" t="str">
        <f ca="1">IF($C109="", "", IF(T109&lt;=0, 0, MAX(VLOOKUP($D109-1, $R$4:$S$7, 2)*$N109-T109, 0)*OFFSET(鑫意锁风险保险费!$B$5, $D109-1, IF($D$3="男", 1, 2))/1000))</f>
        <v/>
      </c>
      <c r="V109" s="36" t="str">
        <f t="shared" si="25"/>
        <v/>
      </c>
      <c r="W109" s="35" t="str">
        <f t="shared" si="18"/>
        <v/>
      </c>
      <c r="X109" s="31" t="str">
        <f t="shared" si="26"/>
        <v/>
      </c>
    </row>
    <row r="110" spans="2:24" x14ac:dyDescent="0.3">
      <c r="B110" s="55"/>
      <c r="C110" s="29" t="str">
        <f t="shared" si="27"/>
        <v/>
      </c>
      <c r="D110" s="57" t="str">
        <f t="shared" si="28"/>
        <v/>
      </c>
      <c r="E110" s="37" t="str">
        <f t="shared" si="19"/>
        <v/>
      </c>
      <c r="F110" s="85"/>
      <c r="G110" s="85"/>
      <c r="H110" s="90" t="str">
        <f ca="1">IF(C110="", "", IF(AND(C110&gt;=6, D110&lt;=60), OFFSET(利益演示!$G$16, C110-1, 0), IF(D110&gt;60, OFFSET(利益演示!$H$16, C110-1, 0), 0)))</f>
        <v/>
      </c>
      <c r="I110" s="65" t="str">
        <f>IF(C110="", "", SUM($E$18:H110))</f>
        <v/>
      </c>
      <c r="J110" s="59" t="str">
        <f t="shared" si="20"/>
        <v/>
      </c>
      <c r="K110" s="90" t="str">
        <f ca="1">IF(C110="", "", ROUND(IF(C110=6, SUM(OFFSET(H109, -4, 0):H109)*1%, IF(C110&gt;6,H109*1%, 0)),0))</f>
        <v/>
      </c>
      <c r="L110" s="94"/>
      <c r="M110" s="90" t="str">
        <f t="shared" si="16"/>
        <v/>
      </c>
      <c r="N110" s="67" t="str">
        <f>IF(C110="", "", MAX(I110-SUM(L$17:L109), 0))</f>
        <v/>
      </c>
      <c r="O110" s="37" t="str">
        <f t="shared" si="21"/>
        <v/>
      </c>
      <c r="P110" s="35" t="str">
        <f ca="1">IF($C110="", "", IF(O110&lt;=0, 0, MAX(VLOOKUP($D110-1, $R$4:$S$7, 2)*$N110-O110, 0)*OFFSET(鑫意锁风险保险费!$B$5, $D110-1, IF($D$3="男", 1, 2))/1000))</f>
        <v/>
      </c>
      <c r="Q110" s="36" t="str">
        <f t="shared" si="22"/>
        <v/>
      </c>
      <c r="R110" s="35" t="str">
        <f t="shared" si="17"/>
        <v/>
      </c>
      <c r="S110" s="31" t="str">
        <f t="shared" si="23"/>
        <v/>
      </c>
      <c r="T110" s="37" t="str">
        <f t="shared" si="24"/>
        <v/>
      </c>
      <c r="U110" s="35" t="str">
        <f ca="1">IF($C110="", "", IF(T110&lt;=0, 0, MAX(VLOOKUP($D110-1, $R$4:$S$7, 2)*$N110-T110, 0)*OFFSET(鑫意锁风险保险费!$B$5, $D110-1, IF($D$3="男", 1, 2))/1000))</f>
        <v/>
      </c>
      <c r="V110" s="36" t="str">
        <f t="shared" si="25"/>
        <v/>
      </c>
      <c r="W110" s="35" t="str">
        <f t="shared" si="18"/>
        <v/>
      </c>
      <c r="X110" s="31" t="str">
        <f t="shared" si="26"/>
        <v/>
      </c>
    </row>
    <row r="111" spans="2:24" x14ac:dyDescent="0.3">
      <c r="B111" s="55"/>
      <c r="C111" s="29" t="str">
        <f t="shared" si="27"/>
        <v/>
      </c>
      <c r="D111" s="57" t="str">
        <f t="shared" si="28"/>
        <v/>
      </c>
      <c r="E111" s="37" t="str">
        <f t="shared" si="19"/>
        <v/>
      </c>
      <c r="F111" s="85"/>
      <c r="G111" s="85"/>
      <c r="H111" s="90" t="str">
        <f ca="1">IF(C111="", "", IF(AND(C111&gt;=6, D111&lt;=60), OFFSET(利益演示!$G$16, C111-1, 0), IF(D111&gt;60, OFFSET(利益演示!$H$16, C111-1, 0), 0)))</f>
        <v/>
      </c>
      <c r="I111" s="65" t="str">
        <f>IF(C111="", "", SUM($E$18:H111))</f>
        <v/>
      </c>
      <c r="J111" s="59" t="str">
        <f t="shared" si="20"/>
        <v/>
      </c>
      <c r="K111" s="90" t="str">
        <f ca="1">IF(C111="", "", ROUND(IF(C111=6, SUM(OFFSET(H110, -4, 0):H110)*1%, IF(C111&gt;6,H110*1%, 0)),0))</f>
        <v/>
      </c>
      <c r="L111" s="94"/>
      <c r="M111" s="90" t="str">
        <f t="shared" si="16"/>
        <v/>
      </c>
      <c r="N111" s="67" t="str">
        <f>IF(C111="", "", MAX(I111-SUM(L$17:L110), 0))</f>
        <v/>
      </c>
      <c r="O111" s="37" t="str">
        <f t="shared" si="21"/>
        <v/>
      </c>
      <c r="P111" s="35" t="str">
        <f ca="1">IF($C111="", "", IF(O111&lt;=0, 0, MAX(VLOOKUP($D111-1, $R$4:$S$7, 2)*$N111-O111, 0)*OFFSET(鑫意锁风险保险费!$B$5, $D111-1, IF($D$3="男", 1, 2))/1000))</f>
        <v/>
      </c>
      <c r="Q111" s="36" t="str">
        <f t="shared" si="22"/>
        <v/>
      </c>
      <c r="R111" s="35" t="str">
        <f t="shared" si="17"/>
        <v/>
      </c>
      <c r="S111" s="31" t="str">
        <f t="shared" si="23"/>
        <v/>
      </c>
      <c r="T111" s="37" t="str">
        <f t="shared" si="24"/>
        <v/>
      </c>
      <c r="U111" s="35" t="str">
        <f ca="1">IF($C111="", "", IF(T111&lt;=0, 0, MAX(VLOOKUP($D111-1, $R$4:$S$7, 2)*$N111-T111, 0)*OFFSET(鑫意锁风险保险费!$B$5, $D111-1, IF($D$3="男", 1, 2))/1000))</f>
        <v/>
      </c>
      <c r="V111" s="36" t="str">
        <f t="shared" si="25"/>
        <v/>
      </c>
      <c r="W111" s="35" t="str">
        <f t="shared" si="18"/>
        <v/>
      </c>
      <c r="X111" s="31" t="str">
        <f t="shared" si="26"/>
        <v/>
      </c>
    </row>
    <row r="112" spans="2:24" x14ac:dyDescent="0.3">
      <c r="B112" s="55"/>
      <c r="C112" s="29" t="str">
        <f t="shared" si="27"/>
        <v/>
      </c>
      <c r="D112" s="57" t="str">
        <f t="shared" si="28"/>
        <v/>
      </c>
      <c r="E112" s="37" t="str">
        <f t="shared" si="19"/>
        <v/>
      </c>
      <c r="F112" s="85"/>
      <c r="G112" s="85"/>
      <c r="H112" s="90" t="str">
        <f ca="1">IF(C112="", "", IF(AND(C112&gt;=6, D112&lt;=60), OFFSET(利益演示!$G$16, C112-1, 0), IF(D112&gt;60, OFFSET(利益演示!$H$16, C112-1, 0), 0)))</f>
        <v/>
      </c>
      <c r="I112" s="65" t="str">
        <f>IF(C112="", "", SUM($E$18:H112))</f>
        <v/>
      </c>
      <c r="J112" s="59" t="str">
        <f t="shared" si="20"/>
        <v/>
      </c>
      <c r="K112" s="90" t="str">
        <f ca="1">IF(C112="", "", ROUND(IF(C112=6, SUM(OFFSET(H111, -4, 0):H111)*1%, IF(C112&gt;6,H111*1%, 0)),0))</f>
        <v/>
      </c>
      <c r="L112" s="94"/>
      <c r="M112" s="90" t="str">
        <f t="shared" si="16"/>
        <v/>
      </c>
      <c r="N112" s="67" t="str">
        <f>IF(C112="", "", MAX(I112-SUM(L$17:L111), 0))</f>
        <v/>
      </c>
      <c r="O112" s="37" t="str">
        <f t="shared" si="21"/>
        <v/>
      </c>
      <c r="P112" s="35" t="str">
        <f ca="1">IF($C112="", "", IF(O112&lt;=0, 0, MAX(VLOOKUP($D112-1, $R$4:$S$7, 2)*$N112-O112, 0)*OFFSET(鑫意锁风险保险费!$B$5, $D112-1, IF($D$3="男", 1, 2))/1000))</f>
        <v/>
      </c>
      <c r="Q112" s="36" t="str">
        <f t="shared" si="22"/>
        <v/>
      </c>
      <c r="R112" s="35" t="str">
        <f t="shared" si="17"/>
        <v/>
      </c>
      <c r="S112" s="31" t="str">
        <f t="shared" si="23"/>
        <v/>
      </c>
      <c r="T112" s="37" t="str">
        <f t="shared" si="24"/>
        <v/>
      </c>
      <c r="U112" s="35" t="str">
        <f ca="1">IF($C112="", "", IF(T112&lt;=0, 0, MAX(VLOOKUP($D112-1, $R$4:$S$7, 2)*$N112-T112, 0)*OFFSET(鑫意锁风险保险费!$B$5, $D112-1, IF($D$3="男", 1, 2))/1000))</f>
        <v/>
      </c>
      <c r="V112" s="36" t="str">
        <f t="shared" si="25"/>
        <v/>
      </c>
      <c r="W112" s="35" t="str">
        <f t="shared" si="18"/>
        <v/>
      </c>
      <c r="X112" s="31" t="str">
        <f t="shared" si="26"/>
        <v/>
      </c>
    </row>
    <row r="113" spans="2:24" x14ac:dyDescent="0.3">
      <c r="B113" s="55"/>
      <c r="C113" s="29" t="str">
        <f t="shared" si="27"/>
        <v/>
      </c>
      <c r="D113" s="57" t="str">
        <f t="shared" si="28"/>
        <v/>
      </c>
      <c r="E113" s="37" t="str">
        <f t="shared" si="19"/>
        <v/>
      </c>
      <c r="F113" s="85"/>
      <c r="G113" s="85"/>
      <c r="H113" s="90" t="str">
        <f ca="1">IF(C113="", "", IF(AND(C113&gt;=6, D113&lt;=60), OFFSET(利益演示!$G$16, C113-1, 0), IF(D113&gt;60, OFFSET(利益演示!$H$16, C113-1, 0), 0)))</f>
        <v/>
      </c>
      <c r="I113" s="65" t="str">
        <f>IF(C113="", "", SUM($E$18:H113))</f>
        <v/>
      </c>
      <c r="J113" s="59" t="str">
        <f t="shared" si="20"/>
        <v/>
      </c>
      <c r="K113" s="90" t="str">
        <f ca="1">IF(C113="", "", ROUND(IF(C113=6, SUM(OFFSET(H112, -4, 0):H112)*1%, IF(C113&gt;6,H112*1%, 0)),0))</f>
        <v/>
      </c>
      <c r="L113" s="94"/>
      <c r="M113" s="90" t="str">
        <f t="shared" si="16"/>
        <v/>
      </c>
      <c r="N113" s="67" t="str">
        <f>IF(C113="", "", MAX(I113-SUM(L$17:L112), 0))</f>
        <v/>
      </c>
      <c r="O113" s="37" t="str">
        <f t="shared" si="21"/>
        <v/>
      </c>
      <c r="P113" s="35" t="str">
        <f ca="1">IF($C113="", "", IF(O113&lt;=0, 0, MAX(VLOOKUP($D113-1, $R$4:$S$7, 2)*$N113-O113, 0)*OFFSET(鑫意锁风险保险费!$B$5, $D113-1, IF($D$3="男", 1, 2))/1000))</f>
        <v/>
      </c>
      <c r="Q113" s="36" t="str">
        <f t="shared" si="22"/>
        <v/>
      </c>
      <c r="R113" s="35" t="str">
        <f t="shared" si="17"/>
        <v/>
      </c>
      <c r="S113" s="31" t="str">
        <f t="shared" si="23"/>
        <v/>
      </c>
      <c r="T113" s="37" t="str">
        <f t="shared" si="24"/>
        <v/>
      </c>
      <c r="U113" s="35" t="str">
        <f ca="1">IF($C113="", "", IF(T113&lt;=0, 0, MAX(VLOOKUP($D113-1, $R$4:$S$7, 2)*$N113-T113, 0)*OFFSET(鑫意锁风险保险费!$B$5, $D113-1, IF($D$3="男", 1, 2))/1000))</f>
        <v/>
      </c>
      <c r="V113" s="36" t="str">
        <f t="shared" si="25"/>
        <v/>
      </c>
      <c r="W113" s="35" t="str">
        <f t="shared" si="18"/>
        <v/>
      </c>
      <c r="X113" s="31" t="str">
        <f t="shared" si="26"/>
        <v/>
      </c>
    </row>
    <row r="114" spans="2:24" x14ac:dyDescent="0.3">
      <c r="B114" s="55"/>
      <c r="C114" s="29" t="str">
        <f t="shared" si="27"/>
        <v/>
      </c>
      <c r="D114" s="57" t="str">
        <f t="shared" si="28"/>
        <v/>
      </c>
      <c r="E114" s="37" t="str">
        <f t="shared" si="19"/>
        <v/>
      </c>
      <c r="F114" s="85"/>
      <c r="G114" s="85"/>
      <c r="H114" s="90" t="str">
        <f ca="1">IF(C114="", "", IF(AND(C114&gt;=6, D114&lt;=60), OFFSET(利益演示!$G$16, C114-1, 0), IF(D114&gt;60, OFFSET(利益演示!$H$16, C114-1, 0), 0)))</f>
        <v/>
      </c>
      <c r="I114" s="65" t="str">
        <f>IF(C114="", "", SUM($E$18:H114))</f>
        <v/>
      </c>
      <c r="J114" s="59" t="str">
        <f t="shared" si="20"/>
        <v/>
      </c>
      <c r="K114" s="90" t="str">
        <f ca="1">IF(C114="", "", ROUND(IF(C114=6, SUM(OFFSET(H113, -4, 0):H113)*1%, IF(C114&gt;6,H113*1%, 0)),0))</f>
        <v/>
      </c>
      <c r="L114" s="94"/>
      <c r="M114" s="90" t="str">
        <f t="shared" ref="M114:M122" si="29">IF(C114="", "", L114*VLOOKUP(C114, $U$4:$V$9, 2))</f>
        <v/>
      </c>
      <c r="N114" s="67" t="str">
        <f>IF(C114="", "", MAX(I114-SUM(L$17:L113), 0))</f>
        <v/>
      </c>
      <c r="O114" s="37" t="str">
        <f t="shared" si="21"/>
        <v/>
      </c>
      <c r="P114" s="35" t="str">
        <f ca="1">IF($C114="", "", IF(O114&lt;=0, 0, MAX(VLOOKUP($D114-1, $R$4:$S$7, 2)*$N114-O114, 0)*OFFSET(鑫意锁风险保险费!$B$5, $D114-1, IF($D$3="男", 1, 2))/1000))</f>
        <v/>
      </c>
      <c r="Q114" s="36" t="str">
        <f t="shared" si="22"/>
        <v/>
      </c>
      <c r="R114" s="35" t="str">
        <f t="shared" ref="R114:R122" si="30">IF($C114="", "", Q114*(1-VLOOKUP($C114, $U$4:$V$9, 2)))</f>
        <v/>
      </c>
      <c r="S114" s="31" t="str">
        <f t="shared" si="23"/>
        <v/>
      </c>
      <c r="T114" s="37" t="str">
        <f t="shared" si="24"/>
        <v/>
      </c>
      <c r="U114" s="35" t="str">
        <f ca="1">IF($C114="", "", IF(T114&lt;=0, 0, MAX(VLOOKUP($D114-1, $R$4:$S$7, 2)*$N114-T114, 0)*OFFSET(鑫意锁风险保险费!$B$5, $D114-1, IF($D$3="男", 1, 2))/1000))</f>
        <v/>
      </c>
      <c r="V114" s="36" t="str">
        <f t="shared" si="25"/>
        <v/>
      </c>
      <c r="W114" s="35" t="str">
        <f t="shared" ref="W114:W122" si="31">IF($C114="", "", V114*(1-VLOOKUP($C114, $U$4:$V$9, 2)))</f>
        <v/>
      </c>
      <c r="X114" s="31" t="str">
        <f t="shared" si="26"/>
        <v/>
      </c>
    </row>
    <row r="115" spans="2:24" x14ac:dyDescent="0.3">
      <c r="B115" s="55"/>
      <c r="C115" s="29" t="str">
        <f t="shared" si="27"/>
        <v/>
      </c>
      <c r="D115" s="57" t="str">
        <f t="shared" si="28"/>
        <v/>
      </c>
      <c r="E115" s="37" t="str">
        <f t="shared" si="19"/>
        <v/>
      </c>
      <c r="F115" s="85"/>
      <c r="G115" s="85"/>
      <c r="H115" s="90" t="str">
        <f ca="1">IF(C115="", "", IF(AND(C115&gt;=6, D115&lt;=60), OFFSET(利益演示!$G$16, C115-1, 0), IF(D115&gt;60, OFFSET(利益演示!$H$16, C115-1, 0), 0)))</f>
        <v/>
      </c>
      <c r="I115" s="65" t="str">
        <f>IF(C115="", "", SUM($E$18:H115))</f>
        <v/>
      </c>
      <c r="J115" s="59" t="str">
        <f t="shared" si="20"/>
        <v/>
      </c>
      <c r="K115" s="90" t="str">
        <f ca="1">IF(C115="", "", ROUND(IF(C115=6, SUM(OFFSET(H114, -4, 0):H114)*1%, IF(C115&gt;6,H114*1%, 0)),0))</f>
        <v/>
      </c>
      <c r="L115" s="94"/>
      <c r="M115" s="90" t="str">
        <f t="shared" si="29"/>
        <v/>
      </c>
      <c r="N115" s="67" t="str">
        <f>IF(C115="", "", MAX(I115-SUM(L$17:L114), 0))</f>
        <v/>
      </c>
      <c r="O115" s="37" t="str">
        <f t="shared" si="21"/>
        <v/>
      </c>
      <c r="P115" s="35" t="str">
        <f ca="1">IF($C115="", "", IF(O115&lt;=0, 0, MAX(VLOOKUP($D115-1, $R$4:$S$7, 2)*$N115-O115, 0)*OFFSET(鑫意锁风险保险费!$B$5, $D115-1, IF($D$3="男", 1, 2))/1000))</f>
        <v/>
      </c>
      <c r="Q115" s="36" t="str">
        <f t="shared" si="22"/>
        <v/>
      </c>
      <c r="R115" s="35" t="str">
        <f t="shared" si="30"/>
        <v/>
      </c>
      <c r="S115" s="31" t="str">
        <f t="shared" si="23"/>
        <v/>
      </c>
      <c r="T115" s="37" t="str">
        <f t="shared" si="24"/>
        <v/>
      </c>
      <c r="U115" s="35" t="str">
        <f ca="1">IF($C115="", "", IF(T115&lt;=0, 0, MAX(VLOOKUP($D115-1, $R$4:$S$7, 2)*$N115-T115, 0)*OFFSET(鑫意锁风险保险费!$B$5, $D115-1, IF($D$3="男", 1, 2))/1000))</f>
        <v/>
      </c>
      <c r="V115" s="36" t="str">
        <f t="shared" si="25"/>
        <v/>
      </c>
      <c r="W115" s="35" t="str">
        <f t="shared" si="31"/>
        <v/>
      </c>
      <c r="X115" s="31" t="str">
        <f t="shared" si="26"/>
        <v/>
      </c>
    </row>
    <row r="116" spans="2:24" x14ac:dyDescent="0.3">
      <c r="B116" s="55"/>
      <c r="C116" s="29" t="str">
        <f t="shared" si="27"/>
        <v/>
      </c>
      <c r="D116" s="57" t="str">
        <f t="shared" si="28"/>
        <v/>
      </c>
      <c r="E116" s="37" t="str">
        <f t="shared" si="19"/>
        <v/>
      </c>
      <c r="F116" s="85"/>
      <c r="G116" s="85"/>
      <c r="H116" s="90" t="str">
        <f ca="1">IF(C116="", "", IF(AND(C116&gt;=6, D116&lt;=60), OFFSET(利益演示!$G$16, C116-1, 0), IF(D116&gt;60, OFFSET(利益演示!$H$16, C116-1, 0), 0)))</f>
        <v/>
      </c>
      <c r="I116" s="65" t="str">
        <f>IF(C116="", "", SUM($E$18:H116))</f>
        <v/>
      </c>
      <c r="J116" s="59" t="str">
        <f t="shared" si="20"/>
        <v/>
      </c>
      <c r="K116" s="90" t="str">
        <f ca="1">IF(C116="", "", ROUND(IF(C116=6, SUM(OFFSET(H115, -4, 0):H115)*1%, IF(C116&gt;6,H115*1%, 0)),0))</f>
        <v/>
      </c>
      <c r="L116" s="94"/>
      <c r="M116" s="90" t="str">
        <f t="shared" si="29"/>
        <v/>
      </c>
      <c r="N116" s="67" t="str">
        <f>IF(C116="", "", MAX(I116-SUM(L$17:L115), 0))</f>
        <v/>
      </c>
      <c r="O116" s="37" t="str">
        <f t="shared" si="21"/>
        <v/>
      </c>
      <c r="P116" s="35" t="str">
        <f ca="1">IF($C116="", "", IF(O116&lt;=0, 0, MAX(VLOOKUP($D116-1, $R$4:$S$7, 2)*$N116-O116, 0)*OFFSET(鑫意锁风险保险费!$B$5, $D116-1, IF($D$3="男", 1, 2))/1000))</f>
        <v/>
      </c>
      <c r="Q116" s="36" t="str">
        <f t="shared" si="22"/>
        <v/>
      </c>
      <c r="R116" s="35" t="str">
        <f t="shared" si="30"/>
        <v/>
      </c>
      <c r="S116" s="31" t="str">
        <f t="shared" si="23"/>
        <v/>
      </c>
      <c r="T116" s="37" t="str">
        <f t="shared" si="24"/>
        <v/>
      </c>
      <c r="U116" s="35" t="str">
        <f ca="1">IF($C116="", "", IF(T116&lt;=0, 0, MAX(VLOOKUP($D116-1, $R$4:$S$7, 2)*$N116-T116, 0)*OFFSET(鑫意锁风险保险费!$B$5, $D116-1, IF($D$3="男", 1, 2))/1000))</f>
        <v/>
      </c>
      <c r="V116" s="36" t="str">
        <f t="shared" si="25"/>
        <v/>
      </c>
      <c r="W116" s="35" t="str">
        <f t="shared" si="31"/>
        <v/>
      </c>
      <c r="X116" s="31" t="str">
        <f t="shared" si="26"/>
        <v/>
      </c>
    </row>
    <row r="117" spans="2:24" x14ac:dyDescent="0.3">
      <c r="B117" s="55"/>
      <c r="C117" s="29" t="str">
        <f t="shared" si="27"/>
        <v/>
      </c>
      <c r="D117" s="57" t="str">
        <f t="shared" si="28"/>
        <v/>
      </c>
      <c r="E117" s="37" t="str">
        <f t="shared" si="19"/>
        <v/>
      </c>
      <c r="F117" s="85"/>
      <c r="G117" s="85"/>
      <c r="H117" s="90" t="str">
        <f ca="1">IF(C117="", "", IF(AND(C117&gt;=6, D117&lt;=60), OFFSET(利益演示!$G$16, C117-1, 0), IF(D117&gt;60, OFFSET(利益演示!$H$16, C117-1, 0), 0)))</f>
        <v/>
      </c>
      <c r="I117" s="65" t="str">
        <f>IF(C117="", "", SUM($E$18:H117))</f>
        <v/>
      </c>
      <c r="J117" s="59" t="str">
        <f t="shared" si="20"/>
        <v/>
      </c>
      <c r="K117" s="90" t="str">
        <f ca="1">IF(C117="", "", ROUND(IF(C117=6, SUM(OFFSET(H116, -4, 0):H116)*1%, IF(C117&gt;6,H116*1%, 0)),0))</f>
        <v/>
      </c>
      <c r="L117" s="94"/>
      <c r="M117" s="90" t="str">
        <f t="shared" si="29"/>
        <v/>
      </c>
      <c r="N117" s="67" t="str">
        <f>IF(C117="", "", MAX(I117-SUM(L$17:L116), 0))</f>
        <v/>
      </c>
      <c r="O117" s="37" t="str">
        <f t="shared" si="21"/>
        <v/>
      </c>
      <c r="P117" s="35" t="str">
        <f ca="1">IF($C117="", "", IF(O117&lt;=0, 0, MAX(VLOOKUP($D117-1, $R$4:$S$7, 2)*$N117-O117, 0)*OFFSET(鑫意锁风险保险费!$B$5, $D117-1, IF($D$3="男", 1, 2))/1000))</f>
        <v/>
      </c>
      <c r="Q117" s="36" t="str">
        <f t="shared" si="22"/>
        <v/>
      </c>
      <c r="R117" s="35" t="str">
        <f t="shared" si="30"/>
        <v/>
      </c>
      <c r="S117" s="31" t="str">
        <f t="shared" si="23"/>
        <v/>
      </c>
      <c r="T117" s="37" t="str">
        <f t="shared" si="24"/>
        <v/>
      </c>
      <c r="U117" s="35" t="str">
        <f ca="1">IF($C117="", "", IF(T117&lt;=0, 0, MAX(VLOOKUP($D117-1, $R$4:$S$7, 2)*$N117-T117, 0)*OFFSET(鑫意锁风险保险费!$B$5, $D117-1, IF($D$3="男", 1, 2))/1000))</f>
        <v/>
      </c>
      <c r="V117" s="36" t="str">
        <f t="shared" si="25"/>
        <v/>
      </c>
      <c r="W117" s="35" t="str">
        <f t="shared" si="31"/>
        <v/>
      </c>
      <c r="X117" s="31" t="str">
        <f t="shared" si="26"/>
        <v/>
      </c>
    </row>
    <row r="118" spans="2:24" x14ac:dyDescent="0.3">
      <c r="B118" s="55"/>
      <c r="C118" s="29" t="str">
        <f t="shared" si="27"/>
        <v/>
      </c>
      <c r="D118" s="57" t="str">
        <f t="shared" si="28"/>
        <v/>
      </c>
      <c r="E118" s="37" t="str">
        <f t="shared" si="19"/>
        <v/>
      </c>
      <c r="F118" s="85"/>
      <c r="G118" s="85"/>
      <c r="H118" s="90" t="str">
        <f ca="1">IF(C118="", "", IF(AND(C118&gt;=6, D118&lt;=60), OFFSET(利益演示!$G$16, C118-1, 0), IF(D118&gt;60, OFFSET(利益演示!$H$16, C118-1, 0), 0)))</f>
        <v/>
      </c>
      <c r="I118" s="65" t="str">
        <f>IF(C118="", "", SUM($E$18:H118))</f>
        <v/>
      </c>
      <c r="J118" s="59" t="str">
        <f t="shared" si="20"/>
        <v/>
      </c>
      <c r="K118" s="90" t="str">
        <f ca="1">IF(C118="", "", ROUND(IF(C118=6, SUM(OFFSET(H117, -4, 0):H117)*1%, IF(C118&gt;6,H117*1%, 0)),0))</f>
        <v/>
      </c>
      <c r="L118" s="94"/>
      <c r="M118" s="90" t="str">
        <f t="shared" si="29"/>
        <v/>
      </c>
      <c r="N118" s="67" t="str">
        <f>IF(C118="", "", MAX(I118-SUM(L$17:L117), 0))</f>
        <v/>
      </c>
      <c r="O118" s="37" t="str">
        <f t="shared" si="21"/>
        <v/>
      </c>
      <c r="P118" s="35" t="str">
        <f ca="1">IF($C118="", "", IF(O118&lt;=0, 0, MAX(VLOOKUP($D118-1, $R$4:$S$7, 2)*$N118-O118, 0)*OFFSET(鑫意锁风险保险费!$B$5, $D118-1, IF($D$3="男", 1, 2))/1000))</f>
        <v/>
      </c>
      <c r="Q118" s="36" t="str">
        <f t="shared" si="22"/>
        <v/>
      </c>
      <c r="R118" s="35" t="str">
        <f t="shared" si="30"/>
        <v/>
      </c>
      <c r="S118" s="31" t="str">
        <f t="shared" si="23"/>
        <v/>
      </c>
      <c r="T118" s="37" t="str">
        <f t="shared" si="24"/>
        <v/>
      </c>
      <c r="U118" s="35" t="str">
        <f ca="1">IF($C118="", "", IF(T118&lt;=0, 0, MAX(VLOOKUP($D118-1, $R$4:$S$7, 2)*$N118-T118, 0)*OFFSET(鑫意锁风险保险费!$B$5, $D118-1, IF($D$3="男", 1, 2))/1000))</f>
        <v/>
      </c>
      <c r="V118" s="36" t="str">
        <f t="shared" si="25"/>
        <v/>
      </c>
      <c r="W118" s="35" t="str">
        <f t="shared" si="31"/>
        <v/>
      </c>
      <c r="X118" s="31" t="str">
        <f t="shared" si="26"/>
        <v/>
      </c>
    </row>
    <row r="119" spans="2:24" x14ac:dyDescent="0.3">
      <c r="B119" s="55"/>
      <c r="C119" s="29" t="str">
        <f t="shared" si="27"/>
        <v/>
      </c>
      <c r="D119" s="57" t="str">
        <f t="shared" si="28"/>
        <v/>
      </c>
      <c r="E119" s="37" t="str">
        <f t="shared" si="19"/>
        <v/>
      </c>
      <c r="F119" s="85"/>
      <c r="G119" s="85"/>
      <c r="H119" s="90" t="str">
        <f ca="1">IF(C119="", "", IF(AND(C119&gt;=6, D119&lt;=60), OFFSET(利益演示!$G$16, C119-1, 0), IF(D119&gt;60, OFFSET(利益演示!$H$16, C119-1, 0), 0)))</f>
        <v/>
      </c>
      <c r="I119" s="65" t="str">
        <f>IF(C119="", "", SUM($E$18:H119))</f>
        <v/>
      </c>
      <c r="J119" s="59" t="str">
        <f t="shared" si="20"/>
        <v/>
      </c>
      <c r="K119" s="90" t="str">
        <f ca="1">IF(C119="", "", ROUND(IF(C119=6, SUM(OFFSET(H118, -4, 0):H118)*1%, IF(C119&gt;6,H118*1%, 0)),0))</f>
        <v/>
      </c>
      <c r="L119" s="94"/>
      <c r="M119" s="90" t="str">
        <f t="shared" si="29"/>
        <v/>
      </c>
      <c r="N119" s="67" t="str">
        <f>IF(C119="", "", MAX(I119-SUM(L$17:L118), 0))</f>
        <v/>
      </c>
      <c r="O119" s="37" t="str">
        <f t="shared" si="21"/>
        <v/>
      </c>
      <c r="P119" s="35" t="str">
        <f ca="1">IF($C119="", "", IF(O119&lt;=0, 0, MAX(VLOOKUP($D119-1, $R$4:$S$7, 2)*$N119-O119, 0)*OFFSET(鑫意锁风险保险费!$B$5, $D119-1, IF($D$3="男", 1, 2))/1000))</f>
        <v/>
      </c>
      <c r="Q119" s="36" t="str">
        <f t="shared" si="22"/>
        <v/>
      </c>
      <c r="R119" s="35" t="str">
        <f t="shared" si="30"/>
        <v/>
      </c>
      <c r="S119" s="31" t="str">
        <f t="shared" si="23"/>
        <v/>
      </c>
      <c r="T119" s="37" t="str">
        <f t="shared" si="24"/>
        <v/>
      </c>
      <c r="U119" s="35" t="str">
        <f ca="1">IF($C119="", "", IF(T119&lt;=0, 0, MAX(VLOOKUP($D119-1, $R$4:$S$7, 2)*$N119-T119, 0)*OFFSET(鑫意锁风险保险费!$B$5, $D119-1, IF($D$3="男", 1, 2))/1000))</f>
        <v/>
      </c>
      <c r="V119" s="36" t="str">
        <f t="shared" si="25"/>
        <v/>
      </c>
      <c r="W119" s="35" t="str">
        <f t="shared" si="31"/>
        <v/>
      </c>
      <c r="X119" s="31" t="str">
        <f t="shared" si="26"/>
        <v/>
      </c>
    </row>
    <row r="120" spans="2:24" x14ac:dyDescent="0.3">
      <c r="B120" s="55"/>
      <c r="C120" s="29" t="str">
        <f t="shared" si="27"/>
        <v/>
      </c>
      <c r="D120" s="57" t="str">
        <f t="shared" si="28"/>
        <v/>
      </c>
      <c r="E120" s="37" t="str">
        <f t="shared" si="19"/>
        <v/>
      </c>
      <c r="F120" s="85"/>
      <c r="G120" s="85"/>
      <c r="H120" s="90" t="str">
        <f ca="1">IF(C120="", "", IF(AND(C120&gt;=6, D120&lt;=60), OFFSET(利益演示!$G$16, C120-1, 0), IF(D120&gt;60, OFFSET(利益演示!$H$16, C120-1, 0), 0)))</f>
        <v/>
      </c>
      <c r="I120" s="65" t="str">
        <f>IF(C120="", "", SUM($E$18:H120))</f>
        <v/>
      </c>
      <c r="J120" s="59" t="str">
        <f t="shared" si="20"/>
        <v/>
      </c>
      <c r="K120" s="90" t="str">
        <f ca="1">IF(C120="", "", ROUND(IF(C120=6, SUM(OFFSET(H119, -4, 0):H119)*1%, IF(C120&gt;6,H119*1%, 0)),0))</f>
        <v/>
      </c>
      <c r="L120" s="94"/>
      <c r="M120" s="90" t="str">
        <f t="shared" si="29"/>
        <v/>
      </c>
      <c r="N120" s="67" t="str">
        <f>IF(C120="", "", MAX(I120-SUM(L$17:L119), 0))</f>
        <v/>
      </c>
      <c r="O120" s="37" t="str">
        <f t="shared" si="21"/>
        <v/>
      </c>
      <c r="P120" s="35" t="str">
        <f ca="1">IF($C120="", "", IF(O120&lt;=0, 0, MAX(VLOOKUP($D120-1, $R$4:$S$7, 2)*$N120-O120, 0)*OFFSET(鑫意锁风险保险费!$B$5, $D120-1, IF($D$3="男", 1, 2))/1000))</f>
        <v/>
      </c>
      <c r="Q120" s="36" t="str">
        <f t="shared" si="22"/>
        <v/>
      </c>
      <c r="R120" s="35" t="str">
        <f t="shared" si="30"/>
        <v/>
      </c>
      <c r="S120" s="31" t="str">
        <f t="shared" si="23"/>
        <v/>
      </c>
      <c r="T120" s="37" t="str">
        <f t="shared" si="24"/>
        <v/>
      </c>
      <c r="U120" s="35" t="str">
        <f ca="1">IF($C120="", "", IF(T120&lt;=0, 0, MAX(VLOOKUP($D120-1, $R$4:$S$7, 2)*$N120-T120, 0)*OFFSET(鑫意锁风险保险费!$B$5, $D120-1, IF($D$3="男", 1, 2))/1000))</f>
        <v/>
      </c>
      <c r="V120" s="36" t="str">
        <f t="shared" si="25"/>
        <v/>
      </c>
      <c r="W120" s="35" t="str">
        <f t="shared" si="31"/>
        <v/>
      </c>
      <c r="X120" s="31" t="str">
        <f t="shared" si="26"/>
        <v/>
      </c>
    </row>
    <row r="121" spans="2:24" x14ac:dyDescent="0.3">
      <c r="B121" s="55"/>
      <c r="C121" s="29" t="str">
        <f t="shared" si="27"/>
        <v/>
      </c>
      <c r="D121" s="57" t="str">
        <f t="shared" si="28"/>
        <v/>
      </c>
      <c r="E121" s="37" t="str">
        <f t="shared" si="19"/>
        <v/>
      </c>
      <c r="F121" s="85"/>
      <c r="G121" s="85"/>
      <c r="H121" s="90" t="str">
        <f ca="1">IF(C121="", "", IF(AND(C121&gt;=6, D121&lt;=60), OFFSET(利益演示!$G$16, C121-1, 0), IF(D121&gt;60, OFFSET(利益演示!$H$16, C121-1, 0), 0)))</f>
        <v/>
      </c>
      <c r="I121" s="65" t="str">
        <f>IF(C121="", "", SUM($E$18:H121))</f>
        <v/>
      </c>
      <c r="J121" s="59" t="str">
        <f t="shared" si="20"/>
        <v/>
      </c>
      <c r="K121" s="90" t="str">
        <f ca="1">IF(C121="", "", ROUND(IF(C121=6, SUM(OFFSET(H120, -4, 0):H120)*1%, IF(C121&gt;6,H120*1%, 0)),0))</f>
        <v/>
      </c>
      <c r="L121" s="94"/>
      <c r="M121" s="90" t="str">
        <f t="shared" si="29"/>
        <v/>
      </c>
      <c r="N121" s="67" t="str">
        <f>IF(C121="", "", MAX(I121-SUM(L$17:L120), 0))</f>
        <v/>
      </c>
      <c r="O121" s="37" t="str">
        <f t="shared" si="21"/>
        <v/>
      </c>
      <c r="P121" s="35" t="str">
        <f ca="1">IF($C121="", "", IF(O121&lt;=0, 0, MAX(VLOOKUP($D121-1, $R$4:$S$7, 2)*$N121-O121, 0)*OFFSET(鑫意锁风险保险费!$B$5, $D121-1, IF($D$3="男", 1, 2))/1000))</f>
        <v/>
      </c>
      <c r="Q121" s="36" t="str">
        <f t="shared" si="22"/>
        <v/>
      </c>
      <c r="R121" s="35" t="str">
        <f t="shared" si="30"/>
        <v/>
      </c>
      <c r="S121" s="31" t="str">
        <f t="shared" si="23"/>
        <v/>
      </c>
      <c r="T121" s="37" t="str">
        <f t="shared" si="24"/>
        <v/>
      </c>
      <c r="U121" s="35" t="str">
        <f ca="1">IF($C121="", "", IF(T121&lt;=0, 0, MAX(VLOOKUP($D121-1, $R$4:$S$7, 2)*$N121-T121, 0)*OFFSET(鑫意锁风险保险费!$B$5, $D121-1, IF($D$3="男", 1, 2))/1000))</f>
        <v/>
      </c>
      <c r="V121" s="36" t="str">
        <f t="shared" si="25"/>
        <v/>
      </c>
      <c r="W121" s="35" t="str">
        <f t="shared" si="31"/>
        <v/>
      </c>
      <c r="X121" s="31" t="str">
        <f t="shared" si="26"/>
        <v/>
      </c>
    </row>
    <row r="122" spans="2:24" x14ac:dyDescent="0.3">
      <c r="B122" s="55"/>
      <c r="C122" s="32" t="str">
        <f t="shared" si="27"/>
        <v/>
      </c>
      <c r="D122" s="58" t="str">
        <f t="shared" si="28"/>
        <v/>
      </c>
      <c r="E122" s="38" t="str">
        <f t="shared" si="19"/>
        <v/>
      </c>
      <c r="F122" s="86"/>
      <c r="G122" s="86"/>
      <c r="H122" s="43" t="str">
        <f ca="1">IF(C122="", "", IF(AND(C122&gt;=6, D122&lt;=60), OFFSET(利益演示!$G$16, C122-1, 0), IF(D122&gt;60, OFFSET(利益演示!$H$16, C122-1, 0), 0)))</f>
        <v/>
      </c>
      <c r="I122" s="66" t="str">
        <f>IF(C122="", "", SUM($E$18:H122))</f>
        <v/>
      </c>
      <c r="J122" s="38" t="str">
        <f t="shared" si="20"/>
        <v/>
      </c>
      <c r="K122" s="43" t="str">
        <f ca="1">IF(C122="", "", ROUND(IF(C122=6, SUM(OFFSET(H121, -4, 0):H121)*1%, IF(C122&gt;6,H121*1%, 0)),0))</f>
        <v/>
      </c>
      <c r="L122" s="95"/>
      <c r="M122" s="43" t="str">
        <f t="shared" si="29"/>
        <v/>
      </c>
      <c r="N122" s="68" t="str">
        <f>IF(C122="", "", MAX(I122-SUM(L$17:L121), 0))</f>
        <v/>
      </c>
      <c r="O122" s="38" t="str">
        <f t="shared" si="21"/>
        <v/>
      </c>
      <c r="P122" s="39" t="str">
        <f ca="1">IF($C122="", "", IF(O122&lt;=0, 0, MAX(VLOOKUP($D122-1, $R$4:$S$7, 2)*$N122-O122, 0)*OFFSET(鑫意锁风险保险费!$B$5, $D122-1, IF($D$3="男", 1, 2))/1000))</f>
        <v/>
      </c>
      <c r="Q122" s="43" t="str">
        <f t="shared" si="22"/>
        <v/>
      </c>
      <c r="R122" s="39" t="str">
        <f t="shared" si="30"/>
        <v/>
      </c>
      <c r="S122" s="34" t="str">
        <f t="shared" si="23"/>
        <v/>
      </c>
      <c r="T122" s="38" t="str">
        <f t="shared" si="24"/>
        <v/>
      </c>
      <c r="U122" s="39" t="str">
        <f ca="1">IF($C122="", "", IF(T122&lt;=0, 0, MAX(VLOOKUP($D122-1, $R$4:$S$7, 2)*$N122-T122, 0)*OFFSET(鑫意锁风险保险费!$B$5, $D122-1, IF($D$3="男", 1, 2))/1000))</f>
        <v/>
      </c>
      <c r="V122" s="43" t="str">
        <f t="shared" si="25"/>
        <v/>
      </c>
      <c r="W122" s="39" t="str">
        <f t="shared" si="31"/>
        <v/>
      </c>
      <c r="X122" s="34" t="str">
        <f t="shared" si="26"/>
        <v/>
      </c>
    </row>
  </sheetData>
  <sheetProtection algorithmName="SHA-512" hashValue="J55CMWld44tJRiGp+dL+9LDEhOxdng/gCPfG2OZIqwSki3B4aIWSTflmofGiblZxZ2QkexMc7dW8jTrYgfqvFw==" saltValue="iXsITvv9wUG+nQY0U1vVwQ==" spinCount="100000" sheet="1" objects="1" scenarios="1"/>
  <mergeCells count="11">
    <mergeCell ref="O15:S15"/>
    <mergeCell ref="C1:J1"/>
    <mergeCell ref="T15:X15"/>
    <mergeCell ref="C15:D15"/>
    <mergeCell ref="E15:E16"/>
    <mergeCell ref="H15:H16"/>
    <mergeCell ref="I15:I16"/>
    <mergeCell ref="J15:J16"/>
    <mergeCell ref="M15:M16"/>
    <mergeCell ref="N15:N16"/>
    <mergeCell ref="K15:K16"/>
  </mergeCells>
  <phoneticPr fontId="5" type="noConversion"/>
  <dataValidations count="1">
    <dataValidation type="list" allowBlank="1" showInputMessage="1" showErrorMessage="1" sqref="F10">
      <formula1>"是,否"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stopIfTrue="1" id="{88E49BD7-2ED9-4AB9-9DD2-4363029FA3D3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C18:E122 O17:S122</xm:sqref>
        </x14:conditionalFormatting>
        <x14:conditionalFormatting xmlns:xm="http://schemas.microsoft.com/office/excel/2006/main">
          <x14:cfRule type="expression" priority="9" stopIfTrue="1" id="{77EF3DD6-4C27-44C0-BCBA-31EA7AE9907C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H18:K122</xm:sqref>
        </x14:conditionalFormatting>
        <x14:conditionalFormatting xmlns:xm="http://schemas.microsoft.com/office/excel/2006/main">
          <x14:cfRule type="expression" priority="8" stopIfTrue="1" id="{93926885-E07F-410C-9F05-6B9C48B32244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M18:N122</xm:sqref>
        </x14:conditionalFormatting>
        <x14:conditionalFormatting xmlns:xm="http://schemas.microsoft.com/office/excel/2006/main">
          <x14:cfRule type="expression" priority="7" stopIfTrue="1" id="{6C5A25B0-ED5B-462C-9810-AACA9AAEB6C5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C17:F17</xm:sqref>
        </x14:conditionalFormatting>
        <x14:conditionalFormatting xmlns:xm="http://schemas.microsoft.com/office/excel/2006/main">
          <x14:cfRule type="expression" priority="6" stopIfTrue="1" id="{6854A9E8-1FD1-4C57-84F4-2346516CF29C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H17:K17</xm:sqref>
        </x14:conditionalFormatting>
        <x14:conditionalFormatting xmlns:xm="http://schemas.microsoft.com/office/excel/2006/main">
          <x14:cfRule type="expression" priority="5" stopIfTrue="1" id="{5A8065D8-5342-4B75-8328-202731A28EF8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M17:N17</xm:sqref>
        </x14:conditionalFormatting>
        <x14:conditionalFormatting xmlns:xm="http://schemas.microsoft.com/office/excel/2006/main">
          <x14:cfRule type="expression" priority="4" stopIfTrue="1" id="{D183EF1D-8B6C-4125-ADA8-8B220BC84B54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T18:X122</xm:sqref>
        </x14:conditionalFormatting>
        <x14:conditionalFormatting xmlns:xm="http://schemas.microsoft.com/office/excel/2006/main">
          <x14:cfRule type="expression" priority="3" stopIfTrue="1" id="{D4F144B9-189C-4911-A0BF-E0EFF43EE411}">
            <xm:f>MOD(ROW()-ROW(利益演示!$C$17)+1,5)=0</xm:f>
            <x14:dxf>
              <fill>
                <patternFill>
                  <bgColor theme="0" tint="-4.9989318521683403E-2"/>
                </patternFill>
              </fill>
            </x14:dxf>
          </x14:cfRule>
          <xm:sqref>T17:X17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3:D104"/>
  <sheetViews>
    <sheetView showGridLines="0" topLeftCell="A38" workbookViewId="0">
      <selection activeCell="F68" sqref="F68"/>
    </sheetView>
  </sheetViews>
  <sheetFormatPr defaultRowHeight="13.5" x14ac:dyDescent="0.15"/>
  <sheetData>
    <row r="3" spans="2:4" ht="14.25" thickBot="1" x14ac:dyDescent="0.2"/>
    <row r="4" spans="2:4" ht="15" thickBot="1" x14ac:dyDescent="0.2">
      <c r="B4" s="78" t="s">
        <v>5</v>
      </c>
      <c r="C4" s="79" t="s">
        <v>9</v>
      </c>
      <c r="D4" s="79" t="s">
        <v>2</v>
      </c>
    </row>
    <row r="5" spans="2:4" ht="15.75" thickBot="1" x14ac:dyDescent="0.2">
      <c r="B5" s="80">
        <v>0</v>
      </c>
      <c r="C5" s="81">
        <v>0.87</v>
      </c>
      <c r="D5" s="81">
        <v>0.62</v>
      </c>
    </row>
    <row r="6" spans="2:4" ht="15.75" thickBot="1" x14ac:dyDescent="0.2">
      <c r="B6" s="80">
        <v>1</v>
      </c>
      <c r="C6" s="81">
        <v>0.62</v>
      </c>
      <c r="D6" s="81">
        <v>0.46</v>
      </c>
    </row>
    <row r="7" spans="2:4" ht="15.75" thickBot="1" x14ac:dyDescent="0.2">
      <c r="B7" s="80">
        <v>2</v>
      </c>
      <c r="C7" s="81">
        <v>0.45</v>
      </c>
      <c r="D7" s="81">
        <v>0.34</v>
      </c>
    </row>
    <row r="8" spans="2:4" ht="15.75" thickBot="1" x14ac:dyDescent="0.2">
      <c r="B8" s="80">
        <v>3</v>
      </c>
      <c r="C8" s="81">
        <v>0.34</v>
      </c>
      <c r="D8" s="81">
        <v>0.26</v>
      </c>
    </row>
    <row r="9" spans="2:4" ht="15.75" thickBot="1" x14ac:dyDescent="0.2">
      <c r="B9" s="80">
        <v>4</v>
      </c>
      <c r="C9" s="81">
        <v>0.28000000000000003</v>
      </c>
      <c r="D9" s="81">
        <v>0.2</v>
      </c>
    </row>
    <row r="10" spans="2:4" ht="15.75" thickBot="1" x14ac:dyDescent="0.2">
      <c r="B10" s="80">
        <v>5</v>
      </c>
      <c r="C10" s="81">
        <v>0.25</v>
      </c>
      <c r="D10" s="81">
        <v>0.17</v>
      </c>
    </row>
    <row r="11" spans="2:4" ht="15.75" thickBot="1" x14ac:dyDescent="0.2">
      <c r="B11" s="80">
        <v>6</v>
      </c>
      <c r="C11" s="81">
        <v>0.24</v>
      </c>
      <c r="D11" s="81">
        <v>0.15</v>
      </c>
    </row>
    <row r="12" spans="2:4" ht="15.75" thickBot="1" x14ac:dyDescent="0.2">
      <c r="B12" s="80">
        <v>7</v>
      </c>
      <c r="C12" s="81">
        <v>0.23</v>
      </c>
      <c r="D12" s="81">
        <v>0.14000000000000001</v>
      </c>
    </row>
    <row r="13" spans="2:4" ht="15.75" thickBot="1" x14ac:dyDescent="0.2">
      <c r="B13" s="80">
        <v>8</v>
      </c>
      <c r="C13" s="81">
        <v>0.24</v>
      </c>
      <c r="D13" s="81">
        <v>0.13</v>
      </c>
    </row>
    <row r="14" spans="2:4" ht="15.75" thickBot="1" x14ac:dyDescent="0.2">
      <c r="B14" s="80">
        <v>9</v>
      </c>
      <c r="C14" s="81">
        <v>0.25</v>
      </c>
      <c r="D14" s="81">
        <v>0.14000000000000001</v>
      </c>
    </row>
    <row r="15" spans="2:4" ht="15.75" thickBot="1" x14ac:dyDescent="0.2">
      <c r="B15" s="80">
        <v>10</v>
      </c>
      <c r="C15" s="81">
        <v>0.27</v>
      </c>
      <c r="D15" s="81">
        <v>0.15</v>
      </c>
    </row>
    <row r="16" spans="2:4" ht="15.75" thickBot="1" x14ac:dyDescent="0.2">
      <c r="B16" s="80">
        <v>11</v>
      </c>
      <c r="C16" s="81">
        <v>0.28999999999999998</v>
      </c>
      <c r="D16" s="81">
        <v>0.16</v>
      </c>
    </row>
    <row r="17" spans="2:4" ht="15.75" thickBot="1" x14ac:dyDescent="0.2">
      <c r="B17" s="80">
        <v>12</v>
      </c>
      <c r="C17" s="81">
        <v>0.32</v>
      </c>
      <c r="D17" s="81">
        <v>0.17</v>
      </c>
    </row>
    <row r="18" spans="2:4" ht="15.75" thickBot="1" x14ac:dyDescent="0.2">
      <c r="B18" s="80">
        <v>13</v>
      </c>
      <c r="C18" s="81">
        <v>0.35</v>
      </c>
      <c r="D18" s="81">
        <v>0.19</v>
      </c>
    </row>
    <row r="19" spans="2:4" ht="15.75" thickBot="1" x14ac:dyDescent="0.2">
      <c r="B19" s="80">
        <v>14</v>
      </c>
      <c r="C19" s="81">
        <v>0.38</v>
      </c>
      <c r="D19" s="81">
        <v>0.21</v>
      </c>
    </row>
    <row r="20" spans="2:4" ht="15.75" thickBot="1" x14ac:dyDescent="0.2">
      <c r="B20" s="80">
        <v>15</v>
      </c>
      <c r="C20" s="81">
        <v>0.4</v>
      </c>
      <c r="D20" s="81">
        <v>0.22</v>
      </c>
    </row>
    <row r="21" spans="2:4" ht="15.75" thickBot="1" x14ac:dyDescent="0.2">
      <c r="B21" s="80">
        <v>16</v>
      </c>
      <c r="C21" s="81">
        <v>0.43</v>
      </c>
      <c r="D21" s="81">
        <v>0.23</v>
      </c>
    </row>
    <row r="22" spans="2:4" ht="15.75" thickBot="1" x14ac:dyDescent="0.2">
      <c r="B22" s="80">
        <v>17</v>
      </c>
      <c r="C22" s="81">
        <v>0.45</v>
      </c>
      <c r="D22" s="81">
        <v>0.25</v>
      </c>
    </row>
    <row r="23" spans="2:4" ht="15.75" thickBot="1" x14ac:dyDescent="0.2">
      <c r="B23" s="80">
        <v>18</v>
      </c>
      <c r="C23" s="81">
        <v>0.47</v>
      </c>
      <c r="D23" s="81">
        <v>0.26</v>
      </c>
    </row>
    <row r="24" spans="2:4" ht="15.75" thickBot="1" x14ac:dyDescent="0.2">
      <c r="B24" s="80">
        <v>19</v>
      </c>
      <c r="C24" s="81">
        <v>0.49</v>
      </c>
      <c r="D24" s="81">
        <v>0.26</v>
      </c>
    </row>
    <row r="25" spans="2:4" ht="15.75" thickBot="1" x14ac:dyDescent="0.2">
      <c r="B25" s="80">
        <v>20</v>
      </c>
      <c r="C25" s="81">
        <v>0.51</v>
      </c>
      <c r="D25" s="81">
        <v>0.27</v>
      </c>
    </row>
    <row r="26" spans="2:4" ht="15.75" thickBot="1" x14ac:dyDescent="0.2">
      <c r="B26" s="80">
        <v>21</v>
      </c>
      <c r="C26" s="81">
        <v>0.53</v>
      </c>
      <c r="D26" s="81">
        <v>0.27</v>
      </c>
    </row>
    <row r="27" spans="2:4" ht="15.75" thickBot="1" x14ac:dyDescent="0.2">
      <c r="B27" s="80">
        <v>22</v>
      </c>
      <c r="C27" s="81">
        <v>0.55000000000000004</v>
      </c>
      <c r="D27" s="81">
        <v>0.28000000000000003</v>
      </c>
    </row>
    <row r="28" spans="2:4" ht="15.75" thickBot="1" x14ac:dyDescent="0.2">
      <c r="B28" s="80">
        <v>23</v>
      </c>
      <c r="C28" s="81">
        <v>0.56999999999999995</v>
      </c>
      <c r="D28" s="81">
        <v>0.28000000000000003</v>
      </c>
    </row>
    <row r="29" spans="2:4" ht="15.75" thickBot="1" x14ac:dyDescent="0.2">
      <c r="B29" s="80">
        <v>24</v>
      </c>
      <c r="C29" s="81">
        <v>0.59</v>
      </c>
      <c r="D29" s="81">
        <v>0.28999999999999998</v>
      </c>
    </row>
    <row r="30" spans="2:4" ht="15.75" thickBot="1" x14ac:dyDescent="0.2">
      <c r="B30" s="80">
        <v>25</v>
      </c>
      <c r="C30" s="81">
        <v>0.62</v>
      </c>
      <c r="D30" s="81">
        <v>0.28999999999999998</v>
      </c>
    </row>
    <row r="31" spans="2:4" ht="15.75" thickBot="1" x14ac:dyDescent="0.2">
      <c r="B31" s="80">
        <v>26</v>
      </c>
      <c r="C31" s="81">
        <v>0.64</v>
      </c>
      <c r="D31" s="81">
        <v>0.3</v>
      </c>
    </row>
    <row r="32" spans="2:4" ht="15.75" thickBot="1" x14ac:dyDescent="0.2">
      <c r="B32" s="80">
        <v>27</v>
      </c>
      <c r="C32" s="81">
        <v>0.68</v>
      </c>
      <c r="D32" s="81">
        <v>0.31</v>
      </c>
    </row>
    <row r="33" spans="2:4" ht="15.75" thickBot="1" x14ac:dyDescent="0.2">
      <c r="B33" s="80">
        <v>28</v>
      </c>
      <c r="C33" s="81">
        <v>0.71</v>
      </c>
      <c r="D33" s="81">
        <v>0.32</v>
      </c>
    </row>
    <row r="34" spans="2:4" ht="15.75" thickBot="1" x14ac:dyDescent="0.2">
      <c r="B34" s="80">
        <v>29</v>
      </c>
      <c r="C34" s="81">
        <v>0.75</v>
      </c>
      <c r="D34" s="81">
        <v>0.33</v>
      </c>
    </row>
    <row r="35" spans="2:4" ht="15.75" thickBot="1" x14ac:dyDescent="0.2">
      <c r="B35" s="80">
        <v>30</v>
      </c>
      <c r="C35" s="81">
        <v>0.8</v>
      </c>
      <c r="D35" s="81">
        <v>0.34</v>
      </c>
    </row>
    <row r="36" spans="2:4" ht="15.75" thickBot="1" x14ac:dyDescent="0.2">
      <c r="B36" s="80">
        <v>31</v>
      </c>
      <c r="C36" s="81">
        <v>0.85</v>
      </c>
      <c r="D36" s="81">
        <v>0.36</v>
      </c>
    </row>
    <row r="37" spans="2:4" ht="15.75" thickBot="1" x14ac:dyDescent="0.2">
      <c r="B37" s="80">
        <v>32</v>
      </c>
      <c r="C37" s="81">
        <v>0.9</v>
      </c>
      <c r="D37" s="81">
        <v>0.37</v>
      </c>
    </row>
    <row r="38" spans="2:4" ht="15.75" thickBot="1" x14ac:dyDescent="0.2">
      <c r="B38" s="80">
        <v>33</v>
      </c>
      <c r="C38" s="81">
        <v>0.97</v>
      </c>
      <c r="D38" s="81">
        <v>0.4</v>
      </c>
    </row>
    <row r="39" spans="2:4" ht="15.75" thickBot="1" x14ac:dyDescent="0.2">
      <c r="B39" s="80">
        <v>34</v>
      </c>
      <c r="C39" s="81">
        <v>1.04</v>
      </c>
      <c r="D39" s="81">
        <v>0.42</v>
      </c>
    </row>
    <row r="40" spans="2:4" ht="15.75" thickBot="1" x14ac:dyDescent="0.2">
      <c r="B40" s="80">
        <v>35</v>
      </c>
      <c r="C40" s="81">
        <v>1.1100000000000001</v>
      </c>
      <c r="D40" s="81">
        <v>0.45</v>
      </c>
    </row>
    <row r="41" spans="2:4" ht="15.75" thickBot="1" x14ac:dyDescent="0.2">
      <c r="B41" s="80">
        <v>36</v>
      </c>
      <c r="C41" s="81">
        <v>1.2</v>
      </c>
      <c r="D41" s="81">
        <v>0.49</v>
      </c>
    </row>
    <row r="42" spans="2:4" ht="15.75" thickBot="1" x14ac:dyDescent="0.2">
      <c r="B42" s="80">
        <v>37</v>
      </c>
      <c r="C42" s="81">
        <v>1.29</v>
      </c>
      <c r="D42" s="81">
        <v>0.53</v>
      </c>
    </row>
    <row r="43" spans="2:4" ht="15.75" thickBot="1" x14ac:dyDescent="0.2">
      <c r="B43" s="80">
        <v>38</v>
      </c>
      <c r="C43" s="81">
        <v>1.4</v>
      </c>
      <c r="D43" s="81">
        <v>0.57999999999999996</v>
      </c>
    </row>
    <row r="44" spans="2:4" ht="15.75" thickBot="1" x14ac:dyDescent="0.2">
      <c r="B44" s="80">
        <v>39</v>
      </c>
      <c r="C44" s="81">
        <v>1.52</v>
      </c>
      <c r="D44" s="81">
        <v>0.63</v>
      </c>
    </row>
    <row r="45" spans="2:4" ht="15.75" thickBot="1" x14ac:dyDescent="0.2">
      <c r="B45" s="80">
        <v>40</v>
      </c>
      <c r="C45" s="81">
        <v>1.65</v>
      </c>
      <c r="D45" s="81">
        <v>0.69</v>
      </c>
    </row>
    <row r="46" spans="2:4" ht="15.75" thickBot="1" x14ac:dyDescent="0.2">
      <c r="B46" s="80">
        <v>41</v>
      </c>
      <c r="C46" s="81">
        <v>1.8</v>
      </c>
      <c r="D46" s="81">
        <v>0.76</v>
      </c>
    </row>
    <row r="47" spans="2:4" ht="15.75" thickBot="1" x14ac:dyDescent="0.2">
      <c r="B47" s="80">
        <v>42</v>
      </c>
      <c r="C47" s="81">
        <v>1.98</v>
      </c>
      <c r="D47" s="81">
        <v>0.84</v>
      </c>
    </row>
    <row r="48" spans="2:4" ht="15.75" thickBot="1" x14ac:dyDescent="0.2">
      <c r="B48" s="80">
        <v>43</v>
      </c>
      <c r="C48" s="81">
        <v>2.17</v>
      </c>
      <c r="D48" s="81">
        <v>0.93</v>
      </c>
    </row>
    <row r="49" spans="2:4" ht="15.75" thickBot="1" x14ac:dyDescent="0.2">
      <c r="B49" s="80">
        <v>44</v>
      </c>
      <c r="C49" s="81">
        <v>2.39</v>
      </c>
      <c r="D49" s="81">
        <v>1.03</v>
      </c>
    </row>
    <row r="50" spans="2:4" ht="15.75" thickBot="1" x14ac:dyDescent="0.2">
      <c r="B50" s="80">
        <v>45</v>
      </c>
      <c r="C50" s="81">
        <v>2.64</v>
      </c>
      <c r="D50" s="81">
        <v>1.1399999999999999</v>
      </c>
    </row>
    <row r="51" spans="2:4" ht="15.75" thickBot="1" x14ac:dyDescent="0.2">
      <c r="B51" s="80">
        <v>46</v>
      </c>
      <c r="C51" s="81">
        <v>2.91</v>
      </c>
      <c r="D51" s="81">
        <v>1.26</v>
      </c>
    </row>
    <row r="52" spans="2:4" ht="15.75" thickBot="1" x14ac:dyDescent="0.2">
      <c r="B52" s="80">
        <v>47</v>
      </c>
      <c r="C52" s="81">
        <v>3.21</v>
      </c>
      <c r="D52" s="81">
        <v>1.39</v>
      </c>
    </row>
    <row r="53" spans="2:4" ht="15.75" thickBot="1" x14ac:dyDescent="0.2">
      <c r="B53" s="80">
        <v>48</v>
      </c>
      <c r="C53" s="81">
        <v>3.54</v>
      </c>
      <c r="D53" s="81">
        <v>1.54</v>
      </c>
    </row>
    <row r="54" spans="2:4" ht="15.75" thickBot="1" x14ac:dyDescent="0.2">
      <c r="B54" s="80">
        <v>49</v>
      </c>
      <c r="C54" s="81">
        <v>3.88</v>
      </c>
      <c r="D54" s="81">
        <v>1.69</v>
      </c>
    </row>
    <row r="55" spans="2:4" ht="15.75" thickBot="1" x14ac:dyDescent="0.2">
      <c r="B55" s="119">
        <v>50</v>
      </c>
      <c r="C55" s="81">
        <v>4.25</v>
      </c>
      <c r="D55" s="81">
        <v>1.86</v>
      </c>
    </row>
    <row r="56" spans="2:4" ht="15.75" thickBot="1" x14ac:dyDescent="0.2">
      <c r="B56" s="80">
        <v>51</v>
      </c>
      <c r="C56" s="81">
        <v>4.63</v>
      </c>
      <c r="D56" s="81">
        <v>2.04</v>
      </c>
    </row>
    <row r="57" spans="2:4" ht="15.75" thickBot="1" x14ac:dyDescent="0.2">
      <c r="B57" s="80">
        <v>52</v>
      </c>
      <c r="C57" s="81">
        <v>5.03</v>
      </c>
      <c r="D57" s="81">
        <v>2.23</v>
      </c>
    </row>
    <row r="58" spans="2:4" ht="15.75" thickBot="1" x14ac:dyDescent="0.2">
      <c r="B58" s="80">
        <v>53</v>
      </c>
      <c r="C58" s="81">
        <v>5.45</v>
      </c>
      <c r="D58" s="81">
        <v>2.42</v>
      </c>
    </row>
    <row r="59" spans="2:4" ht="15.75" thickBot="1" x14ac:dyDescent="0.2">
      <c r="B59" s="80">
        <v>54</v>
      </c>
      <c r="C59" s="81">
        <v>5.87</v>
      </c>
      <c r="D59" s="81">
        <v>2.63</v>
      </c>
    </row>
    <row r="60" spans="2:4" ht="15.75" thickBot="1" x14ac:dyDescent="0.2">
      <c r="B60" s="80">
        <v>55</v>
      </c>
      <c r="C60" s="81">
        <v>6.3</v>
      </c>
      <c r="D60" s="81">
        <v>2.85</v>
      </c>
    </row>
    <row r="61" spans="2:4" ht="15.75" thickBot="1" x14ac:dyDescent="0.2">
      <c r="B61" s="80">
        <v>56</v>
      </c>
      <c r="C61" s="81">
        <v>6.75</v>
      </c>
      <c r="D61" s="81">
        <v>3.09</v>
      </c>
    </row>
    <row r="62" spans="2:4" ht="15.75" thickBot="1" x14ac:dyDescent="0.2">
      <c r="B62" s="80">
        <v>57</v>
      </c>
      <c r="C62" s="81">
        <v>7.23</v>
      </c>
      <c r="D62" s="81">
        <v>3.34</v>
      </c>
    </row>
    <row r="63" spans="2:4" ht="15.75" thickBot="1" x14ac:dyDescent="0.2">
      <c r="B63" s="80">
        <v>58</v>
      </c>
      <c r="C63" s="81">
        <v>7.77</v>
      </c>
      <c r="D63" s="81">
        <v>3.64</v>
      </c>
    </row>
    <row r="64" spans="2:4" ht="15.75" thickBot="1" x14ac:dyDescent="0.2">
      <c r="B64" s="80">
        <v>59</v>
      </c>
      <c r="C64" s="81">
        <v>8.4</v>
      </c>
      <c r="D64" s="81">
        <v>3.99</v>
      </c>
    </row>
    <row r="65" spans="2:4" ht="15.75" thickBot="1" x14ac:dyDescent="0.2">
      <c r="B65" s="80">
        <v>60</v>
      </c>
      <c r="C65" s="81">
        <v>9.16</v>
      </c>
      <c r="D65" s="81">
        <v>4.41</v>
      </c>
    </row>
    <row r="66" spans="2:4" ht="15.75" thickBot="1" x14ac:dyDescent="0.2">
      <c r="B66" s="80">
        <v>61</v>
      </c>
      <c r="C66" s="81">
        <v>10.07</v>
      </c>
      <c r="D66" s="81">
        <v>4.92</v>
      </c>
    </row>
    <row r="67" spans="2:4" ht="15.75" thickBot="1" x14ac:dyDescent="0.2">
      <c r="B67" s="80">
        <v>62</v>
      </c>
      <c r="C67" s="81">
        <v>11.13</v>
      </c>
      <c r="D67" s="81">
        <v>5.53</v>
      </c>
    </row>
    <row r="68" spans="2:4" ht="15.75" thickBot="1" x14ac:dyDescent="0.2">
      <c r="B68" s="80">
        <v>63</v>
      </c>
      <c r="C68" s="81">
        <v>12.36</v>
      </c>
      <c r="D68" s="81">
        <v>6.24</v>
      </c>
    </row>
    <row r="69" spans="2:4" ht="15.75" thickBot="1" x14ac:dyDescent="0.2">
      <c r="B69" s="80">
        <v>64</v>
      </c>
      <c r="C69" s="81">
        <v>13.77</v>
      </c>
      <c r="D69" s="81">
        <v>7.08</v>
      </c>
    </row>
    <row r="70" spans="2:4" ht="15.75" thickBot="1" x14ac:dyDescent="0.2">
      <c r="B70" s="80">
        <v>65</v>
      </c>
      <c r="C70" s="81">
        <v>15.38</v>
      </c>
      <c r="D70" s="81">
        <v>8.0500000000000007</v>
      </c>
    </row>
    <row r="71" spans="2:4" ht="15.75" thickBot="1" x14ac:dyDescent="0.2">
      <c r="B71" s="80">
        <v>66</v>
      </c>
      <c r="C71" s="81">
        <v>17.21</v>
      </c>
      <c r="D71" s="81">
        <v>9.17</v>
      </c>
    </row>
    <row r="72" spans="2:4" ht="15.75" thickBot="1" x14ac:dyDescent="0.2">
      <c r="B72" s="80">
        <v>67</v>
      </c>
      <c r="C72" s="81">
        <v>19.3</v>
      </c>
      <c r="D72" s="81">
        <v>10.46</v>
      </c>
    </row>
    <row r="73" spans="2:4" ht="15.75" thickBot="1" x14ac:dyDescent="0.2">
      <c r="B73" s="80">
        <v>68</v>
      </c>
      <c r="C73" s="81">
        <v>21.69</v>
      </c>
      <c r="D73" s="81">
        <v>11.96</v>
      </c>
    </row>
    <row r="74" spans="2:4" ht="15.75" thickBot="1" x14ac:dyDescent="0.2">
      <c r="B74" s="80">
        <v>69</v>
      </c>
      <c r="C74" s="81">
        <v>24.41</v>
      </c>
      <c r="D74" s="81">
        <v>13.67</v>
      </c>
    </row>
    <row r="75" spans="2:4" ht="15.75" thickBot="1" x14ac:dyDescent="0.2">
      <c r="B75" s="80">
        <v>70</v>
      </c>
      <c r="C75" s="81">
        <v>27.5</v>
      </c>
      <c r="D75" s="81">
        <v>15.64</v>
      </c>
    </row>
    <row r="76" spans="2:4" ht="15.75" thickBot="1" x14ac:dyDescent="0.2">
      <c r="B76" s="80">
        <v>71</v>
      </c>
      <c r="C76" s="81">
        <v>30.97</v>
      </c>
      <c r="D76" s="81">
        <v>17.89</v>
      </c>
    </row>
    <row r="77" spans="2:4" ht="15.75" thickBot="1" x14ac:dyDescent="0.2">
      <c r="B77" s="80">
        <v>72</v>
      </c>
      <c r="C77" s="81">
        <v>34.83</v>
      </c>
      <c r="D77" s="81">
        <v>20.43</v>
      </c>
    </row>
    <row r="78" spans="2:4" ht="15.75" thickBot="1" x14ac:dyDescent="0.2">
      <c r="B78" s="80">
        <v>73</v>
      </c>
      <c r="C78" s="81">
        <v>39.11</v>
      </c>
      <c r="D78" s="81">
        <v>23.3</v>
      </c>
    </row>
    <row r="79" spans="2:4" ht="15.75" thickBot="1" x14ac:dyDescent="0.2">
      <c r="B79" s="80">
        <v>74</v>
      </c>
      <c r="C79" s="81">
        <v>43.8</v>
      </c>
      <c r="D79" s="81">
        <v>26.53</v>
      </c>
    </row>
    <row r="80" spans="2:4" ht="15.75" thickBot="1" x14ac:dyDescent="0.2">
      <c r="B80" s="80">
        <v>75</v>
      </c>
      <c r="C80" s="81">
        <v>48.92</v>
      </c>
      <c r="D80" s="81">
        <v>30.14</v>
      </c>
    </row>
    <row r="81" spans="2:4" ht="15.75" thickBot="1" x14ac:dyDescent="0.2">
      <c r="B81" s="80">
        <v>76</v>
      </c>
      <c r="C81" s="81">
        <v>54.51</v>
      </c>
      <c r="D81" s="81">
        <v>34.17</v>
      </c>
    </row>
    <row r="82" spans="2:4" ht="15.75" thickBot="1" x14ac:dyDescent="0.2">
      <c r="B82" s="80">
        <v>77</v>
      </c>
      <c r="C82" s="81">
        <v>60.59</v>
      </c>
      <c r="D82" s="81">
        <v>38.65</v>
      </c>
    </row>
    <row r="83" spans="2:4" ht="15.75" thickBot="1" x14ac:dyDescent="0.2">
      <c r="B83" s="80">
        <v>78</v>
      </c>
      <c r="C83" s="81">
        <v>67.2</v>
      </c>
      <c r="D83" s="81">
        <v>43.65</v>
      </c>
    </row>
    <row r="84" spans="2:4" ht="15.75" thickBot="1" x14ac:dyDescent="0.2">
      <c r="B84" s="80">
        <v>79</v>
      </c>
      <c r="C84" s="81">
        <v>74.400000000000006</v>
      </c>
      <c r="D84" s="81">
        <v>49.21</v>
      </c>
    </row>
    <row r="85" spans="2:4" ht="15.75" thickBot="1" x14ac:dyDescent="0.2">
      <c r="B85" s="80">
        <v>80</v>
      </c>
      <c r="C85" s="81">
        <v>82.22</v>
      </c>
      <c r="D85" s="81">
        <v>55.39</v>
      </c>
    </row>
    <row r="86" spans="2:4" ht="15.75" thickBot="1" x14ac:dyDescent="0.2">
      <c r="B86" s="80">
        <v>81</v>
      </c>
      <c r="C86" s="81">
        <v>90.7</v>
      </c>
      <c r="D86" s="81">
        <v>62.25</v>
      </c>
    </row>
    <row r="87" spans="2:4" ht="15.75" thickBot="1" x14ac:dyDescent="0.2">
      <c r="B87" s="80">
        <v>82</v>
      </c>
      <c r="C87" s="81">
        <v>99.87</v>
      </c>
      <c r="D87" s="81">
        <v>69.88</v>
      </c>
    </row>
    <row r="88" spans="2:4" ht="15.75" thickBot="1" x14ac:dyDescent="0.2">
      <c r="B88" s="80">
        <v>83</v>
      </c>
      <c r="C88" s="81">
        <v>109.75</v>
      </c>
      <c r="D88" s="81">
        <v>78.319999999999993</v>
      </c>
    </row>
    <row r="89" spans="2:4" ht="15.75" thickBot="1" x14ac:dyDescent="0.2">
      <c r="B89" s="80">
        <v>84</v>
      </c>
      <c r="C89" s="81">
        <v>120.39</v>
      </c>
      <c r="D89" s="81">
        <v>87.61</v>
      </c>
    </row>
    <row r="90" spans="2:4" ht="15.75" thickBot="1" x14ac:dyDescent="0.2">
      <c r="B90" s="80">
        <v>85</v>
      </c>
      <c r="C90" s="81">
        <v>131.82</v>
      </c>
      <c r="D90" s="81">
        <v>97.75</v>
      </c>
    </row>
    <row r="91" spans="2:4" ht="15.75" thickBot="1" x14ac:dyDescent="0.2">
      <c r="B91" s="80">
        <v>86</v>
      </c>
      <c r="C91" s="81">
        <v>144.11000000000001</v>
      </c>
      <c r="D91" s="81">
        <v>108.7</v>
      </c>
    </row>
    <row r="92" spans="2:4" ht="15.75" thickBot="1" x14ac:dyDescent="0.2">
      <c r="B92" s="80">
        <v>87</v>
      </c>
      <c r="C92" s="81">
        <v>157.33000000000001</v>
      </c>
      <c r="D92" s="81">
        <v>120.37</v>
      </c>
    </row>
    <row r="93" spans="2:4" ht="15.75" thickBot="1" x14ac:dyDescent="0.2">
      <c r="B93" s="80">
        <v>88</v>
      </c>
      <c r="C93" s="81">
        <v>171.61</v>
      </c>
      <c r="D93" s="81">
        <v>132.63999999999999</v>
      </c>
    </row>
    <row r="94" spans="2:4" ht="15.75" thickBot="1" x14ac:dyDescent="0.2">
      <c r="B94" s="80">
        <v>89</v>
      </c>
      <c r="C94" s="81">
        <v>187.05</v>
      </c>
      <c r="D94" s="81">
        <v>145.4</v>
      </c>
    </row>
    <row r="95" spans="2:4" ht="15.75" thickBot="1" x14ac:dyDescent="0.2">
      <c r="B95" s="80">
        <v>90</v>
      </c>
      <c r="C95" s="81">
        <v>203.77</v>
      </c>
      <c r="D95" s="81">
        <v>158.57</v>
      </c>
    </row>
    <row r="96" spans="2:4" ht="15.75" thickBot="1" x14ac:dyDescent="0.2">
      <c r="B96" s="80">
        <v>91</v>
      </c>
      <c r="C96" s="81">
        <v>221.87</v>
      </c>
      <c r="D96" s="81">
        <v>172.17</v>
      </c>
    </row>
    <row r="97" spans="2:4" ht="15.75" thickBot="1" x14ac:dyDescent="0.2">
      <c r="B97" s="80">
        <v>92</v>
      </c>
      <c r="C97" s="81">
        <v>241.45</v>
      </c>
      <c r="D97" s="81">
        <v>186.29</v>
      </c>
    </row>
    <row r="98" spans="2:4" ht="15.75" thickBot="1" x14ac:dyDescent="0.2">
      <c r="B98" s="80">
        <v>93</v>
      </c>
      <c r="C98" s="81">
        <v>262.54000000000002</v>
      </c>
      <c r="D98" s="81">
        <v>201.13</v>
      </c>
    </row>
    <row r="99" spans="2:4" ht="15.75" thickBot="1" x14ac:dyDescent="0.2">
      <c r="B99" s="80">
        <v>94</v>
      </c>
      <c r="C99" s="81">
        <v>285.13</v>
      </c>
      <c r="D99" s="81">
        <v>216.94</v>
      </c>
    </row>
    <row r="100" spans="2:4" ht="15.75" thickBot="1" x14ac:dyDescent="0.2">
      <c r="B100" s="80">
        <v>95</v>
      </c>
      <c r="C100" s="81">
        <v>309.16000000000003</v>
      </c>
      <c r="D100" s="81">
        <v>234.03</v>
      </c>
    </row>
    <row r="101" spans="2:4" ht="15.75" thickBot="1" x14ac:dyDescent="0.2">
      <c r="B101" s="80">
        <v>96</v>
      </c>
      <c r="C101" s="81">
        <v>334.53</v>
      </c>
      <c r="D101" s="81">
        <v>252.67</v>
      </c>
    </row>
    <row r="102" spans="2:4" ht="15.75" thickBot="1" x14ac:dyDescent="0.2">
      <c r="B102" s="80">
        <v>97</v>
      </c>
      <c r="C102" s="81">
        <v>361.1</v>
      </c>
      <c r="D102" s="81">
        <v>273.11</v>
      </c>
    </row>
    <row r="103" spans="2:4" ht="15.75" thickBot="1" x14ac:dyDescent="0.2">
      <c r="B103" s="80">
        <v>98</v>
      </c>
      <c r="C103" s="81">
        <v>388.73</v>
      </c>
      <c r="D103" s="81">
        <v>295.48</v>
      </c>
    </row>
    <row r="104" spans="2:4" ht="15.75" thickBot="1" x14ac:dyDescent="0.2">
      <c r="B104" s="80">
        <v>99</v>
      </c>
      <c r="C104" s="81">
        <v>417.26</v>
      </c>
      <c r="D104" s="81">
        <v>319.79000000000002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K747"/>
  <sheetViews>
    <sheetView showGridLines="0" topLeftCell="A165" workbookViewId="0">
      <selection activeCell="G195" sqref="G195"/>
    </sheetView>
  </sheetViews>
  <sheetFormatPr defaultRowHeight="16.5" x14ac:dyDescent="0.15"/>
  <cols>
    <col min="1" max="5" width="9" style="19"/>
    <col min="6" max="7" width="9.25" style="19" bestFit="1" customWidth="1"/>
    <col min="8" max="10" width="9" style="19"/>
    <col min="11" max="11" width="11.5" style="19" customWidth="1"/>
    <col min="12" max="16384" width="9" style="19"/>
  </cols>
  <sheetData>
    <row r="1" spans="2:11" x14ac:dyDescent="0.15">
      <c r="C1" s="18" t="s">
        <v>11</v>
      </c>
      <c r="D1" s="18" t="s">
        <v>12</v>
      </c>
      <c r="E1" s="18" t="s">
        <v>13</v>
      </c>
      <c r="F1" s="18" t="s">
        <v>14</v>
      </c>
      <c r="G1" s="18" t="s">
        <v>15</v>
      </c>
      <c r="J1" s="19" t="s">
        <v>26</v>
      </c>
      <c r="K1" s="19" t="s">
        <v>27</v>
      </c>
    </row>
    <row r="2" spans="2:11" x14ac:dyDescent="0.15">
      <c r="B2" s="19" t="str">
        <f>C2&amp;"_"&amp;D2&amp;"_"&amp;E2</f>
        <v>1_男_0</v>
      </c>
      <c r="C2" s="18">
        <v>1</v>
      </c>
      <c r="D2" s="18" t="s">
        <v>9</v>
      </c>
      <c r="E2" s="18">
        <v>0</v>
      </c>
      <c r="F2" s="116">
        <v>32552</v>
      </c>
      <c r="G2" s="117">
        <v>31</v>
      </c>
      <c r="J2" s="19" t="s">
        <v>16</v>
      </c>
      <c r="K2" s="19">
        <v>50</v>
      </c>
    </row>
    <row r="3" spans="2:11" x14ac:dyDescent="0.15">
      <c r="B3" s="19" t="str">
        <f t="shared" ref="B3:B66" si="0">C3&amp;"_"&amp;D3&amp;"_"&amp;E3</f>
        <v>1_男_1</v>
      </c>
      <c r="C3" s="18">
        <v>1</v>
      </c>
      <c r="D3" s="18" t="s">
        <v>9</v>
      </c>
      <c r="E3" s="18">
        <v>1</v>
      </c>
      <c r="F3" s="116">
        <v>32562.799999999999</v>
      </c>
      <c r="G3" s="117">
        <v>31</v>
      </c>
      <c r="J3" s="19" t="s">
        <v>17</v>
      </c>
      <c r="K3" s="19">
        <v>50</v>
      </c>
    </row>
    <row r="4" spans="2:11" x14ac:dyDescent="0.15">
      <c r="B4" s="19" t="str">
        <f t="shared" si="0"/>
        <v>1_男_2</v>
      </c>
      <c r="C4" s="18">
        <v>1</v>
      </c>
      <c r="D4" s="18" t="s">
        <v>9</v>
      </c>
      <c r="E4" s="18">
        <v>2</v>
      </c>
      <c r="F4" s="116">
        <v>32574.1</v>
      </c>
      <c r="G4" s="117">
        <v>31</v>
      </c>
      <c r="J4" s="19" t="s">
        <v>10</v>
      </c>
      <c r="K4" s="19">
        <v>50</v>
      </c>
    </row>
    <row r="5" spans="2:11" x14ac:dyDescent="0.15">
      <c r="B5" s="19" t="str">
        <f t="shared" si="0"/>
        <v>1_男_3</v>
      </c>
      <c r="C5" s="18">
        <v>1</v>
      </c>
      <c r="D5" s="18" t="s">
        <v>9</v>
      </c>
      <c r="E5" s="18">
        <v>3</v>
      </c>
      <c r="F5" s="116">
        <v>32585.9</v>
      </c>
      <c r="G5" s="117">
        <v>31</v>
      </c>
      <c r="J5" s="19" t="s">
        <v>18</v>
      </c>
      <c r="K5" s="19">
        <v>45</v>
      </c>
    </row>
    <row r="6" spans="2:11" x14ac:dyDescent="0.15">
      <c r="B6" s="19" t="str">
        <f t="shared" si="0"/>
        <v>1_男_4</v>
      </c>
      <c r="C6" s="18">
        <v>1</v>
      </c>
      <c r="D6" s="18" t="s">
        <v>9</v>
      </c>
      <c r="E6" s="18">
        <v>4</v>
      </c>
      <c r="F6" s="116">
        <v>32598.2</v>
      </c>
      <c r="G6" s="117">
        <v>31</v>
      </c>
    </row>
    <row r="7" spans="2:11" x14ac:dyDescent="0.15">
      <c r="B7" s="19" t="str">
        <f t="shared" si="0"/>
        <v>1_男_5</v>
      </c>
      <c r="C7" s="18">
        <v>1</v>
      </c>
      <c r="D7" s="18" t="s">
        <v>9</v>
      </c>
      <c r="E7" s="18">
        <v>5</v>
      </c>
      <c r="F7" s="116">
        <v>32610.799999999999</v>
      </c>
      <c r="G7" s="117">
        <v>31</v>
      </c>
    </row>
    <row r="8" spans="2:11" x14ac:dyDescent="0.15">
      <c r="B8" s="19" t="str">
        <f t="shared" si="0"/>
        <v>1_男_6</v>
      </c>
      <c r="C8" s="18">
        <v>1</v>
      </c>
      <c r="D8" s="18" t="s">
        <v>9</v>
      </c>
      <c r="E8" s="18">
        <v>6</v>
      </c>
      <c r="F8" s="116">
        <v>32623.9</v>
      </c>
      <c r="G8" s="117">
        <v>31</v>
      </c>
    </row>
    <row r="9" spans="2:11" x14ac:dyDescent="0.15">
      <c r="B9" s="19" t="str">
        <f t="shared" si="0"/>
        <v>1_男_7</v>
      </c>
      <c r="C9" s="18">
        <v>1</v>
      </c>
      <c r="D9" s="18" t="s">
        <v>9</v>
      </c>
      <c r="E9" s="18">
        <v>7</v>
      </c>
      <c r="F9" s="116">
        <v>32637.5</v>
      </c>
      <c r="G9" s="117">
        <v>31</v>
      </c>
    </row>
    <row r="10" spans="2:11" x14ac:dyDescent="0.15">
      <c r="B10" s="19" t="str">
        <f t="shared" si="0"/>
        <v>1_男_8</v>
      </c>
      <c r="C10" s="18">
        <v>1</v>
      </c>
      <c r="D10" s="18" t="s">
        <v>9</v>
      </c>
      <c r="E10" s="18">
        <v>8</v>
      </c>
      <c r="F10" s="116">
        <v>32651.599999999999</v>
      </c>
      <c r="G10" s="117">
        <v>31</v>
      </c>
    </row>
    <row r="11" spans="2:11" x14ac:dyDescent="0.15">
      <c r="B11" s="19" t="str">
        <f t="shared" si="0"/>
        <v>1_男_9</v>
      </c>
      <c r="C11" s="18">
        <v>1</v>
      </c>
      <c r="D11" s="18" t="s">
        <v>9</v>
      </c>
      <c r="E11" s="18">
        <v>9</v>
      </c>
      <c r="F11" s="116">
        <v>32666.1</v>
      </c>
      <c r="G11" s="117">
        <v>31</v>
      </c>
    </row>
    <row r="12" spans="2:11" x14ac:dyDescent="0.15">
      <c r="B12" s="19" t="str">
        <f t="shared" si="0"/>
        <v>1_男_10</v>
      </c>
      <c r="C12" s="18">
        <v>1</v>
      </c>
      <c r="D12" s="18" t="s">
        <v>9</v>
      </c>
      <c r="E12" s="18">
        <v>10</v>
      </c>
      <c r="F12" s="116">
        <v>32681.200000000001</v>
      </c>
      <c r="G12" s="117">
        <v>31</v>
      </c>
    </row>
    <row r="13" spans="2:11" x14ac:dyDescent="0.15">
      <c r="B13" s="19" t="str">
        <f t="shared" si="0"/>
        <v>1_男_11</v>
      </c>
      <c r="C13" s="18">
        <v>1</v>
      </c>
      <c r="D13" s="18" t="s">
        <v>9</v>
      </c>
      <c r="E13" s="18">
        <v>11</v>
      </c>
      <c r="F13" s="116">
        <v>32696.799999999999</v>
      </c>
      <c r="G13" s="117">
        <v>31</v>
      </c>
    </row>
    <row r="14" spans="2:11" x14ac:dyDescent="0.15">
      <c r="B14" s="19" t="str">
        <f t="shared" si="0"/>
        <v>1_男_12</v>
      </c>
      <c r="C14" s="18">
        <v>1</v>
      </c>
      <c r="D14" s="18" t="s">
        <v>9</v>
      </c>
      <c r="E14" s="18">
        <v>12</v>
      </c>
      <c r="F14" s="116">
        <v>32712.9</v>
      </c>
      <c r="G14" s="117">
        <v>31</v>
      </c>
    </row>
    <row r="15" spans="2:11" x14ac:dyDescent="0.15">
      <c r="B15" s="19" t="str">
        <f t="shared" si="0"/>
        <v>1_男_13</v>
      </c>
      <c r="C15" s="18">
        <v>1</v>
      </c>
      <c r="D15" s="18" t="s">
        <v>9</v>
      </c>
      <c r="E15" s="18">
        <v>13</v>
      </c>
      <c r="F15" s="116">
        <v>32729.5</v>
      </c>
      <c r="G15" s="117">
        <v>31</v>
      </c>
    </row>
    <row r="16" spans="2:11" x14ac:dyDescent="0.15">
      <c r="B16" s="19" t="str">
        <f t="shared" si="0"/>
        <v>1_男_14</v>
      </c>
      <c r="C16" s="18">
        <v>1</v>
      </c>
      <c r="D16" s="18" t="s">
        <v>9</v>
      </c>
      <c r="E16" s="18">
        <v>14</v>
      </c>
      <c r="F16" s="116">
        <v>32746.799999999999</v>
      </c>
      <c r="G16" s="117">
        <v>31</v>
      </c>
    </row>
    <row r="17" spans="2:7" x14ac:dyDescent="0.15">
      <c r="B17" s="19" t="str">
        <f t="shared" si="0"/>
        <v>1_男_15</v>
      </c>
      <c r="C17" s="18">
        <v>1</v>
      </c>
      <c r="D17" s="18" t="s">
        <v>9</v>
      </c>
      <c r="E17" s="18">
        <v>15</v>
      </c>
      <c r="F17" s="116">
        <v>32764.5</v>
      </c>
      <c r="G17" s="117">
        <v>31</v>
      </c>
    </row>
    <row r="18" spans="2:7" x14ac:dyDescent="0.15">
      <c r="B18" s="19" t="str">
        <f t="shared" si="0"/>
        <v>1_男_16</v>
      </c>
      <c r="C18" s="18">
        <v>1</v>
      </c>
      <c r="D18" s="18" t="s">
        <v>9</v>
      </c>
      <c r="E18" s="18">
        <v>16</v>
      </c>
      <c r="F18" s="116">
        <v>32782.9</v>
      </c>
      <c r="G18" s="117">
        <v>31</v>
      </c>
    </row>
    <row r="19" spans="2:7" x14ac:dyDescent="0.15">
      <c r="B19" s="19" t="str">
        <f t="shared" si="0"/>
        <v>1_男_17</v>
      </c>
      <c r="C19" s="18">
        <v>1</v>
      </c>
      <c r="D19" s="18" t="s">
        <v>9</v>
      </c>
      <c r="E19" s="18">
        <v>17</v>
      </c>
      <c r="F19" s="116">
        <v>32801.800000000003</v>
      </c>
      <c r="G19" s="117">
        <v>31</v>
      </c>
    </row>
    <row r="20" spans="2:7" x14ac:dyDescent="0.15">
      <c r="B20" s="19" t="str">
        <f t="shared" si="0"/>
        <v>1_男_18</v>
      </c>
      <c r="C20" s="18">
        <v>1</v>
      </c>
      <c r="D20" s="18" t="s">
        <v>9</v>
      </c>
      <c r="E20" s="18">
        <v>18</v>
      </c>
      <c r="F20" s="116">
        <v>32821.4</v>
      </c>
      <c r="G20" s="117">
        <v>31</v>
      </c>
    </row>
    <row r="21" spans="2:7" x14ac:dyDescent="0.15">
      <c r="B21" s="19" t="str">
        <f t="shared" si="0"/>
        <v>1_男_19</v>
      </c>
      <c r="C21" s="18">
        <v>1</v>
      </c>
      <c r="D21" s="18" t="s">
        <v>9</v>
      </c>
      <c r="E21" s="18">
        <v>19</v>
      </c>
      <c r="F21" s="116">
        <v>32841.599999999999</v>
      </c>
      <c r="G21" s="117">
        <v>31</v>
      </c>
    </row>
    <row r="22" spans="2:7" x14ac:dyDescent="0.15">
      <c r="B22" s="19" t="str">
        <f t="shared" si="0"/>
        <v>1_男_20</v>
      </c>
      <c r="C22" s="18">
        <v>1</v>
      </c>
      <c r="D22" s="18" t="s">
        <v>9</v>
      </c>
      <c r="E22" s="18">
        <v>20</v>
      </c>
      <c r="F22" s="116">
        <v>32862.5</v>
      </c>
      <c r="G22" s="117">
        <v>31</v>
      </c>
    </row>
    <row r="23" spans="2:7" x14ac:dyDescent="0.15">
      <c r="B23" s="19" t="str">
        <f t="shared" si="0"/>
        <v>1_男_21</v>
      </c>
      <c r="C23" s="18">
        <v>1</v>
      </c>
      <c r="D23" s="18" t="s">
        <v>9</v>
      </c>
      <c r="E23" s="18">
        <v>21</v>
      </c>
      <c r="F23" s="116">
        <v>32884.1</v>
      </c>
      <c r="G23" s="117">
        <v>31</v>
      </c>
    </row>
    <row r="24" spans="2:7" x14ac:dyDescent="0.15">
      <c r="B24" s="19" t="str">
        <f t="shared" si="0"/>
        <v>1_男_22</v>
      </c>
      <c r="C24" s="18">
        <v>1</v>
      </c>
      <c r="D24" s="18" t="s">
        <v>9</v>
      </c>
      <c r="E24" s="18">
        <v>22</v>
      </c>
      <c r="F24" s="116">
        <v>32906.400000000001</v>
      </c>
      <c r="G24" s="117">
        <v>31</v>
      </c>
    </row>
    <row r="25" spans="2:7" x14ac:dyDescent="0.15">
      <c r="B25" s="19" t="str">
        <f t="shared" si="0"/>
        <v>1_男_23</v>
      </c>
      <c r="C25" s="18">
        <v>1</v>
      </c>
      <c r="D25" s="18" t="s">
        <v>9</v>
      </c>
      <c r="E25" s="18">
        <v>23</v>
      </c>
      <c r="F25" s="116">
        <v>32929.4</v>
      </c>
      <c r="G25" s="117">
        <v>31</v>
      </c>
    </row>
    <row r="26" spans="2:7" x14ac:dyDescent="0.15">
      <c r="B26" s="19" t="str">
        <f t="shared" si="0"/>
        <v>1_男_24</v>
      </c>
      <c r="C26" s="18">
        <v>1</v>
      </c>
      <c r="D26" s="18" t="s">
        <v>9</v>
      </c>
      <c r="E26" s="18">
        <v>24</v>
      </c>
      <c r="F26" s="116">
        <v>32953.199999999997</v>
      </c>
      <c r="G26" s="117">
        <v>31</v>
      </c>
    </row>
    <row r="27" spans="2:7" x14ac:dyDescent="0.15">
      <c r="B27" s="19" t="str">
        <f t="shared" si="0"/>
        <v>1_男_25</v>
      </c>
      <c r="C27" s="18">
        <v>1</v>
      </c>
      <c r="D27" s="18" t="s">
        <v>9</v>
      </c>
      <c r="E27" s="18">
        <v>25</v>
      </c>
      <c r="F27" s="116">
        <v>32977.800000000003</v>
      </c>
      <c r="G27" s="117">
        <v>31</v>
      </c>
    </row>
    <row r="28" spans="2:7" x14ac:dyDescent="0.15">
      <c r="B28" s="19" t="str">
        <f t="shared" si="0"/>
        <v>1_男_26</v>
      </c>
      <c r="C28" s="18">
        <v>1</v>
      </c>
      <c r="D28" s="18" t="s">
        <v>9</v>
      </c>
      <c r="E28" s="18">
        <v>26</v>
      </c>
      <c r="F28" s="116">
        <v>33003.300000000003</v>
      </c>
      <c r="G28" s="117">
        <v>31</v>
      </c>
    </row>
    <row r="29" spans="2:7" x14ac:dyDescent="0.15">
      <c r="B29" s="19" t="str">
        <f t="shared" si="0"/>
        <v>1_男_27</v>
      </c>
      <c r="C29" s="18">
        <v>1</v>
      </c>
      <c r="D29" s="18" t="s">
        <v>9</v>
      </c>
      <c r="E29" s="18">
        <v>27</v>
      </c>
      <c r="F29" s="116">
        <v>33029.699999999997</v>
      </c>
      <c r="G29" s="117">
        <v>31</v>
      </c>
    </row>
    <row r="30" spans="2:7" x14ac:dyDescent="0.15">
      <c r="B30" s="19" t="str">
        <f t="shared" si="0"/>
        <v>1_男_28</v>
      </c>
      <c r="C30" s="18">
        <v>1</v>
      </c>
      <c r="D30" s="18" t="s">
        <v>9</v>
      </c>
      <c r="E30" s="18">
        <v>28</v>
      </c>
      <c r="F30" s="116">
        <v>33056.9</v>
      </c>
      <c r="G30" s="117">
        <v>31</v>
      </c>
    </row>
    <row r="31" spans="2:7" x14ac:dyDescent="0.15">
      <c r="B31" s="19" t="str">
        <f t="shared" si="0"/>
        <v>1_男_29</v>
      </c>
      <c r="C31" s="18">
        <v>1</v>
      </c>
      <c r="D31" s="18" t="s">
        <v>9</v>
      </c>
      <c r="E31" s="18">
        <v>29</v>
      </c>
      <c r="F31" s="116">
        <v>33085.199999999997</v>
      </c>
      <c r="G31" s="117">
        <v>31</v>
      </c>
    </row>
    <row r="32" spans="2:7" x14ac:dyDescent="0.15">
      <c r="B32" s="19" t="str">
        <f t="shared" si="0"/>
        <v>1_男_30</v>
      </c>
      <c r="C32" s="18">
        <v>1</v>
      </c>
      <c r="D32" s="18" t="s">
        <v>9</v>
      </c>
      <c r="E32" s="18">
        <v>30</v>
      </c>
      <c r="F32" s="116">
        <v>33114.400000000001</v>
      </c>
      <c r="G32" s="117">
        <v>31</v>
      </c>
    </row>
    <row r="33" spans="2:7" x14ac:dyDescent="0.15">
      <c r="B33" s="19" t="str">
        <f t="shared" si="0"/>
        <v>1_男_31</v>
      </c>
      <c r="C33" s="18">
        <v>1</v>
      </c>
      <c r="D33" s="18" t="s">
        <v>9</v>
      </c>
      <c r="E33" s="18">
        <v>31</v>
      </c>
      <c r="F33" s="116">
        <v>33144.6</v>
      </c>
      <c r="G33" s="117">
        <v>31</v>
      </c>
    </row>
    <row r="34" spans="2:7" x14ac:dyDescent="0.15">
      <c r="B34" s="19" t="str">
        <f t="shared" si="0"/>
        <v>1_男_32</v>
      </c>
      <c r="C34" s="18">
        <v>1</v>
      </c>
      <c r="D34" s="18" t="s">
        <v>9</v>
      </c>
      <c r="E34" s="18">
        <v>32</v>
      </c>
      <c r="F34" s="116">
        <v>33175.9</v>
      </c>
      <c r="G34" s="117">
        <v>31</v>
      </c>
    </row>
    <row r="35" spans="2:7" x14ac:dyDescent="0.15">
      <c r="B35" s="19" t="str">
        <f t="shared" si="0"/>
        <v>1_男_33</v>
      </c>
      <c r="C35" s="18">
        <v>1</v>
      </c>
      <c r="D35" s="18" t="s">
        <v>9</v>
      </c>
      <c r="E35" s="18">
        <v>33</v>
      </c>
      <c r="F35" s="116">
        <v>33208.400000000001</v>
      </c>
      <c r="G35" s="117">
        <v>31</v>
      </c>
    </row>
    <row r="36" spans="2:7" x14ac:dyDescent="0.15">
      <c r="B36" s="19" t="str">
        <f t="shared" si="0"/>
        <v>1_男_34</v>
      </c>
      <c r="C36" s="18">
        <v>1</v>
      </c>
      <c r="D36" s="18" t="s">
        <v>9</v>
      </c>
      <c r="E36" s="18">
        <v>34</v>
      </c>
      <c r="F36" s="116">
        <v>33242</v>
      </c>
      <c r="G36" s="117">
        <v>31</v>
      </c>
    </row>
    <row r="37" spans="2:7" x14ac:dyDescent="0.15">
      <c r="B37" s="19" t="str">
        <f t="shared" si="0"/>
        <v>1_男_35</v>
      </c>
      <c r="C37" s="18">
        <v>1</v>
      </c>
      <c r="D37" s="18" t="s">
        <v>9</v>
      </c>
      <c r="E37" s="18">
        <v>35</v>
      </c>
      <c r="F37" s="116">
        <v>33276.800000000003</v>
      </c>
      <c r="G37" s="117">
        <v>31</v>
      </c>
    </row>
    <row r="38" spans="2:7" x14ac:dyDescent="0.15">
      <c r="B38" s="19" t="str">
        <f t="shared" si="0"/>
        <v>1_男_36</v>
      </c>
      <c r="C38" s="18">
        <v>1</v>
      </c>
      <c r="D38" s="18" t="s">
        <v>9</v>
      </c>
      <c r="E38" s="18">
        <v>36</v>
      </c>
      <c r="F38" s="116">
        <v>33312.9</v>
      </c>
      <c r="G38" s="117">
        <v>31</v>
      </c>
    </row>
    <row r="39" spans="2:7" x14ac:dyDescent="0.15">
      <c r="B39" s="19" t="str">
        <f t="shared" si="0"/>
        <v>1_男_37</v>
      </c>
      <c r="C39" s="18">
        <v>1</v>
      </c>
      <c r="D39" s="18" t="s">
        <v>9</v>
      </c>
      <c r="E39" s="18">
        <v>37</v>
      </c>
      <c r="F39" s="116">
        <v>33350.400000000001</v>
      </c>
      <c r="G39" s="117">
        <v>30</v>
      </c>
    </row>
    <row r="40" spans="2:7" x14ac:dyDescent="0.15">
      <c r="B40" s="19" t="str">
        <f t="shared" si="0"/>
        <v>1_男_38</v>
      </c>
      <c r="C40" s="18">
        <v>1</v>
      </c>
      <c r="D40" s="18" t="s">
        <v>9</v>
      </c>
      <c r="E40" s="18">
        <v>38</v>
      </c>
      <c r="F40" s="116">
        <v>33389.199999999997</v>
      </c>
      <c r="G40" s="117">
        <v>30</v>
      </c>
    </row>
    <row r="41" spans="2:7" x14ac:dyDescent="0.15">
      <c r="B41" s="19" t="str">
        <f t="shared" si="0"/>
        <v>1_男_39</v>
      </c>
      <c r="C41" s="18">
        <v>1</v>
      </c>
      <c r="D41" s="18" t="s">
        <v>9</v>
      </c>
      <c r="E41" s="18">
        <v>39</v>
      </c>
      <c r="F41" s="116">
        <v>33429.4</v>
      </c>
      <c r="G41" s="117">
        <v>30</v>
      </c>
    </row>
    <row r="42" spans="2:7" x14ac:dyDescent="0.15">
      <c r="B42" s="19" t="str">
        <f t="shared" si="0"/>
        <v>1_男_40</v>
      </c>
      <c r="C42" s="18">
        <v>1</v>
      </c>
      <c r="D42" s="18" t="s">
        <v>9</v>
      </c>
      <c r="E42" s="18">
        <v>40</v>
      </c>
      <c r="F42" s="116">
        <v>33471.1</v>
      </c>
      <c r="G42" s="117">
        <v>30</v>
      </c>
    </row>
    <row r="43" spans="2:7" x14ac:dyDescent="0.15">
      <c r="B43" s="19" t="str">
        <f t="shared" si="0"/>
        <v>1_男_41</v>
      </c>
      <c r="C43" s="18">
        <v>1</v>
      </c>
      <c r="D43" s="18" t="s">
        <v>9</v>
      </c>
      <c r="E43" s="18">
        <v>41</v>
      </c>
      <c r="F43" s="116">
        <v>33514.400000000001</v>
      </c>
      <c r="G43" s="117">
        <v>30</v>
      </c>
    </row>
    <row r="44" spans="2:7" x14ac:dyDescent="0.15">
      <c r="B44" s="19" t="str">
        <f t="shared" si="0"/>
        <v>1_男_42</v>
      </c>
      <c r="C44" s="18">
        <v>1</v>
      </c>
      <c r="D44" s="18" t="s">
        <v>9</v>
      </c>
      <c r="E44" s="18">
        <v>42</v>
      </c>
      <c r="F44" s="116">
        <v>33559.4</v>
      </c>
      <c r="G44" s="117">
        <v>30</v>
      </c>
    </row>
    <row r="45" spans="2:7" x14ac:dyDescent="0.15">
      <c r="B45" s="19" t="str">
        <f t="shared" si="0"/>
        <v>1_男_43</v>
      </c>
      <c r="C45" s="18">
        <v>1</v>
      </c>
      <c r="D45" s="18" t="s">
        <v>9</v>
      </c>
      <c r="E45" s="18">
        <v>43</v>
      </c>
      <c r="F45" s="116">
        <v>33606</v>
      </c>
      <c r="G45" s="117">
        <v>30</v>
      </c>
    </row>
    <row r="46" spans="2:7" x14ac:dyDescent="0.15">
      <c r="B46" s="19" t="str">
        <f t="shared" si="0"/>
        <v>1_男_44</v>
      </c>
      <c r="C46" s="18">
        <v>1</v>
      </c>
      <c r="D46" s="18" t="s">
        <v>9</v>
      </c>
      <c r="E46" s="18">
        <v>44</v>
      </c>
      <c r="F46" s="116">
        <v>33654.300000000003</v>
      </c>
      <c r="G46" s="117">
        <v>30</v>
      </c>
    </row>
    <row r="47" spans="2:7" x14ac:dyDescent="0.15">
      <c r="B47" s="19" t="str">
        <f t="shared" si="0"/>
        <v>1_男_45</v>
      </c>
      <c r="C47" s="18">
        <v>1</v>
      </c>
      <c r="D47" s="18" t="s">
        <v>9</v>
      </c>
      <c r="E47" s="18">
        <v>45</v>
      </c>
      <c r="F47" s="116">
        <v>33704.5</v>
      </c>
      <c r="G47" s="117">
        <v>30</v>
      </c>
    </row>
    <row r="48" spans="2:7" x14ac:dyDescent="0.15">
      <c r="B48" s="19" t="str">
        <f t="shared" si="0"/>
        <v>1_男_46</v>
      </c>
      <c r="C48" s="18">
        <v>1</v>
      </c>
      <c r="D48" s="18" t="s">
        <v>9</v>
      </c>
      <c r="E48" s="18">
        <v>46</v>
      </c>
      <c r="F48" s="116">
        <v>33756.5</v>
      </c>
      <c r="G48" s="117">
        <v>30</v>
      </c>
    </row>
    <row r="49" spans="2:7" x14ac:dyDescent="0.15">
      <c r="B49" s="19" t="str">
        <f t="shared" si="0"/>
        <v>1_男_47</v>
      </c>
      <c r="C49" s="18">
        <v>1</v>
      </c>
      <c r="D49" s="18" t="s">
        <v>9</v>
      </c>
      <c r="E49" s="18">
        <v>47</v>
      </c>
      <c r="F49" s="116">
        <v>33810.5</v>
      </c>
      <c r="G49" s="117">
        <v>30</v>
      </c>
    </row>
    <row r="50" spans="2:7" x14ac:dyDescent="0.15">
      <c r="B50" s="19" t="str">
        <f t="shared" si="0"/>
        <v>1_男_48</v>
      </c>
      <c r="C50" s="18">
        <v>1</v>
      </c>
      <c r="D50" s="18" t="s">
        <v>9</v>
      </c>
      <c r="E50" s="18">
        <v>48</v>
      </c>
      <c r="F50" s="116">
        <v>33866.6</v>
      </c>
      <c r="G50" s="117">
        <v>30</v>
      </c>
    </row>
    <row r="51" spans="2:7" x14ac:dyDescent="0.15">
      <c r="B51" s="19" t="str">
        <f t="shared" si="0"/>
        <v>1_男_49</v>
      </c>
      <c r="C51" s="18">
        <v>1</v>
      </c>
      <c r="D51" s="18" t="s">
        <v>9</v>
      </c>
      <c r="E51" s="18">
        <v>49</v>
      </c>
      <c r="F51" s="116">
        <v>33924.699999999997</v>
      </c>
      <c r="G51" s="117">
        <v>30</v>
      </c>
    </row>
    <row r="52" spans="2:7" x14ac:dyDescent="0.15">
      <c r="B52" s="19" t="str">
        <f t="shared" si="0"/>
        <v>1_男_50</v>
      </c>
      <c r="C52" s="18">
        <v>1</v>
      </c>
      <c r="D52" s="18" t="s">
        <v>9</v>
      </c>
      <c r="E52" s="18">
        <v>50</v>
      </c>
      <c r="F52" s="116">
        <v>33985</v>
      </c>
      <c r="G52" s="117">
        <v>30</v>
      </c>
    </row>
    <row r="53" spans="2:7" x14ac:dyDescent="0.15">
      <c r="B53" s="19" t="str">
        <f t="shared" si="0"/>
        <v>3_男_0</v>
      </c>
      <c r="C53" s="18">
        <v>3</v>
      </c>
      <c r="D53" s="18" t="s">
        <v>9</v>
      </c>
      <c r="E53" s="18">
        <v>0</v>
      </c>
      <c r="F53" s="116">
        <v>12184.7</v>
      </c>
      <c r="G53" s="117">
        <v>83</v>
      </c>
    </row>
    <row r="54" spans="2:7" x14ac:dyDescent="0.15">
      <c r="B54" s="19" t="str">
        <f t="shared" si="0"/>
        <v>3_男_1</v>
      </c>
      <c r="C54" s="18">
        <v>3</v>
      </c>
      <c r="D54" s="18" t="s">
        <v>9</v>
      </c>
      <c r="E54" s="18">
        <v>1</v>
      </c>
      <c r="F54" s="116">
        <v>12188.9</v>
      </c>
      <c r="G54" s="117">
        <v>83</v>
      </c>
    </row>
    <row r="55" spans="2:7" x14ac:dyDescent="0.15">
      <c r="B55" s="19" t="str">
        <f t="shared" si="0"/>
        <v>3_男_2</v>
      </c>
      <c r="C55" s="18">
        <v>3</v>
      </c>
      <c r="D55" s="18" t="s">
        <v>9</v>
      </c>
      <c r="E55" s="18">
        <v>2</v>
      </c>
      <c r="F55" s="116">
        <v>12193.5</v>
      </c>
      <c r="G55" s="117">
        <v>83</v>
      </c>
    </row>
    <row r="56" spans="2:7" x14ac:dyDescent="0.15">
      <c r="B56" s="19" t="str">
        <f t="shared" si="0"/>
        <v>3_男_3</v>
      </c>
      <c r="C56" s="18">
        <v>3</v>
      </c>
      <c r="D56" s="18" t="s">
        <v>9</v>
      </c>
      <c r="E56" s="18">
        <v>3</v>
      </c>
      <c r="F56" s="116">
        <v>12198.5</v>
      </c>
      <c r="G56" s="117">
        <v>82</v>
      </c>
    </row>
    <row r="57" spans="2:7" x14ac:dyDescent="0.15">
      <c r="B57" s="19" t="str">
        <f t="shared" si="0"/>
        <v>3_男_4</v>
      </c>
      <c r="C57" s="18">
        <v>3</v>
      </c>
      <c r="D57" s="18" t="s">
        <v>9</v>
      </c>
      <c r="E57" s="18">
        <v>4</v>
      </c>
      <c r="F57" s="116">
        <v>12203.8</v>
      </c>
      <c r="G57" s="117">
        <v>82</v>
      </c>
    </row>
    <row r="58" spans="2:7" x14ac:dyDescent="0.15">
      <c r="B58" s="19" t="str">
        <f t="shared" si="0"/>
        <v>3_男_5</v>
      </c>
      <c r="C58" s="18">
        <v>3</v>
      </c>
      <c r="D58" s="18" t="s">
        <v>9</v>
      </c>
      <c r="E58" s="18">
        <v>5</v>
      </c>
      <c r="F58" s="116">
        <v>12209.3</v>
      </c>
      <c r="G58" s="117">
        <v>82</v>
      </c>
    </row>
    <row r="59" spans="2:7" x14ac:dyDescent="0.15">
      <c r="B59" s="19" t="str">
        <f t="shared" si="0"/>
        <v>3_男_6</v>
      </c>
      <c r="C59" s="18">
        <v>3</v>
      </c>
      <c r="D59" s="18" t="s">
        <v>9</v>
      </c>
      <c r="E59" s="18">
        <v>6</v>
      </c>
      <c r="F59" s="116">
        <v>12215</v>
      </c>
      <c r="G59" s="117">
        <v>82</v>
      </c>
    </row>
    <row r="60" spans="2:7" x14ac:dyDescent="0.15">
      <c r="B60" s="19" t="str">
        <f t="shared" si="0"/>
        <v>3_男_7</v>
      </c>
      <c r="C60" s="18">
        <v>3</v>
      </c>
      <c r="D60" s="18" t="s">
        <v>9</v>
      </c>
      <c r="E60" s="18">
        <v>7</v>
      </c>
      <c r="F60" s="116">
        <v>12221</v>
      </c>
      <c r="G60" s="117">
        <v>82</v>
      </c>
    </row>
    <row r="61" spans="2:7" x14ac:dyDescent="0.15">
      <c r="B61" s="19" t="str">
        <f t="shared" si="0"/>
        <v>3_男_8</v>
      </c>
      <c r="C61" s="18">
        <v>3</v>
      </c>
      <c r="D61" s="18" t="s">
        <v>9</v>
      </c>
      <c r="E61" s="18">
        <v>8</v>
      </c>
      <c r="F61" s="116">
        <v>12227.2</v>
      </c>
      <c r="G61" s="117">
        <v>82</v>
      </c>
    </row>
    <row r="62" spans="2:7" x14ac:dyDescent="0.15">
      <c r="B62" s="19" t="str">
        <f t="shared" si="0"/>
        <v>3_男_9</v>
      </c>
      <c r="C62" s="18">
        <v>3</v>
      </c>
      <c r="D62" s="18" t="s">
        <v>9</v>
      </c>
      <c r="E62" s="18">
        <v>9</v>
      </c>
      <c r="F62" s="116">
        <v>12233.6</v>
      </c>
      <c r="G62" s="117">
        <v>82</v>
      </c>
    </row>
    <row r="63" spans="2:7" x14ac:dyDescent="0.15">
      <c r="B63" s="19" t="str">
        <f t="shared" si="0"/>
        <v>3_男_10</v>
      </c>
      <c r="C63" s="18">
        <v>3</v>
      </c>
      <c r="D63" s="18" t="s">
        <v>9</v>
      </c>
      <c r="E63" s="18">
        <v>10</v>
      </c>
      <c r="F63" s="116">
        <v>12240.3</v>
      </c>
      <c r="G63" s="117">
        <v>82</v>
      </c>
    </row>
    <row r="64" spans="2:7" x14ac:dyDescent="0.15">
      <c r="B64" s="19" t="str">
        <f t="shared" si="0"/>
        <v>3_男_11</v>
      </c>
      <c r="C64" s="18">
        <v>3</v>
      </c>
      <c r="D64" s="18" t="s">
        <v>9</v>
      </c>
      <c r="E64" s="18">
        <v>11</v>
      </c>
      <c r="F64" s="116">
        <v>12247.1</v>
      </c>
      <c r="G64" s="117">
        <v>82</v>
      </c>
    </row>
    <row r="65" spans="2:7" x14ac:dyDescent="0.15">
      <c r="B65" s="19" t="str">
        <f t="shared" si="0"/>
        <v>3_男_12</v>
      </c>
      <c r="C65" s="18">
        <v>3</v>
      </c>
      <c r="D65" s="18" t="s">
        <v>9</v>
      </c>
      <c r="E65" s="18">
        <v>12</v>
      </c>
      <c r="F65" s="116">
        <v>12254.1</v>
      </c>
      <c r="G65" s="117">
        <v>82</v>
      </c>
    </row>
    <row r="66" spans="2:7" x14ac:dyDescent="0.15">
      <c r="B66" s="19" t="str">
        <f t="shared" si="0"/>
        <v>3_男_13</v>
      </c>
      <c r="C66" s="18">
        <v>3</v>
      </c>
      <c r="D66" s="18" t="s">
        <v>9</v>
      </c>
      <c r="E66" s="18">
        <v>13</v>
      </c>
      <c r="F66" s="116">
        <v>12261.4</v>
      </c>
      <c r="G66" s="117">
        <v>82</v>
      </c>
    </row>
    <row r="67" spans="2:7" x14ac:dyDescent="0.15">
      <c r="B67" s="19" t="str">
        <f t="shared" ref="B67:B130" si="1">C67&amp;"_"&amp;D67&amp;"_"&amp;E67</f>
        <v>3_男_14</v>
      </c>
      <c r="C67" s="18">
        <v>3</v>
      </c>
      <c r="D67" s="18" t="s">
        <v>9</v>
      </c>
      <c r="E67" s="18">
        <v>14</v>
      </c>
      <c r="F67" s="116">
        <v>12268.8</v>
      </c>
      <c r="G67" s="117">
        <v>82</v>
      </c>
    </row>
    <row r="68" spans="2:7" x14ac:dyDescent="0.15">
      <c r="B68" s="19" t="str">
        <f t="shared" si="1"/>
        <v>3_男_15</v>
      </c>
      <c r="C68" s="18">
        <v>3</v>
      </c>
      <c r="D68" s="18" t="s">
        <v>9</v>
      </c>
      <c r="E68" s="18">
        <v>15</v>
      </c>
      <c r="F68" s="116">
        <v>12276.5</v>
      </c>
      <c r="G68" s="117">
        <v>82</v>
      </c>
    </row>
    <row r="69" spans="2:7" x14ac:dyDescent="0.15">
      <c r="B69" s="19" t="str">
        <f t="shared" si="1"/>
        <v>3_男_16</v>
      </c>
      <c r="C69" s="18">
        <v>3</v>
      </c>
      <c r="D69" s="18" t="s">
        <v>9</v>
      </c>
      <c r="E69" s="18">
        <v>16</v>
      </c>
      <c r="F69" s="116">
        <v>12284.4</v>
      </c>
      <c r="G69" s="117">
        <v>82</v>
      </c>
    </row>
    <row r="70" spans="2:7" x14ac:dyDescent="0.15">
      <c r="B70" s="19" t="str">
        <f t="shared" si="1"/>
        <v>3_男_17</v>
      </c>
      <c r="C70" s="18">
        <v>3</v>
      </c>
      <c r="D70" s="18" t="s">
        <v>9</v>
      </c>
      <c r="E70" s="18">
        <v>17</v>
      </c>
      <c r="F70" s="116">
        <v>12292.5</v>
      </c>
      <c r="G70" s="117">
        <v>82</v>
      </c>
    </row>
    <row r="71" spans="2:7" x14ac:dyDescent="0.15">
      <c r="B71" s="19" t="str">
        <f t="shared" si="1"/>
        <v>3_男_18</v>
      </c>
      <c r="C71" s="18">
        <v>3</v>
      </c>
      <c r="D71" s="18" t="s">
        <v>9</v>
      </c>
      <c r="E71" s="18">
        <v>18</v>
      </c>
      <c r="F71" s="116">
        <v>12300.8</v>
      </c>
      <c r="G71" s="117">
        <v>82</v>
      </c>
    </row>
    <row r="72" spans="2:7" x14ac:dyDescent="0.15">
      <c r="B72" s="19" t="str">
        <f t="shared" si="1"/>
        <v>3_男_19</v>
      </c>
      <c r="C72" s="18">
        <v>3</v>
      </c>
      <c r="D72" s="18" t="s">
        <v>9</v>
      </c>
      <c r="E72" s="18">
        <v>19</v>
      </c>
      <c r="F72" s="116">
        <v>12309.4</v>
      </c>
      <c r="G72" s="117">
        <v>82</v>
      </c>
    </row>
    <row r="73" spans="2:7" x14ac:dyDescent="0.15">
      <c r="B73" s="19" t="str">
        <f t="shared" si="1"/>
        <v>3_男_20</v>
      </c>
      <c r="C73" s="18">
        <v>3</v>
      </c>
      <c r="D73" s="18" t="s">
        <v>9</v>
      </c>
      <c r="E73" s="18">
        <v>20</v>
      </c>
      <c r="F73" s="116">
        <v>12318.3</v>
      </c>
      <c r="G73" s="117">
        <v>82</v>
      </c>
    </row>
    <row r="74" spans="2:7" x14ac:dyDescent="0.15">
      <c r="B74" s="19" t="str">
        <f t="shared" si="1"/>
        <v>3_男_21</v>
      </c>
      <c r="C74" s="18">
        <v>3</v>
      </c>
      <c r="D74" s="18" t="s">
        <v>9</v>
      </c>
      <c r="E74" s="18">
        <v>21</v>
      </c>
      <c r="F74" s="116">
        <v>12327.4</v>
      </c>
      <c r="G74" s="117">
        <v>82</v>
      </c>
    </row>
    <row r="75" spans="2:7" x14ac:dyDescent="0.15">
      <c r="B75" s="19" t="str">
        <f t="shared" si="1"/>
        <v>3_男_22</v>
      </c>
      <c r="C75" s="18">
        <v>3</v>
      </c>
      <c r="D75" s="18" t="s">
        <v>9</v>
      </c>
      <c r="E75" s="18">
        <v>22</v>
      </c>
      <c r="F75" s="116">
        <v>12336.8</v>
      </c>
      <c r="G75" s="117">
        <v>82</v>
      </c>
    </row>
    <row r="76" spans="2:7" x14ac:dyDescent="0.15">
      <c r="B76" s="19" t="str">
        <f t="shared" si="1"/>
        <v>3_男_23</v>
      </c>
      <c r="C76" s="18">
        <v>3</v>
      </c>
      <c r="D76" s="18" t="s">
        <v>9</v>
      </c>
      <c r="E76" s="18">
        <v>23</v>
      </c>
      <c r="F76" s="116">
        <v>12346.5</v>
      </c>
      <c r="G76" s="117">
        <v>81</v>
      </c>
    </row>
    <row r="77" spans="2:7" x14ac:dyDescent="0.15">
      <c r="B77" s="19" t="str">
        <f t="shared" si="1"/>
        <v>3_男_24</v>
      </c>
      <c r="C77" s="18">
        <v>3</v>
      </c>
      <c r="D77" s="18" t="s">
        <v>9</v>
      </c>
      <c r="E77" s="18">
        <v>24</v>
      </c>
      <c r="F77" s="116">
        <v>12356.5</v>
      </c>
      <c r="G77" s="117">
        <v>81</v>
      </c>
    </row>
    <row r="78" spans="2:7" x14ac:dyDescent="0.15">
      <c r="B78" s="19" t="str">
        <f t="shared" si="1"/>
        <v>3_男_25</v>
      </c>
      <c r="C78" s="18">
        <v>3</v>
      </c>
      <c r="D78" s="18" t="s">
        <v>9</v>
      </c>
      <c r="E78" s="18">
        <v>25</v>
      </c>
      <c r="F78" s="116">
        <v>12366.8</v>
      </c>
      <c r="G78" s="117">
        <v>81</v>
      </c>
    </row>
    <row r="79" spans="2:7" x14ac:dyDescent="0.15">
      <c r="B79" s="19" t="str">
        <f t="shared" si="1"/>
        <v>3_男_26</v>
      </c>
      <c r="C79" s="18">
        <v>3</v>
      </c>
      <c r="D79" s="18" t="s">
        <v>9</v>
      </c>
      <c r="E79" s="18">
        <v>26</v>
      </c>
      <c r="F79" s="116">
        <v>12377.4</v>
      </c>
      <c r="G79" s="117">
        <v>81</v>
      </c>
    </row>
    <row r="80" spans="2:7" x14ac:dyDescent="0.15">
      <c r="B80" s="19" t="str">
        <f t="shared" si="1"/>
        <v>3_男_27</v>
      </c>
      <c r="C80" s="18">
        <v>3</v>
      </c>
      <c r="D80" s="18" t="s">
        <v>9</v>
      </c>
      <c r="E80" s="18">
        <v>27</v>
      </c>
      <c r="F80" s="116">
        <v>12388.3</v>
      </c>
      <c r="G80" s="117">
        <v>81</v>
      </c>
    </row>
    <row r="81" spans="2:7" x14ac:dyDescent="0.15">
      <c r="B81" s="19" t="str">
        <f t="shared" si="1"/>
        <v>3_男_28</v>
      </c>
      <c r="C81" s="18">
        <v>3</v>
      </c>
      <c r="D81" s="18" t="s">
        <v>9</v>
      </c>
      <c r="E81" s="18">
        <v>28</v>
      </c>
      <c r="F81" s="116">
        <v>12399.6</v>
      </c>
      <c r="G81" s="117">
        <v>81</v>
      </c>
    </row>
    <row r="82" spans="2:7" x14ac:dyDescent="0.15">
      <c r="B82" s="19" t="str">
        <f t="shared" si="1"/>
        <v>3_男_29</v>
      </c>
      <c r="C82" s="18">
        <v>3</v>
      </c>
      <c r="D82" s="18" t="s">
        <v>9</v>
      </c>
      <c r="E82" s="18">
        <v>29</v>
      </c>
      <c r="F82" s="116">
        <v>12411.2</v>
      </c>
      <c r="G82" s="117">
        <v>81</v>
      </c>
    </row>
    <row r="83" spans="2:7" x14ac:dyDescent="0.15">
      <c r="B83" s="19" t="str">
        <f t="shared" si="1"/>
        <v>3_男_30</v>
      </c>
      <c r="C83" s="18">
        <v>3</v>
      </c>
      <c r="D83" s="18" t="s">
        <v>9</v>
      </c>
      <c r="E83" s="18">
        <v>30</v>
      </c>
      <c r="F83" s="116">
        <v>12423.1</v>
      </c>
      <c r="G83" s="117">
        <v>81</v>
      </c>
    </row>
    <row r="84" spans="2:7" x14ac:dyDescent="0.15">
      <c r="B84" s="19" t="str">
        <f t="shared" si="1"/>
        <v>3_男_31</v>
      </c>
      <c r="C84" s="18">
        <v>3</v>
      </c>
      <c r="D84" s="18" t="s">
        <v>9</v>
      </c>
      <c r="E84" s="18">
        <v>31</v>
      </c>
      <c r="F84" s="116">
        <v>12435.4</v>
      </c>
      <c r="G84" s="117">
        <v>81</v>
      </c>
    </row>
    <row r="85" spans="2:7" x14ac:dyDescent="0.15">
      <c r="B85" s="19" t="str">
        <f t="shared" si="1"/>
        <v>3_男_32</v>
      </c>
      <c r="C85" s="18">
        <v>3</v>
      </c>
      <c r="D85" s="18" t="s">
        <v>9</v>
      </c>
      <c r="E85" s="18">
        <v>32</v>
      </c>
      <c r="F85" s="116">
        <v>12448.1</v>
      </c>
      <c r="G85" s="117">
        <v>81</v>
      </c>
    </row>
    <row r="86" spans="2:7" x14ac:dyDescent="0.15">
      <c r="B86" s="19" t="str">
        <f t="shared" si="1"/>
        <v>3_男_33</v>
      </c>
      <c r="C86" s="18">
        <v>3</v>
      </c>
      <c r="D86" s="18" t="s">
        <v>9</v>
      </c>
      <c r="E86" s="18">
        <v>33</v>
      </c>
      <c r="F86" s="116">
        <v>12461.1</v>
      </c>
      <c r="G86" s="117">
        <v>81</v>
      </c>
    </row>
    <row r="87" spans="2:7" x14ac:dyDescent="0.15">
      <c r="B87" s="19" t="str">
        <f t="shared" si="1"/>
        <v>3_男_34</v>
      </c>
      <c r="C87" s="18">
        <v>3</v>
      </c>
      <c r="D87" s="18" t="s">
        <v>9</v>
      </c>
      <c r="E87" s="18">
        <v>34</v>
      </c>
      <c r="F87" s="116">
        <v>12474.6</v>
      </c>
      <c r="G87" s="117">
        <v>81</v>
      </c>
    </row>
    <row r="88" spans="2:7" x14ac:dyDescent="0.15">
      <c r="B88" s="19" t="str">
        <f t="shared" si="1"/>
        <v>3_男_35</v>
      </c>
      <c r="C88" s="18">
        <v>3</v>
      </c>
      <c r="D88" s="18" t="s">
        <v>9</v>
      </c>
      <c r="E88" s="18">
        <v>35</v>
      </c>
      <c r="F88" s="116">
        <v>12488.4</v>
      </c>
      <c r="G88" s="117">
        <v>81</v>
      </c>
    </row>
    <row r="89" spans="2:7" x14ac:dyDescent="0.15">
      <c r="B89" s="19" t="str">
        <f t="shared" si="1"/>
        <v>3_男_36</v>
      </c>
      <c r="C89" s="18">
        <v>3</v>
      </c>
      <c r="D89" s="18" t="s">
        <v>9</v>
      </c>
      <c r="E89" s="18">
        <v>36</v>
      </c>
      <c r="F89" s="116">
        <v>12502.6</v>
      </c>
      <c r="G89" s="117">
        <v>80</v>
      </c>
    </row>
    <row r="90" spans="2:7" x14ac:dyDescent="0.15">
      <c r="B90" s="19" t="str">
        <f t="shared" si="1"/>
        <v>3_男_37</v>
      </c>
      <c r="C90" s="18">
        <v>3</v>
      </c>
      <c r="D90" s="18" t="s">
        <v>9</v>
      </c>
      <c r="E90" s="18">
        <v>37</v>
      </c>
      <c r="F90" s="116">
        <v>12517.1</v>
      </c>
      <c r="G90" s="117">
        <v>80</v>
      </c>
    </row>
    <row r="91" spans="2:7" x14ac:dyDescent="0.15">
      <c r="B91" s="19" t="str">
        <f t="shared" si="1"/>
        <v>3_男_38</v>
      </c>
      <c r="C91" s="18">
        <v>3</v>
      </c>
      <c r="D91" s="18" t="s">
        <v>9</v>
      </c>
      <c r="E91" s="18">
        <v>38</v>
      </c>
      <c r="F91" s="116">
        <v>12532.1</v>
      </c>
      <c r="G91" s="117">
        <v>80</v>
      </c>
    </row>
    <row r="92" spans="2:7" x14ac:dyDescent="0.15">
      <c r="B92" s="19" t="str">
        <f t="shared" si="1"/>
        <v>3_男_39</v>
      </c>
      <c r="C92" s="18">
        <v>3</v>
      </c>
      <c r="D92" s="18" t="s">
        <v>9</v>
      </c>
      <c r="E92" s="18">
        <v>39</v>
      </c>
      <c r="F92" s="116">
        <v>12547.5</v>
      </c>
      <c r="G92" s="117">
        <v>80</v>
      </c>
    </row>
    <row r="93" spans="2:7" x14ac:dyDescent="0.15">
      <c r="B93" s="19" t="str">
        <f t="shared" si="1"/>
        <v>3_男_40</v>
      </c>
      <c r="C93" s="18">
        <v>3</v>
      </c>
      <c r="D93" s="18" t="s">
        <v>9</v>
      </c>
      <c r="E93" s="18">
        <v>40</v>
      </c>
      <c r="F93" s="116">
        <v>12563.3</v>
      </c>
      <c r="G93" s="117">
        <v>80</v>
      </c>
    </row>
    <row r="94" spans="2:7" x14ac:dyDescent="0.15">
      <c r="B94" s="19" t="str">
        <f t="shared" si="1"/>
        <v>3_男_41</v>
      </c>
      <c r="C94" s="18">
        <v>3</v>
      </c>
      <c r="D94" s="18" t="s">
        <v>9</v>
      </c>
      <c r="E94" s="18">
        <v>41</v>
      </c>
      <c r="F94" s="116">
        <v>12579.5</v>
      </c>
      <c r="G94" s="117">
        <v>80</v>
      </c>
    </row>
    <row r="95" spans="2:7" x14ac:dyDescent="0.15">
      <c r="B95" s="19" t="str">
        <f t="shared" si="1"/>
        <v>3_男_42</v>
      </c>
      <c r="C95" s="18">
        <v>3</v>
      </c>
      <c r="D95" s="18" t="s">
        <v>9</v>
      </c>
      <c r="E95" s="18">
        <v>42</v>
      </c>
      <c r="F95" s="116">
        <v>12596.2</v>
      </c>
      <c r="G95" s="117">
        <v>80</v>
      </c>
    </row>
    <row r="96" spans="2:7" x14ac:dyDescent="0.15">
      <c r="B96" s="19" t="str">
        <f t="shared" si="1"/>
        <v>3_男_43</v>
      </c>
      <c r="C96" s="18">
        <v>3</v>
      </c>
      <c r="D96" s="18" t="s">
        <v>9</v>
      </c>
      <c r="E96" s="18">
        <v>43</v>
      </c>
      <c r="F96" s="116">
        <v>12613.2</v>
      </c>
      <c r="G96" s="117">
        <v>80</v>
      </c>
    </row>
    <row r="97" spans="2:7" x14ac:dyDescent="0.15">
      <c r="B97" s="19" t="str">
        <f t="shared" si="1"/>
        <v>3_男_44</v>
      </c>
      <c r="C97" s="18">
        <v>3</v>
      </c>
      <c r="D97" s="18" t="s">
        <v>9</v>
      </c>
      <c r="E97" s="18">
        <v>44</v>
      </c>
      <c r="F97" s="116">
        <v>12630.6</v>
      </c>
      <c r="G97" s="117">
        <v>80</v>
      </c>
    </row>
    <row r="98" spans="2:7" x14ac:dyDescent="0.15">
      <c r="B98" s="19" t="str">
        <f t="shared" si="1"/>
        <v>3_男_45</v>
      </c>
      <c r="C98" s="18">
        <v>3</v>
      </c>
      <c r="D98" s="18" t="s">
        <v>9</v>
      </c>
      <c r="E98" s="18">
        <v>45</v>
      </c>
      <c r="F98" s="116">
        <v>12648.5</v>
      </c>
      <c r="G98" s="117">
        <v>80</v>
      </c>
    </row>
    <row r="99" spans="2:7" x14ac:dyDescent="0.15">
      <c r="B99" s="19" t="str">
        <f t="shared" si="1"/>
        <v>3_男_46</v>
      </c>
      <c r="C99" s="18">
        <v>3</v>
      </c>
      <c r="D99" s="18" t="s">
        <v>9</v>
      </c>
      <c r="E99" s="18">
        <v>46</v>
      </c>
      <c r="F99" s="116">
        <v>12666.7</v>
      </c>
      <c r="G99" s="117">
        <v>79</v>
      </c>
    </row>
    <row r="100" spans="2:7" x14ac:dyDescent="0.15">
      <c r="B100" s="19" t="str">
        <f t="shared" si="1"/>
        <v>3_男_47</v>
      </c>
      <c r="C100" s="18">
        <v>3</v>
      </c>
      <c r="D100" s="18" t="s">
        <v>9</v>
      </c>
      <c r="E100" s="18">
        <v>47</v>
      </c>
      <c r="F100" s="116">
        <v>12685.3</v>
      </c>
      <c r="G100" s="117">
        <v>79</v>
      </c>
    </row>
    <row r="101" spans="2:7" x14ac:dyDescent="0.15">
      <c r="B101" s="19" t="str">
        <f t="shared" si="1"/>
        <v>3_男_48</v>
      </c>
      <c r="C101" s="18">
        <v>3</v>
      </c>
      <c r="D101" s="18" t="s">
        <v>9</v>
      </c>
      <c r="E101" s="18">
        <v>48</v>
      </c>
      <c r="F101" s="116">
        <v>12704.3</v>
      </c>
      <c r="G101" s="117">
        <v>79</v>
      </c>
    </row>
    <row r="102" spans="2:7" x14ac:dyDescent="0.15">
      <c r="B102" s="19" t="str">
        <f t="shared" si="1"/>
        <v>3_男_49</v>
      </c>
      <c r="C102" s="18">
        <v>3</v>
      </c>
      <c r="D102" s="18" t="s">
        <v>9</v>
      </c>
      <c r="E102" s="18">
        <v>49</v>
      </c>
      <c r="F102" s="116">
        <v>12723.6</v>
      </c>
      <c r="G102" s="117">
        <v>79</v>
      </c>
    </row>
    <row r="103" spans="2:7" x14ac:dyDescent="0.15">
      <c r="B103" s="19" t="str">
        <f t="shared" si="1"/>
        <v>3_男_50</v>
      </c>
      <c r="C103" s="18">
        <v>3</v>
      </c>
      <c r="D103" s="18" t="s">
        <v>9</v>
      </c>
      <c r="E103" s="18">
        <v>50</v>
      </c>
      <c r="F103" s="116">
        <v>12743.4</v>
      </c>
      <c r="G103" s="117">
        <v>79</v>
      </c>
    </row>
    <row r="104" spans="2:7" x14ac:dyDescent="0.15">
      <c r="B104" s="19" t="str">
        <f t="shared" si="1"/>
        <v>5_男_0</v>
      </c>
      <c r="C104" s="18">
        <v>5</v>
      </c>
      <c r="D104" s="18" t="s">
        <v>9</v>
      </c>
      <c r="E104" s="18">
        <v>0</v>
      </c>
      <c r="F104" s="116">
        <v>7548</v>
      </c>
      <c r="G104" s="117">
        <v>133</v>
      </c>
    </row>
    <row r="105" spans="2:7" x14ac:dyDescent="0.15">
      <c r="B105" s="19" t="str">
        <f t="shared" si="1"/>
        <v>5_男_1</v>
      </c>
      <c r="C105" s="18">
        <v>5</v>
      </c>
      <c r="D105" s="18" t="s">
        <v>9</v>
      </c>
      <c r="E105" s="18">
        <v>1</v>
      </c>
      <c r="F105" s="116">
        <v>7550.8</v>
      </c>
      <c r="G105" s="117">
        <v>133</v>
      </c>
    </row>
    <row r="106" spans="2:7" x14ac:dyDescent="0.15">
      <c r="B106" s="19" t="str">
        <f t="shared" si="1"/>
        <v>5_男_2</v>
      </c>
      <c r="C106" s="18">
        <v>5</v>
      </c>
      <c r="D106" s="18" t="s">
        <v>9</v>
      </c>
      <c r="E106" s="18">
        <v>2</v>
      </c>
      <c r="F106" s="116">
        <v>7553.8</v>
      </c>
      <c r="G106" s="117">
        <v>133</v>
      </c>
    </row>
    <row r="107" spans="2:7" x14ac:dyDescent="0.15">
      <c r="B107" s="19" t="str">
        <f t="shared" si="1"/>
        <v>5_男_3</v>
      </c>
      <c r="C107" s="18">
        <v>5</v>
      </c>
      <c r="D107" s="18" t="s">
        <v>9</v>
      </c>
      <c r="E107" s="18">
        <v>3</v>
      </c>
      <c r="F107" s="116">
        <v>7557</v>
      </c>
      <c r="G107" s="117">
        <v>133</v>
      </c>
    </row>
    <row r="108" spans="2:7" x14ac:dyDescent="0.15">
      <c r="B108" s="19" t="str">
        <f t="shared" si="1"/>
        <v>5_男_4</v>
      </c>
      <c r="C108" s="18">
        <v>5</v>
      </c>
      <c r="D108" s="18" t="s">
        <v>9</v>
      </c>
      <c r="E108" s="18">
        <v>4</v>
      </c>
      <c r="F108" s="116">
        <v>7560.4</v>
      </c>
      <c r="G108" s="117">
        <v>133</v>
      </c>
    </row>
    <row r="109" spans="2:7" x14ac:dyDescent="0.15">
      <c r="B109" s="19" t="str">
        <f t="shared" si="1"/>
        <v>5_男_5</v>
      </c>
      <c r="C109" s="18">
        <v>5</v>
      </c>
      <c r="D109" s="18" t="s">
        <v>9</v>
      </c>
      <c r="E109" s="18">
        <v>5</v>
      </c>
      <c r="F109" s="116">
        <v>7564</v>
      </c>
      <c r="G109" s="117">
        <v>133</v>
      </c>
    </row>
    <row r="110" spans="2:7" x14ac:dyDescent="0.15">
      <c r="B110" s="19" t="str">
        <f t="shared" si="1"/>
        <v>5_男_6</v>
      </c>
      <c r="C110" s="18">
        <v>5</v>
      </c>
      <c r="D110" s="18" t="s">
        <v>9</v>
      </c>
      <c r="E110" s="18">
        <v>6</v>
      </c>
      <c r="F110" s="116">
        <v>7567.7</v>
      </c>
      <c r="G110" s="117">
        <v>133</v>
      </c>
    </row>
    <row r="111" spans="2:7" x14ac:dyDescent="0.15">
      <c r="B111" s="19" t="str">
        <f t="shared" si="1"/>
        <v>5_男_7</v>
      </c>
      <c r="C111" s="18">
        <v>5</v>
      </c>
      <c r="D111" s="18" t="s">
        <v>9</v>
      </c>
      <c r="E111" s="18">
        <v>7</v>
      </c>
      <c r="F111" s="116">
        <v>7571.6</v>
      </c>
      <c r="G111" s="117">
        <v>133</v>
      </c>
    </row>
    <row r="112" spans="2:7" x14ac:dyDescent="0.15">
      <c r="B112" s="19" t="str">
        <f t="shared" si="1"/>
        <v>5_男_8</v>
      </c>
      <c r="C112" s="18">
        <v>5</v>
      </c>
      <c r="D112" s="18" t="s">
        <v>9</v>
      </c>
      <c r="E112" s="18">
        <v>8</v>
      </c>
      <c r="F112" s="116">
        <v>7575.6</v>
      </c>
      <c r="G112" s="117">
        <v>133</v>
      </c>
    </row>
    <row r="113" spans="2:7" x14ac:dyDescent="0.15">
      <c r="B113" s="19" t="str">
        <f t="shared" si="1"/>
        <v>5_男_9</v>
      </c>
      <c r="C113" s="18">
        <v>5</v>
      </c>
      <c r="D113" s="18" t="s">
        <v>9</v>
      </c>
      <c r="E113" s="18">
        <v>9</v>
      </c>
      <c r="F113" s="116">
        <v>7579.7</v>
      </c>
      <c r="G113" s="117">
        <v>132</v>
      </c>
    </row>
    <row r="114" spans="2:7" x14ac:dyDescent="0.15">
      <c r="B114" s="19" t="str">
        <f t="shared" si="1"/>
        <v>5_男_10</v>
      </c>
      <c r="C114" s="18">
        <v>5</v>
      </c>
      <c r="D114" s="18" t="s">
        <v>9</v>
      </c>
      <c r="E114" s="18">
        <v>10</v>
      </c>
      <c r="F114" s="116">
        <v>7584</v>
      </c>
      <c r="G114" s="117">
        <v>132</v>
      </c>
    </row>
    <row r="115" spans="2:7" x14ac:dyDescent="0.15">
      <c r="B115" s="19" t="str">
        <f t="shared" si="1"/>
        <v>5_男_11</v>
      </c>
      <c r="C115" s="18">
        <v>5</v>
      </c>
      <c r="D115" s="18" t="s">
        <v>9</v>
      </c>
      <c r="E115" s="18">
        <v>11</v>
      </c>
      <c r="F115" s="116">
        <v>7588.4</v>
      </c>
      <c r="G115" s="117">
        <v>132</v>
      </c>
    </row>
    <row r="116" spans="2:7" x14ac:dyDescent="0.15">
      <c r="B116" s="19" t="str">
        <f t="shared" si="1"/>
        <v>5_男_12</v>
      </c>
      <c r="C116" s="18">
        <v>5</v>
      </c>
      <c r="D116" s="18" t="s">
        <v>9</v>
      </c>
      <c r="E116" s="18">
        <v>12</v>
      </c>
      <c r="F116" s="116">
        <v>7593</v>
      </c>
      <c r="G116" s="117">
        <v>132</v>
      </c>
    </row>
    <row r="117" spans="2:7" x14ac:dyDescent="0.15">
      <c r="B117" s="19" t="str">
        <f t="shared" si="1"/>
        <v>5_男_13</v>
      </c>
      <c r="C117" s="18">
        <v>5</v>
      </c>
      <c r="D117" s="18" t="s">
        <v>9</v>
      </c>
      <c r="E117" s="18">
        <v>13</v>
      </c>
      <c r="F117" s="116">
        <v>7597.6</v>
      </c>
      <c r="G117" s="117">
        <v>132</v>
      </c>
    </row>
    <row r="118" spans="2:7" x14ac:dyDescent="0.15">
      <c r="B118" s="19" t="str">
        <f t="shared" si="1"/>
        <v>5_男_14</v>
      </c>
      <c r="C118" s="18">
        <v>5</v>
      </c>
      <c r="D118" s="18" t="s">
        <v>9</v>
      </c>
      <c r="E118" s="18">
        <v>14</v>
      </c>
      <c r="F118" s="116">
        <v>7602.4</v>
      </c>
      <c r="G118" s="117">
        <v>132</v>
      </c>
    </row>
    <row r="119" spans="2:7" x14ac:dyDescent="0.15">
      <c r="B119" s="19" t="str">
        <f t="shared" si="1"/>
        <v>5_男_15</v>
      </c>
      <c r="C119" s="18">
        <v>5</v>
      </c>
      <c r="D119" s="18" t="s">
        <v>9</v>
      </c>
      <c r="E119" s="18">
        <v>15</v>
      </c>
      <c r="F119" s="116">
        <v>7607.3</v>
      </c>
      <c r="G119" s="117">
        <v>132</v>
      </c>
    </row>
    <row r="120" spans="2:7" x14ac:dyDescent="0.15">
      <c r="B120" s="19" t="str">
        <f t="shared" si="1"/>
        <v>5_男_16</v>
      </c>
      <c r="C120" s="18">
        <v>5</v>
      </c>
      <c r="D120" s="18" t="s">
        <v>9</v>
      </c>
      <c r="E120" s="18">
        <v>16</v>
      </c>
      <c r="F120" s="116">
        <v>7612.4</v>
      </c>
      <c r="G120" s="117">
        <v>132</v>
      </c>
    </row>
    <row r="121" spans="2:7" x14ac:dyDescent="0.15">
      <c r="B121" s="19" t="str">
        <f t="shared" si="1"/>
        <v>5_男_17</v>
      </c>
      <c r="C121" s="18">
        <v>5</v>
      </c>
      <c r="D121" s="18" t="s">
        <v>9</v>
      </c>
      <c r="E121" s="18">
        <v>17</v>
      </c>
      <c r="F121" s="116">
        <v>7617.6</v>
      </c>
      <c r="G121" s="117">
        <v>132</v>
      </c>
    </row>
    <row r="122" spans="2:7" x14ac:dyDescent="0.15">
      <c r="B122" s="19" t="str">
        <f t="shared" si="1"/>
        <v>5_男_18</v>
      </c>
      <c r="C122" s="18">
        <v>5</v>
      </c>
      <c r="D122" s="18" t="s">
        <v>9</v>
      </c>
      <c r="E122" s="18">
        <v>18</v>
      </c>
      <c r="F122" s="116">
        <v>7622.9</v>
      </c>
      <c r="G122" s="117">
        <v>132</v>
      </c>
    </row>
    <row r="123" spans="2:7" x14ac:dyDescent="0.15">
      <c r="B123" s="19" t="str">
        <f t="shared" si="1"/>
        <v>5_男_19</v>
      </c>
      <c r="C123" s="18">
        <v>5</v>
      </c>
      <c r="D123" s="18" t="s">
        <v>9</v>
      </c>
      <c r="E123" s="18">
        <v>19</v>
      </c>
      <c r="F123" s="116">
        <v>7628.4</v>
      </c>
      <c r="G123" s="117">
        <v>132</v>
      </c>
    </row>
    <row r="124" spans="2:7" x14ac:dyDescent="0.15">
      <c r="B124" s="19" t="str">
        <f t="shared" si="1"/>
        <v>5_男_20</v>
      </c>
      <c r="C124" s="18">
        <v>5</v>
      </c>
      <c r="D124" s="18" t="s">
        <v>9</v>
      </c>
      <c r="E124" s="18">
        <v>20</v>
      </c>
      <c r="F124" s="116">
        <v>7634.1</v>
      </c>
      <c r="G124" s="117">
        <v>131</v>
      </c>
    </row>
    <row r="125" spans="2:7" x14ac:dyDescent="0.15">
      <c r="B125" s="19" t="str">
        <f t="shared" si="1"/>
        <v>5_男_21</v>
      </c>
      <c r="C125" s="18">
        <v>5</v>
      </c>
      <c r="D125" s="18" t="s">
        <v>9</v>
      </c>
      <c r="E125" s="18">
        <v>21</v>
      </c>
      <c r="F125" s="116">
        <v>7639.9</v>
      </c>
      <c r="G125" s="117">
        <v>131</v>
      </c>
    </row>
    <row r="126" spans="2:7" x14ac:dyDescent="0.15">
      <c r="B126" s="19" t="str">
        <f t="shared" si="1"/>
        <v>5_男_22</v>
      </c>
      <c r="C126" s="18">
        <v>5</v>
      </c>
      <c r="D126" s="18" t="s">
        <v>9</v>
      </c>
      <c r="E126" s="18">
        <v>22</v>
      </c>
      <c r="F126" s="116">
        <v>7645.9</v>
      </c>
      <c r="G126" s="117">
        <v>131</v>
      </c>
    </row>
    <row r="127" spans="2:7" x14ac:dyDescent="0.15">
      <c r="B127" s="19" t="str">
        <f t="shared" si="1"/>
        <v>5_男_23</v>
      </c>
      <c r="C127" s="18">
        <v>5</v>
      </c>
      <c r="D127" s="18" t="s">
        <v>9</v>
      </c>
      <c r="E127" s="18">
        <v>23</v>
      </c>
      <c r="F127" s="116">
        <v>7652.1</v>
      </c>
      <c r="G127" s="117">
        <v>131</v>
      </c>
    </row>
    <row r="128" spans="2:7" x14ac:dyDescent="0.15">
      <c r="B128" s="19" t="str">
        <f t="shared" si="1"/>
        <v>5_男_24</v>
      </c>
      <c r="C128" s="18">
        <v>5</v>
      </c>
      <c r="D128" s="18" t="s">
        <v>9</v>
      </c>
      <c r="E128" s="18">
        <v>24</v>
      </c>
      <c r="F128" s="116">
        <v>7658.5</v>
      </c>
      <c r="G128" s="117">
        <v>131</v>
      </c>
    </row>
    <row r="129" spans="2:7" x14ac:dyDescent="0.15">
      <c r="B129" s="19" t="str">
        <f t="shared" si="1"/>
        <v>5_男_25</v>
      </c>
      <c r="C129" s="18">
        <v>5</v>
      </c>
      <c r="D129" s="18" t="s">
        <v>9</v>
      </c>
      <c r="E129" s="18">
        <v>25</v>
      </c>
      <c r="F129" s="116">
        <v>7665</v>
      </c>
      <c r="G129" s="117">
        <v>131</v>
      </c>
    </row>
    <row r="130" spans="2:7" x14ac:dyDescent="0.15">
      <c r="B130" s="19" t="str">
        <f t="shared" si="1"/>
        <v>5_男_26</v>
      </c>
      <c r="C130" s="18">
        <v>5</v>
      </c>
      <c r="D130" s="18" t="s">
        <v>9</v>
      </c>
      <c r="E130" s="18">
        <v>26</v>
      </c>
      <c r="F130" s="116">
        <v>7671.8</v>
      </c>
      <c r="G130" s="117">
        <v>131</v>
      </c>
    </row>
    <row r="131" spans="2:7" x14ac:dyDescent="0.15">
      <c r="B131" s="19" t="str">
        <f t="shared" ref="B131:B194" si="2">C131&amp;"_"&amp;D131&amp;"_"&amp;E131</f>
        <v>5_男_27</v>
      </c>
      <c r="C131" s="18">
        <v>5</v>
      </c>
      <c r="D131" s="18" t="s">
        <v>9</v>
      </c>
      <c r="E131" s="18">
        <v>27</v>
      </c>
      <c r="F131" s="116">
        <v>7678.7</v>
      </c>
      <c r="G131" s="117">
        <v>131</v>
      </c>
    </row>
    <row r="132" spans="2:7" x14ac:dyDescent="0.15">
      <c r="B132" s="19" t="str">
        <f t="shared" si="2"/>
        <v>5_男_28</v>
      </c>
      <c r="C132" s="18">
        <v>5</v>
      </c>
      <c r="D132" s="18" t="s">
        <v>9</v>
      </c>
      <c r="E132" s="18">
        <v>28</v>
      </c>
      <c r="F132" s="116">
        <v>7685.9</v>
      </c>
      <c r="G132" s="117">
        <v>131</v>
      </c>
    </row>
    <row r="133" spans="2:7" x14ac:dyDescent="0.15">
      <c r="B133" s="19" t="str">
        <f t="shared" si="2"/>
        <v>5_男_29</v>
      </c>
      <c r="C133" s="18">
        <v>5</v>
      </c>
      <c r="D133" s="18" t="s">
        <v>9</v>
      </c>
      <c r="E133" s="18">
        <v>29</v>
      </c>
      <c r="F133" s="116">
        <v>7693.3</v>
      </c>
      <c r="G133" s="117">
        <v>130</v>
      </c>
    </row>
    <row r="134" spans="2:7" x14ac:dyDescent="0.15">
      <c r="B134" s="19" t="str">
        <f t="shared" si="2"/>
        <v>5_男_30</v>
      </c>
      <c r="C134" s="18">
        <v>5</v>
      </c>
      <c r="D134" s="18" t="s">
        <v>9</v>
      </c>
      <c r="E134" s="18">
        <v>30</v>
      </c>
      <c r="F134" s="116">
        <v>7700.8</v>
      </c>
      <c r="G134" s="117">
        <v>130</v>
      </c>
    </row>
    <row r="135" spans="2:7" x14ac:dyDescent="0.15">
      <c r="B135" s="19" t="str">
        <f t="shared" si="2"/>
        <v>5_男_31</v>
      </c>
      <c r="C135" s="18">
        <v>5</v>
      </c>
      <c r="D135" s="18" t="s">
        <v>9</v>
      </c>
      <c r="E135" s="18">
        <v>31</v>
      </c>
      <c r="F135" s="116">
        <v>7708.6</v>
      </c>
      <c r="G135" s="117">
        <v>130</v>
      </c>
    </row>
    <row r="136" spans="2:7" x14ac:dyDescent="0.15">
      <c r="B136" s="19" t="str">
        <f t="shared" si="2"/>
        <v>5_男_32</v>
      </c>
      <c r="C136" s="18">
        <v>5</v>
      </c>
      <c r="D136" s="18" t="s">
        <v>9</v>
      </c>
      <c r="E136" s="18">
        <v>32</v>
      </c>
      <c r="F136" s="116">
        <v>7716.6</v>
      </c>
      <c r="G136" s="117">
        <v>130</v>
      </c>
    </row>
    <row r="137" spans="2:7" x14ac:dyDescent="0.15">
      <c r="B137" s="19" t="str">
        <f t="shared" si="2"/>
        <v>5_男_33</v>
      </c>
      <c r="C137" s="18">
        <v>5</v>
      </c>
      <c r="D137" s="18" t="s">
        <v>9</v>
      </c>
      <c r="E137" s="18">
        <v>33</v>
      </c>
      <c r="F137" s="116">
        <v>7724.8</v>
      </c>
      <c r="G137" s="117">
        <v>130</v>
      </c>
    </row>
    <row r="138" spans="2:7" x14ac:dyDescent="0.15">
      <c r="B138" s="19" t="str">
        <f t="shared" si="2"/>
        <v>5_男_34</v>
      </c>
      <c r="C138" s="18">
        <v>5</v>
      </c>
      <c r="D138" s="18" t="s">
        <v>9</v>
      </c>
      <c r="E138" s="18">
        <v>34</v>
      </c>
      <c r="F138" s="116">
        <v>7733.2</v>
      </c>
      <c r="G138" s="117">
        <v>130</v>
      </c>
    </row>
    <row r="139" spans="2:7" x14ac:dyDescent="0.15">
      <c r="B139" s="19" t="str">
        <f t="shared" si="2"/>
        <v>5_男_35</v>
      </c>
      <c r="C139" s="18">
        <v>5</v>
      </c>
      <c r="D139" s="18" t="s">
        <v>9</v>
      </c>
      <c r="E139" s="18">
        <v>35</v>
      </c>
      <c r="F139" s="116">
        <v>7741.9</v>
      </c>
      <c r="G139" s="117">
        <v>130</v>
      </c>
    </row>
    <row r="140" spans="2:7" x14ac:dyDescent="0.15">
      <c r="B140" s="19" t="str">
        <f t="shared" si="2"/>
        <v>5_男_36</v>
      </c>
      <c r="C140" s="18">
        <v>5</v>
      </c>
      <c r="D140" s="18" t="s">
        <v>9</v>
      </c>
      <c r="E140" s="18">
        <v>36</v>
      </c>
      <c r="F140" s="116">
        <v>7750.7</v>
      </c>
      <c r="G140" s="117">
        <v>130</v>
      </c>
    </row>
    <row r="141" spans="2:7" x14ac:dyDescent="0.15">
      <c r="B141" s="19" t="str">
        <f t="shared" si="2"/>
        <v>5_男_37</v>
      </c>
      <c r="C141" s="18">
        <v>5</v>
      </c>
      <c r="D141" s="18" t="s">
        <v>9</v>
      </c>
      <c r="E141" s="18">
        <v>37</v>
      </c>
      <c r="F141" s="116">
        <v>7759.8</v>
      </c>
      <c r="G141" s="117">
        <v>129</v>
      </c>
    </row>
    <row r="142" spans="2:7" x14ac:dyDescent="0.15">
      <c r="B142" s="19" t="str">
        <f t="shared" si="2"/>
        <v>5_男_38</v>
      </c>
      <c r="C142" s="18">
        <v>5</v>
      </c>
      <c r="D142" s="18" t="s">
        <v>9</v>
      </c>
      <c r="E142" s="18">
        <v>38</v>
      </c>
      <c r="F142" s="116">
        <v>7769.1</v>
      </c>
      <c r="G142" s="117">
        <v>129</v>
      </c>
    </row>
    <row r="143" spans="2:7" x14ac:dyDescent="0.15">
      <c r="B143" s="19" t="str">
        <f t="shared" si="2"/>
        <v>5_男_39</v>
      </c>
      <c r="C143" s="18">
        <v>5</v>
      </c>
      <c r="D143" s="18" t="s">
        <v>9</v>
      </c>
      <c r="E143" s="18">
        <v>39</v>
      </c>
      <c r="F143" s="116">
        <v>7778.7</v>
      </c>
      <c r="G143" s="117">
        <v>129</v>
      </c>
    </row>
    <row r="144" spans="2:7" x14ac:dyDescent="0.15">
      <c r="B144" s="19" t="str">
        <f t="shared" si="2"/>
        <v>5_男_40</v>
      </c>
      <c r="C144" s="18">
        <v>5</v>
      </c>
      <c r="D144" s="18" t="s">
        <v>9</v>
      </c>
      <c r="E144" s="18">
        <v>40</v>
      </c>
      <c r="F144" s="116">
        <v>7788.4</v>
      </c>
      <c r="G144" s="117">
        <v>129</v>
      </c>
    </row>
    <row r="145" spans="2:7" x14ac:dyDescent="0.15">
      <c r="B145" s="19" t="str">
        <f t="shared" si="2"/>
        <v>5_男_41</v>
      </c>
      <c r="C145" s="18">
        <v>5</v>
      </c>
      <c r="D145" s="18" t="s">
        <v>9</v>
      </c>
      <c r="E145" s="18">
        <v>41</v>
      </c>
      <c r="F145" s="116">
        <v>7798.4</v>
      </c>
      <c r="G145" s="117">
        <v>129</v>
      </c>
    </row>
    <row r="146" spans="2:7" x14ac:dyDescent="0.15">
      <c r="B146" s="19" t="str">
        <f t="shared" si="2"/>
        <v>5_男_42</v>
      </c>
      <c r="C146" s="18">
        <v>5</v>
      </c>
      <c r="D146" s="18" t="s">
        <v>9</v>
      </c>
      <c r="E146" s="18">
        <v>42</v>
      </c>
      <c r="F146" s="116">
        <v>7808.5</v>
      </c>
      <c r="G146" s="117">
        <v>129</v>
      </c>
    </row>
    <row r="147" spans="2:7" x14ac:dyDescent="0.15">
      <c r="B147" s="19" t="str">
        <f t="shared" si="2"/>
        <v>5_男_43</v>
      </c>
      <c r="C147" s="18">
        <v>5</v>
      </c>
      <c r="D147" s="18" t="s">
        <v>9</v>
      </c>
      <c r="E147" s="18">
        <v>43</v>
      </c>
      <c r="F147" s="116">
        <v>7818.9</v>
      </c>
      <c r="G147" s="117">
        <v>128</v>
      </c>
    </row>
    <row r="148" spans="2:7" x14ac:dyDescent="0.15">
      <c r="B148" s="19" t="str">
        <f t="shared" si="2"/>
        <v>5_男_44</v>
      </c>
      <c r="C148" s="18">
        <v>5</v>
      </c>
      <c r="D148" s="18" t="s">
        <v>9</v>
      </c>
      <c r="E148" s="18">
        <v>44</v>
      </c>
      <c r="F148" s="116">
        <v>7829.5</v>
      </c>
      <c r="G148" s="117">
        <v>128</v>
      </c>
    </row>
    <row r="149" spans="2:7" x14ac:dyDescent="0.15">
      <c r="B149" s="19" t="str">
        <f t="shared" si="2"/>
        <v>5_男_45</v>
      </c>
      <c r="C149" s="18">
        <v>5</v>
      </c>
      <c r="D149" s="18" t="s">
        <v>9</v>
      </c>
      <c r="E149" s="18">
        <v>45</v>
      </c>
      <c r="F149" s="116">
        <v>7840.2</v>
      </c>
      <c r="G149" s="117">
        <v>128</v>
      </c>
    </row>
    <row r="150" spans="2:7" x14ac:dyDescent="0.15">
      <c r="B150" s="19" t="str">
        <f t="shared" si="2"/>
        <v>5_男_46</v>
      </c>
      <c r="C150" s="18">
        <v>5</v>
      </c>
      <c r="D150" s="18" t="s">
        <v>9</v>
      </c>
      <c r="E150" s="18">
        <v>46</v>
      </c>
      <c r="F150" s="116">
        <v>7851.2</v>
      </c>
      <c r="G150" s="117">
        <v>128</v>
      </c>
    </row>
    <row r="151" spans="2:7" x14ac:dyDescent="0.15">
      <c r="B151" s="19" t="str">
        <f t="shared" si="2"/>
        <v>5_男_47</v>
      </c>
      <c r="C151" s="18">
        <v>5</v>
      </c>
      <c r="D151" s="18" t="s">
        <v>9</v>
      </c>
      <c r="E151" s="18">
        <v>47</v>
      </c>
      <c r="F151" s="116">
        <v>7862.3</v>
      </c>
      <c r="G151" s="117">
        <v>128</v>
      </c>
    </row>
    <row r="152" spans="2:7" x14ac:dyDescent="0.15">
      <c r="B152" s="19" t="str">
        <f t="shared" si="2"/>
        <v>5_男_48</v>
      </c>
      <c r="C152" s="18">
        <v>5</v>
      </c>
      <c r="D152" s="18" t="s">
        <v>9</v>
      </c>
      <c r="E152" s="18">
        <v>48</v>
      </c>
      <c r="F152" s="116">
        <v>7873.5</v>
      </c>
      <c r="G152" s="117">
        <v>128</v>
      </c>
    </row>
    <row r="153" spans="2:7" x14ac:dyDescent="0.15">
      <c r="B153" s="19" t="str">
        <f t="shared" si="2"/>
        <v>5_男_49</v>
      </c>
      <c r="C153" s="18">
        <v>5</v>
      </c>
      <c r="D153" s="18" t="s">
        <v>9</v>
      </c>
      <c r="E153" s="18">
        <v>49</v>
      </c>
      <c r="F153" s="116">
        <v>7884.9</v>
      </c>
      <c r="G153" s="117">
        <v>127</v>
      </c>
    </row>
    <row r="154" spans="2:7" x14ac:dyDescent="0.15">
      <c r="B154" s="19" t="str">
        <f t="shared" si="2"/>
        <v>5_男_50</v>
      </c>
      <c r="C154" s="18">
        <v>5</v>
      </c>
      <c r="D154" s="18" t="s">
        <v>9</v>
      </c>
      <c r="E154" s="18">
        <v>50</v>
      </c>
      <c r="F154" s="116">
        <v>7896.4</v>
      </c>
      <c r="G154" s="117">
        <v>127</v>
      </c>
    </row>
    <row r="155" spans="2:7" x14ac:dyDescent="0.15">
      <c r="B155" s="19" t="str">
        <f t="shared" si="2"/>
        <v>10_男_0</v>
      </c>
      <c r="C155" s="18">
        <v>10</v>
      </c>
      <c r="D155" s="18" t="s">
        <v>9</v>
      </c>
      <c r="E155" s="18">
        <v>0</v>
      </c>
      <c r="F155" s="116">
        <v>4039.5</v>
      </c>
      <c r="G155" s="117">
        <v>248</v>
      </c>
    </row>
    <row r="156" spans="2:7" x14ac:dyDescent="0.15">
      <c r="B156" s="19" t="str">
        <f t="shared" si="2"/>
        <v>10_男_1</v>
      </c>
      <c r="C156" s="18">
        <v>10</v>
      </c>
      <c r="D156" s="18" t="s">
        <v>9</v>
      </c>
      <c r="E156" s="18">
        <v>1</v>
      </c>
      <c r="F156" s="116">
        <v>4041.2</v>
      </c>
      <c r="G156" s="117">
        <v>248</v>
      </c>
    </row>
    <row r="157" spans="2:7" x14ac:dyDescent="0.15">
      <c r="B157" s="19" t="str">
        <f t="shared" si="2"/>
        <v>10_男_2</v>
      </c>
      <c r="C157" s="18">
        <v>10</v>
      </c>
      <c r="D157" s="18" t="s">
        <v>9</v>
      </c>
      <c r="E157" s="18">
        <v>2</v>
      </c>
      <c r="F157" s="116">
        <v>4042.9</v>
      </c>
      <c r="G157" s="117">
        <v>248</v>
      </c>
    </row>
    <row r="158" spans="2:7" x14ac:dyDescent="0.15">
      <c r="B158" s="19" t="str">
        <f t="shared" si="2"/>
        <v>10_男_3</v>
      </c>
      <c r="C158" s="18">
        <v>10</v>
      </c>
      <c r="D158" s="18" t="s">
        <v>9</v>
      </c>
      <c r="E158" s="18">
        <v>3</v>
      </c>
      <c r="F158" s="116">
        <v>4044.8</v>
      </c>
      <c r="G158" s="117">
        <v>248</v>
      </c>
    </row>
    <row r="159" spans="2:7" x14ac:dyDescent="0.15">
      <c r="B159" s="19" t="str">
        <f t="shared" si="2"/>
        <v>10_男_4</v>
      </c>
      <c r="C159" s="18">
        <v>10</v>
      </c>
      <c r="D159" s="18" t="s">
        <v>9</v>
      </c>
      <c r="E159" s="18">
        <v>4</v>
      </c>
      <c r="F159" s="116">
        <v>4046.9</v>
      </c>
      <c r="G159" s="117">
        <v>248</v>
      </c>
    </row>
    <row r="160" spans="2:7" x14ac:dyDescent="0.15">
      <c r="B160" s="19" t="str">
        <f t="shared" si="2"/>
        <v>10_男_5</v>
      </c>
      <c r="C160" s="18">
        <v>10</v>
      </c>
      <c r="D160" s="18" t="s">
        <v>9</v>
      </c>
      <c r="E160" s="18">
        <v>5</v>
      </c>
      <c r="F160" s="116">
        <v>4049</v>
      </c>
      <c r="G160" s="117">
        <v>247</v>
      </c>
    </row>
    <row r="161" spans="2:7" x14ac:dyDescent="0.15">
      <c r="B161" s="19" t="str">
        <f t="shared" si="2"/>
        <v>10_男_6</v>
      </c>
      <c r="C161" s="18">
        <v>10</v>
      </c>
      <c r="D161" s="18" t="s">
        <v>9</v>
      </c>
      <c r="E161" s="18">
        <v>6</v>
      </c>
      <c r="F161" s="116">
        <v>4051.1</v>
      </c>
      <c r="G161" s="117">
        <v>247</v>
      </c>
    </row>
    <row r="162" spans="2:7" x14ac:dyDescent="0.15">
      <c r="B162" s="19" t="str">
        <f t="shared" si="2"/>
        <v>10_男_7</v>
      </c>
      <c r="C162" s="18">
        <v>10</v>
      </c>
      <c r="D162" s="18" t="s">
        <v>9</v>
      </c>
      <c r="E162" s="18">
        <v>7</v>
      </c>
      <c r="F162" s="116">
        <v>4053.4</v>
      </c>
      <c r="G162" s="117">
        <v>247</v>
      </c>
    </row>
    <row r="163" spans="2:7" x14ac:dyDescent="0.15">
      <c r="B163" s="19" t="str">
        <f t="shared" si="2"/>
        <v>10_男_8</v>
      </c>
      <c r="C163" s="18">
        <v>10</v>
      </c>
      <c r="D163" s="18" t="s">
        <v>9</v>
      </c>
      <c r="E163" s="18">
        <v>8</v>
      </c>
      <c r="F163" s="116">
        <v>4055.8</v>
      </c>
      <c r="G163" s="117">
        <v>247</v>
      </c>
    </row>
    <row r="164" spans="2:7" x14ac:dyDescent="0.15">
      <c r="B164" s="19" t="str">
        <f t="shared" si="2"/>
        <v>10_男_9</v>
      </c>
      <c r="C164" s="18">
        <v>10</v>
      </c>
      <c r="D164" s="18" t="s">
        <v>9</v>
      </c>
      <c r="E164" s="18">
        <v>9</v>
      </c>
      <c r="F164" s="116">
        <v>4058.2</v>
      </c>
      <c r="G164" s="117">
        <v>247</v>
      </c>
    </row>
    <row r="165" spans="2:7" x14ac:dyDescent="0.15">
      <c r="B165" s="19" t="str">
        <f t="shared" si="2"/>
        <v>10_男_10</v>
      </c>
      <c r="C165" s="18">
        <v>10</v>
      </c>
      <c r="D165" s="18" t="s">
        <v>9</v>
      </c>
      <c r="E165" s="18">
        <v>10</v>
      </c>
      <c r="F165" s="116">
        <v>4060.6</v>
      </c>
      <c r="G165" s="117">
        <v>247</v>
      </c>
    </row>
    <row r="166" spans="2:7" x14ac:dyDescent="0.15">
      <c r="B166" s="19" t="str">
        <f t="shared" si="2"/>
        <v>10_男_11</v>
      </c>
      <c r="C166" s="18">
        <v>10</v>
      </c>
      <c r="D166" s="18" t="s">
        <v>9</v>
      </c>
      <c r="E166" s="18">
        <v>11</v>
      </c>
      <c r="F166" s="116">
        <v>4063.2</v>
      </c>
      <c r="G166" s="117">
        <v>247</v>
      </c>
    </row>
    <row r="167" spans="2:7" x14ac:dyDescent="0.15">
      <c r="B167" s="19" t="str">
        <f t="shared" si="2"/>
        <v>10_男_12</v>
      </c>
      <c r="C167" s="18">
        <v>10</v>
      </c>
      <c r="D167" s="18" t="s">
        <v>9</v>
      </c>
      <c r="E167" s="18">
        <v>12</v>
      </c>
      <c r="F167" s="116">
        <v>4065.8</v>
      </c>
      <c r="G167" s="117">
        <v>246</v>
      </c>
    </row>
    <row r="168" spans="2:7" x14ac:dyDescent="0.15">
      <c r="B168" s="19" t="str">
        <f t="shared" si="2"/>
        <v>10_男_13</v>
      </c>
      <c r="C168" s="18">
        <v>10</v>
      </c>
      <c r="D168" s="18" t="s">
        <v>9</v>
      </c>
      <c r="E168" s="18">
        <v>13</v>
      </c>
      <c r="F168" s="116">
        <v>4068.5</v>
      </c>
      <c r="G168" s="117">
        <v>246</v>
      </c>
    </row>
    <row r="169" spans="2:7" x14ac:dyDescent="0.15">
      <c r="B169" s="19" t="str">
        <f t="shared" si="2"/>
        <v>10_男_14</v>
      </c>
      <c r="C169" s="18">
        <v>10</v>
      </c>
      <c r="D169" s="18" t="s">
        <v>9</v>
      </c>
      <c r="E169" s="18">
        <v>14</v>
      </c>
      <c r="F169" s="116">
        <v>4071.3</v>
      </c>
      <c r="G169" s="117">
        <v>246</v>
      </c>
    </row>
    <row r="170" spans="2:7" x14ac:dyDescent="0.15">
      <c r="B170" s="19" t="str">
        <f t="shared" si="2"/>
        <v>10_男_15</v>
      </c>
      <c r="C170" s="18">
        <v>10</v>
      </c>
      <c r="D170" s="18" t="s">
        <v>9</v>
      </c>
      <c r="E170" s="18">
        <v>15</v>
      </c>
      <c r="F170" s="116">
        <v>4074.1</v>
      </c>
      <c r="G170" s="117">
        <v>246</v>
      </c>
    </row>
    <row r="171" spans="2:7" x14ac:dyDescent="0.15">
      <c r="B171" s="19" t="str">
        <f t="shared" si="2"/>
        <v>10_男_16</v>
      </c>
      <c r="C171" s="18">
        <v>10</v>
      </c>
      <c r="D171" s="18" t="s">
        <v>9</v>
      </c>
      <c r="E171" s="18">
        <v>16</v>
      </c>
      <c r="F171" s="116">
        <v>4077</v>
      </c>
      <c r="G171" s="117">
        <v>246</v>
      </c>
    </row>
    <row r="172" spans="2:7" x14ac:dyDescent="0.15">
      <c r="B172" s="19" t="str">
        <f t="shared" si="2"/>
        <v>10_男_17</v>
      </c>
      <c r="C172" s="18">
        <v>10</v>
      </c>
      <c r="D172" s="18" t="s">
        <v>9</v>
      </c>
      <c r="E172" s="18">
        <v>17</v>
      </c>
      <c r="F172" s="116">
        <v>4080</v>
      </c>
      <c r="G172" s="117">
        <v>246</v>
      </c>
    </row>
    <row r="173" spans="2:7" x14ac:dyDescent="0.15">
      <c r="B173" s="19" t="str">
        <f t="shared" si="2"/>
        <v>10_男_18</v>
      </c>
      <c r="C173" s="18">
        <v>10</v>
      </c>
      <c r="D173" s="18" t="s">
        <v>9</v>
      </c>
      <c r="E173" s="18">
        <v>18</v>
      </c>
      <c r="F173" s="116">
        <v>4083</v>
      </c>
      <c r="G173" s="117">
        <v>245</v>
      </c>
    </row>
    <row r="174" spans="2:7" x14ac:dyDescent="0.15">
      <c r="B174" s="19" t="str">
        <f t="shared" si="2"/>
        <v>10_男_19</v>
      </c>
      <c r="C174" s="18">
        <v>10</v>
      </c>
      <c r="D174" s="18" t="s">
        <v>9</v>
      </c>
      <c r="E174" s="18">
        <v>19</v>
      </c>
      <c r="F174" s="116">
        <v>4086.2</v>
      </c>
      <c r="G174" s="117">
        <v>245</v>
      </c>
    </row>
    <row r="175" spans="2:7" x14ac:dyDescent="0.15">
      <c r="B175" s="19" t="str">
        <f t="shared" si="2"/>
        <v>10_男_20</v>
      </c>
      <c r="C175" s="18">
        <v>10</v>
      </c>
      <c r="D175" s="18" t="s">
        <v>9</v>
      </c>
      <c r="E175" s="18">
        <v>20</v>
      </c>
      <c r="F175" s="116">
        <v>4089.4</v>
      </c>
      <c r="G175" s="117">
        <v>245</v>
      </c>
    </row>
    <row r="176" spans="2:7" x14ac:dyDescent="0.15">
      <c r="B176" s="19" t="str">
        <f t="shared" si="2"/>
        <v>10_男_21</v>
      </c>
      <c r="C176" s="18">
        <v>10</v>
      </c>
      <c r="D176" s="18" t="s">
        <v>9</v>
      </c>
      <c r="E176" s="18">
        <v>21</v>
      </c>
      <c r="F176" s="116">
        <v>4092.7</v>
      </c>
      <c r="G176" s="117">
        <v>245</v>
      </c>
    </row>
    <row r="177" spans="2:7" x14ac:dyDescent="0.15">
      <c r="B177" s="19" t="str">
        <f t="shared" si="2"/>
        <v>10_男_22</v>
      </c>
      <c r="C177" s="18">
        <v>10</v>
      </c>
      <c r="D177" s="18" t="s">
        <v>9</v>
      </c>
      <c r="E177" s="18">
        <v>22</v>
      </c>
      <c r="F177" s="116">
        <v>4096.1000000000004</v>
      </c>
      <c r="G177" s="117">
        <v>245</v>
      </c>
    </row>
    <row r="178" spans="2:7" x14ac:dyDescent="0.15">
      <c r="B178" s="19" t="str">
        <f t="shared" si="2"/>
        <v>10_男_23</v>
      </c>
      <c r="C178" s="18">
        <v>10</v>
      </c>
      <c r="D178" s="18" t="s">
        <v>9</v>
      </c>
      <c r="E178" s="18">
        <v>23</v>
      </c>
      <c r="F178" s="116">
        <v>4099.6000000000004</v>
      </c>
      <c r="G178" s="117">
        <v>244</v>
      </c>
    </row>
    <row r="179" spans="2:7" x14ac:dyDescent="0.15">
      <c r="B179" s="19" t="str">
        <f t="shared" si="2"/>
        <v>10_男_24</v>
      </c>
      <c r="C179" s="18">
        <v>10</v>
      </c>
      <c r="D179" s="18" t="s">
        <v>9</v>
      </c>
      <c r="E179" s="18">
        <v>24</v>
      </c>
      <c r="F179" s="116">
        <v>4103.3</v>
      </c>
      <c r="G179" s="117">
        <v>244</v>
      </c>
    </row>
    <row r="180" spans="2:7" x14ac:dyDescent="0.15">
      <c r="B180" s="19" t="str">
        <f t="shared" si="2"/>
        <v>10_男_25</v>
      </c>
      <c r="C180" s="18">
        <v>10</v>
      </c>
      <c r="D180" s="18" t="s">
        <v>9</v>
      </c>
      <c r="E180" s="18">
        <v>25</v>
      </c>
      <c r="F180" s="116">
        <v>4107</v>
      </c>
      <c r="G180" s="117">
        <v>244</v>
      </c>
    </row>
    <row r="181" spans="2:7" x14ac:dyDescent="0.15">
      <c r="B181" s="19" t="str">
        <f t="shared" si="2"/>
        <v>10_男_26</v>
      </c>
      <c r="C181" s="18">
        <v>10</v>
      </c>
      <c r="D181" s="18" t="s">
        <v>9</v>
      </c>
      <c r="E181" s="18">
        <v>26</v>
      </c>
      <c r="F181" s="116">
        <v>4110.8</v>
      </c>
      <c r="G181" s="117">
        <v>244</v>
      </c>
    </row>
    <row r="182" spans="2:7" x14ac:dyDescent="0.15">
      <c r="B182" s="19" t="str">
        <f t="shared" si="2"/>
        <v>10_男_27</v>
      </c>
      <c r="C182" s="18">
        <v>10</v>
      </c>
      <c r="D182" s="18" t="s">
        <v>9</v>
      </c>
      <c r="E182" s="18">
        <v>27</v>
      </c>
      <c r="F182" s="116">
        <v>4114.6000000000004</v>
      </c>
      <c r="G182" s="117">
        <v>244</v>
      </c>
    </row>
    <row r="183" spans="2:7" x14ac:dyDescent="0.15">
      <c r="B183" s="19" t="str">
        <f t="shared" si="2"/>
        <v>10_男_28</v>
      </c>
      <c r="C183" s="18">
        <v>10</v>
      </c>
      <c r="D183" s="18" t="s">
        <v>9</v>
      </c>
      <c r="E183" s="18">
        <v>28</v>
      </c>
      <c r="F183" s="116">
        <v>4118.6000000000004</v>
      </c>
      <c r="G183" s="117">
        <v>243</v>
      </c>
    </row>
    <row r="184" spans="2:7" x14ac:dyDescent="0.15">
      <c r="B184" s="19" t="str">
        <f t="shared" si="2"/>
        <v>10_男_29</v>
      </c>
      <c r="C184" s="18">
        <v>10</v>
      </c>
      <c r="D184" s="18" t="s">
        <v>9</v>
      </c>
      <c r="E184" s="18">
        <v>29</v>
      </c>
      <c r="F184" s="116">
        <v>4122.7</v>
      </c>
      <c r="G184" s="117">
        <v>243</v>
      </c>
    </row>
    <row r="185" spans="2:7" x14ac:dyDescent="0.15">
      <c r="B185" s="19" t="str">
        <f t="shared" si="2"/>
        <v>10_男_30</v>
      </c>
      <c r="C185" s="18">
        <v>10</v>
      </c>
      <c r="D185" s="18" t="s">
        <v>9</v>
      </c>
      <c r="E185" s="18">
        <v>30</v>
      </c>
      <c r="F185" s="116">
        <v>4126.8999999999996</v>
      </c>
      <c r="G185" s="117">
        <v>243</v>
      </c>
    </row>
    <row r="186" spans="2:7" x14ac:dyDescent="0.15">
      <c r="B186" s="19" t="str">
        <f t="shared" si="2"/>
        <v>10_男_31</v>
      </c>
      <c r="C186" s="18">
        <v>10</v>
      </c>
      <c r="D186" s="18" t="s">
        <v>9</v>
      </c>
      <c r="E186" s="18">
        <v>31</v>
      </c>
      <c r="F186" s="116">
        <v>4131.2</v>
      </c>
      <c r="G186" s="117">
        <v>243</v>
      </c>
    </row>
    <row r="187" spans="2:7" x14ac:dyDescent="0.15">
      <c r="B187" s="19" t="str">
        <f t="shared" si="2"/>
        <v>10_男_32</v>
      </c>
      <c r="C187" s="18">
        <v>10</v>
      </c>
      <c r="D187" s="18" t="s">
        <v>9</v>
      </c>
      <c r="E187" s="18">
        <v>32</v>
      </c>
      <c r="F187" s="116">
        <v>4135.6000000000004</v>
      </c>
      <c r="G187" s="117">
        <v>242</v>
      </c>
    </row>
    <row r="188" spans="2:7" x14ac:dyDescent="0.15">
      <c r="B188" s="19" t="str">
        <f t="shared" si="2"/>
        <v>10_男_33</v>
      </c>
      <c r="C188" s="18">
        <v>10</v>
      </c>
      <c r="D188" s="18" t="s">
        <v>9</v>
      </c>
      <c r="E188" s="18">
        <v>33</v>
      </c>
      <c r="F188" s="116">
        <v>4140.1000000000004</v>
      </c>
      <c r="G188" s="117">
        <v>242</v>
      </c>
    </row>
    <row r="189" spans="2:7" x14ac:dyDescent="0.15">
      <c r="B189" s="19" t="str">
        <f t="shared" si="2"/>
        <v>10_男_34</v>
      </c>
      <c r="C189" s="18">
        <v>10</v>
      </c>
      <c r="D189" s="18" t="s">
        <v>9</v>
      </c>
      <c r="E189" s="18">
        <v>34</v>
      </c>
      <c r="F189" s="116">
        <v>4144.7</v>
      </c>
      <c r="G189" s="117">
        <v>242</v>
      </c>
    </row>
    <row r="190" spans="2:7" x14ac:dyDescent="0.15">
      <c r="B190" s="19" t="str">
        <f t="shared" si="2"/>
        <v>10_男_35</v>
      </c>
      <c r="C190" s="18">
        <v>10</v>
      </c>
      <c r="D190" s="18" t="s">
        <v>9</v>
      </c>
      <c r="E190" s="18">
        <v>35</v>
      </c>
      <c r="F190" s="116">
        <v>4149.3</v>
      </c>
      <c r="G190" s="117">
        <v>242</v>
      </c>
    </row>
    <row r="191" spans="2:7" x14ac:dyDescent="0.15">
      <c r="B191" s="19" t="str">
        <f t="shared" si="2"/>
        <v>10_男_36</v>
      </c>
      <c r="C191" s="18">
        <v>10</v>
      </c>
      <c r="D191" s="18" t="s">
        <v>9</v>
      </c>
      <c r="E191" s="18">
        <v>36</v>
      </c>
      <c r="F191" s="116">
        <v>4154.1000000000004</v>
      </c>
      <c r="G191" s="117">
        <v>241</v>
      </c>
    </row>
    <row r="192" spans="2:7" x14ac:dyDescent="0.15">
      <c r="B192" s="19" t="str">
        <f t="shared" si="2"/>
        <v>10_男_37</v>
      </c>
      <c r="C192" s="18">
        <v>10</v>
      </c>
      <c r="D192" s="18" t="s">
        <v>9</v>
      </c>
      <c r="E192" s="18">
        <v>37</v>
      </c>
      <c r="F192" s="116">
        <v>4158.8999999999996</v>
      </c>
      <c r="G192" s="117">
        <v>241</v>
      </c>
    </row>
    <row r="193" spans="2:7" x14ac:dyDescent="0.15">
      <c r="B193" s="19" t="str">
        <f t="shared" si="2"/>
        <v>10_男_38</v>
      </c>
      <c r="C193" s="18">
        <v>10</v>
      </c>
      <c r="D193" s="18" t="s">
        <v>9</v>
      </c>
      <c r="E193" s="18">
        <v>38</v>
      </c>
      <c r="F193" s="116">
        <v>4163.8</v>
      </c>
      <c r="G193" s="117">
        <v>241</v>
      </c>
    </row>
    <row r="194" spans="2:7" x14ac:dyDescent="0.15">
      <c r="B194" s="19" t="str">
        <f t="shared" si="2"/>
        <v>10_男_39</v>
      </c>
      <c r="C194" s="18">
        <v>10</v>
      </c>
      <c r="D194" s="18" t="s">
        <v>9</v>
      </c>
      <c r="E194" s="18">
        <v>39</v>
      </c>
      <c r="F194" s="116">
        <v>4168.8</v>
      </c>
      <c r="G194" s="117">
        <v>240</v>
      </c>
    </row>
    <row r="195" spans="2:7" x14ac:dyDescent="0.15">
      <c r="B195" s="19" t="str">
        <f t="shared" ref="B195:B258" si="3">C195&amp;"_"&amp;D195&amp;"_"&amp;E195</f>
        <v>10_男_40</v>
      </c>
      <c r="C195" s="18">
        <v>10</v>
      </c>
      <c r="D195" s="18" t="s">
        <v>9</v>
      </c>
      <c r="E195" s="18">
        <v>40</v>
      </c>
      <c r="F195" s="116">
        <v>4173.8</v>
      </c>
      <c r="G195" s="117">
        <v>240</v>
      </c>
    </row>
    <row r="196" spans="2:7" x14ac:dyDescent="0.15">
      <c r="B196" s="19" t="str">
        <f t="shared" si="3"/>
        <v>10_男_41</v>
      </c>
      <c r="C196" s="18">
        <v>10</v>
      </c>
      <c r="D196" s="18" t="s">
        <v>9</v>
      </c>
      <c r="E196" s="18">
        <v>41</v>
      </c>
      <c r="F196" s="116">
        <v>4178.8999999999996</v>
      </c>
      <c r="G196" s="117">
        <v>240</v>
      </c>
    </row>
    <row r="197" spans="2:7" x14ac:dyDescent="0.15">
      <c r="B197" s="19" t="str">
        <f t="shared" si="3"/>
        <v>10_男_42</v>
      </c>
      <c r="C197" s="18">
        <v>10</v>
      </c>
      <c r="D197" s="18" t="s">
        <v>9</v>
      </c>
      <c r="E197" s="18">
        <v>42</v>
      </c>
      <c r="F197" s="116">
        <v>4184.1000000000004</v>
      </c>
      <c r="G197" s="117">
        <v>240</v>
      </c>
    </row>
    <row r="198" spans="2:7" x14ac:dyDescent="0.15">
      <c r="B198" s="19" t="str">
        <f t="shared" si="3"/>
        <v>10_男_43</v>
      </c>
      <c r="C198" s="18">
        <v>10</v>
      </c>
      <c r="D198" s="18" t="s">
        <v>9</v>
      </c>
      <c r="E198" s="18">
        <v>43</v>
      </c>
      <c r="F198" s="116">
        <v>4189.2</v>
      </c>
      <c r="G198" s="117">
        <v>239</v>
      </c>
    </row>
    <row r="199" spans="2:7" x14ac:dyDescent="0.15">
      <c r="B199" s="19" t="str">
        <f t="shared" si="3"/>
        <v>10_男_44</v>
      </c>
      <c r="C199" s="18">
        <v>10</v>
      </c>
      <c r="D199" s="18" t="s">
        <v>9</v>
      </c>
      <c r="E199" s="18">
        <v>44</v>
      </c>
      <c r="F199" s="116">
        <v>4194.5</v>
      </c>
      <c r="G199" s="117">
        <v>239</v>
      </c>
    </row>
    <row r="200" spans="2:7" x14ac:dyDescent="0.15">
      <c r="B200" s="19" t="str">
        <f t="shared" si="3"/>
        <v>10_男_45</v>
      </c>
      <c r="C200" s="18">
        <v>10</v>
      </c>
      <c r="D200" s="18" t="s">
        <v>9</v>
      </c>
      <c r="E200" s="18">
        <v>45</v>
      </c>
      <c r="F200" s="116">
        <v>4199.7</v>
      </c>
      <c r="G200" s="117">
        <v>239</v>
      </c>
    </row>
    <row r="201" spans="2:7" x14ac:dyDescent="0.15">
      <c r="B201" s="19" t="str">
        <f t="shared" si="3"/>
        <v>1_女_0</v>
      </c>
      <c r="C201" s="18">
        <v>1</v>
      </c>
      <c r="D201" s="18" t="s">
        <v>2</v>
      </c>
      <c r="E201" s="18">
        <v>0</v>
      </c>
      <c r="F201" s="116">
        <v>32968.1</v>
      </c>
      <c r="G201" s="117">
        <v>31</v>
      </c>
    </row>
    <row r="202" spans="2:7" x14ac:dyDescent="0.15">
      <c r="B202" s="19" t="str">
        <f t="shared" si="3"/>
        <v>1_女_1</v>
      </c>
      <c r="C202" s="18">
        <v>1</v>
      </c>
      <c r="D202" s="18" t="s">
        <v>2</v>
      </c>
      <c r="E202" s="18">
        <v>1</v>
      </c>
      <c r="F202" s="116">
        <v>32991.4</v>
      </c>
      <c r="G202" s="117">
        <v>31</v>
      </c>
    </row>
    <row r="203" spans="2:7" x14ac:dyDescent="0.15">
      <c r="B203" s="19" t="str">
        <f t="shared" si="3"/>
        <v>1_女_2</v>
      </c>
      <c r="C203" s="18">
        <v>1</v>
      </c>
      <c r="D203" s="18" t="s">
        <v>2</v>
      </c>
      <c r="E203" s="18">
        <v>2</v>
      </c>
      <c r="F203" s="116">
        <v>33015.599999999999</v>
      </c>
      <c r="G203" s="117">
        <v>31</v>
      </c>
    </row>
    <row r="204" spans="2:7" x14ac:dyDescent="0.15">
      <c r="B204" s="19" t="str">
        <f t="shared" si="3"/>
        <v>1_女_3</v>
      </c>
      <c r="C204" s="18">
        <v>1</v>
      </c>
      <c r="D204" s="18" t="s">
        <v>2</v>
      </c>
      <c r="E204" s="18">
        <v>3</v>
      </c>
      <c r="F204" s="116">
        <v>33040.6</v>
      </c>
      <c r="G204" s="117">
        <v>31</v>
      </c>
    </row>
    <row r="205" spans="2:7" x14ac:dyDescent="0.15">
      <c r="B205" s="19" t="str">
        <f t="shared" si="3"/>
        <v>1_女_4</v>
      </c>
      <c r="C205" s="18">
        <v>1</v>
      </c>
      <c r="D205" s="18" t="s">
        <v>2</v>
      </c>
      <c r="E205" s="18">
        <v>4</v>
      </c>
      <c r="F205" s="116">
        <v>33066.400000000001</v>
      </c>
      <c r="G205" s="117">
        <v>31</v>
      </c>
    </row>
    <row r="206" spans="2:7" x14ac:dyDescent="0.15">
      <c r="B206" s="19" t="str">
        <f t="shared" si="3"/>
        <v>1_女_5</v>
      </c>
      <c r="C206" s="18">
        <v>1</v>
      </c>
      <c r="D206" s="18" t="s">
        <v>2</v>
      </c>
      <c r="E206" s="18">
        <v>5</v>
      </c>
      <c r="F206" s="116">
        <v>33093</v>
      </c>
      <c r="G206" s="117">
        <v>31</v>
      </c>
    </row>
    <row r="207" spans="2:7" x14ac:dyDescent="0.15">
      <c r="B207" s="19" t="str">
        <f t="shared" si="3"/>
        <v>1_女_6</v>
      </c>
      <c r="C207" s="18">
        <v>1</v>
      </c>
      <c r="D207" s="18" t="s">
        <v>2</v>
      </c>
      <c r="E207" s="18">
        <v>6</v>
      </c>
      <c r="F207" s="116">
        <v>33120.5</v>
      </c>
      <c r="G207" s="117">
        <v>31</v>
      </c>
    </row>
    <row r="208" spans="2:7" x14ac:dyDescent="0.15">
      <c r="B208" s="19" t="str">
        <f t="shared" si="3"/>
        <v>1_女_7</v>
      </c>
      <c r="C208" s="18">
        <v>1</v>
      </c>
      <c r="D208" s="18" t="s">
        <v>2</v>
      </c>
      <c r="E208" s="18">
        <v>7</v>
      </c>
      <c r="F208" s="116">
        <v>33148.9</v>
      </c>
      <c r="G208" s="117">
        <v>31</v>
      </c>
    </row>
    <row r="209" spans="2:7" x14ac:dyDescent="0.15">
      <c r="B209" s="19" t="str">
        <f t="shared" si="3"/>
        <v>1_女_8</v>
      </c>
      <c r="C209" s="18">
        <v>1</v>
      </c>
      <c r="D209" s="18" t="s">
        <v>2</v>
      </c>
      <c r="E209" s="18">
        <v>8</v>
      </c>
      <c r="F209" s="116">
        <v>33178.1</v>
      </c>
      <c r="G209" s="117">
        <v>31</v>
      </c>
    </row>
    <row r="210" spans="2:7" x14ac:dyDescent="0.15">
      <c r="B210" s="19" t="str">
        <f t="shared" si="3"/>
        <v>1_女_9</v>
      </c>
      <c r="C210" s="18">
        <v>1</v>
      </c>
      <c r="D210" s="18" t="s">
        <v>2</v>
      </c>
      <c r="E210" s="18">
        <v>9</v>
      </c>
      <c r="F210" s="116">
        <v>33208.199999999997</v>
      </c>
      <c r="G210" s="117">
        <v>31</v>
      </c>
    </row>
    <row r="211" spans="2:7" x14ac:dyDescent="0.15">
      <c r="B211" s="19" t="str">
        <f t="shared" si="3"/>
        <v>1_女_10</v>
      </c>
      <c r="C211" s="18">
        <v>1</v>
      </c>
      <c r="D211" s="18" t="s">
        <v>2</v>
      </c>
      <c r="E211" s="18">
        <v>10</v>
      </c>
      <c r="F211" s="116">
        <v>33239.300000000003</v>
      </c>
      <c r="G211" s="117">
        <v>31</v>
      </c>
    </row>
    <row r="212" spans="2:7" x14ac:dyDescent="0.15">
      <c r="B212" s="19" t="str">
        <f t="shared" si="3"/>
        <v>1_女_11</v>
      </c>
      <c r="C212" s="18">
        <v>1</v>
      </c>
      <c r="D212" s="18" t="s">
        <v>2</v>
      </c>
      <c r="E212" s="18">
        <v>11</v>
      </c>
      <c r="F212" s="116">
        <v>33271.300000000003</v>
      </c>
      <c r="G212" s="117">
        <v>31</v>
      </c>
    </row>
    <row r="213" spans="2:7" x14ac:dyDescent="0.15">
      <c r="B213" s="19" t="str">
        <f t="shared" si="3"/>
        <v>1_女_12</v>
      </c>
      <c r="C213" s="18">
        <v>1</v>
      </c>
      <c r="D213" s="18" t="s">
        <v>2</v>
      </c>
      <c r="E213" s="18">
        <v>12</v>
      </c>
      <c r="F213" s="116">
        <v>33304.400000000001</v>
      </c>
      <c r="G213" s="117">
        <v>31</v>
      </c>
    </row>
    <row r="214" spans="2:7" x14ac:dyDescent="0.15">
      <c r="B214" s="19" t="str">
        <f t="shared" si="3"/>
        <v>1_女_13</v>
      </c>
      <c r="C214" s="18">
        <v>1</v>
      </c>
      <c r="D214" s="18" t="s">
        <v>2</v>
      </c>
      <c r="E214" s="18">
        <v>13</v>
      </c>
      <c r="F214" s="116">
        <v>33338.400000000001</v>
      </c>
      <c r="G214" s="117">
        <v>30</v>
      </c>
    </row>
    <row r="215" spans="2:7" x14ac:dyDescent="0.15">
      <c r="B215" s="19" t="str">
        <f t="shared" si="3"/>
        <v>1_女_14</v>
      </c>
      <c r="C215" s="18">
        <v>1</v>
      </c>
      <c r="D215" s="18" t="s">
        <v>2</v>
      </c>
      <c r="E215" s="18">
        <v>14</v>
      </c>
      <c r="F215" s="116">
        <v>33373.599999999999</v>
      </c>
      <c r="G215" s="117">
        <v>30</v>
      </c>
    </row>
    <row r="216" spans="2:7" x14ac:dyDescent="0.15">
      <c r="B216" s="19" t="str">
        <f t="shared" si="3"/>
        <v>1_女_15</v>
      </c>
      <c r="C216" s="18">
        <v>1</v>
      </c>
      <c r="D216" s="18" t="s">
        <v>2</v>
      </c>
      <c r="E216" s="18">
        <v>15</v>
      </c>
      <c r="F216" s="116">
        <v>33409.800000000003</v>
      </c>
      <c r="G216" s="117">
        <v>30</v>
      </c>
    </row>
    <row r="217" spans="2:7" x14ac:dyDescent="0.15">
      <c r="B217" s="19" t="str">
        <f t="shared" si="3"/>
        <v>1_女_16</v>
      </c>
      <c r="C217" s="18">
        <v>1</v>
      </c>
      <c r="D217" s="18" t="s">
        <v>2</v>
      </c>
      <c r="E217" s="18">
        <v>16</v>
      </c>
      <c r="F217" s="116">
        <v>33447.1</v>
      </c>
      <c r="G217" s="117">
        <v>30</v>
      </c>
    </row>
    <row r="218" spans="2:7" x14ac:dyDescent="0.15">
      <c r="B218" s="19" t="str">
        <f t="shared" si="3"/>
        <v>1_女_17</v>
      </c>
      <c r="C218" s="18">
        <v>1</v>
      </c>
      <c r="D218" s="18" t="s">
        <v>2</v>
      </c>
      <c r="E218" s="18">
        <v>17</v>
      </c>
      <c r="F218" s="116">
        <v>33485.599999999999</v>
      </c>
      <c r="G218" s="117">
        <v>30</v>
      </c>
    </row>
    <row r="219" spans="2:7" x14ac:dyDescent="0.15">
      <c r="B219" s="19" t="str">
        <f t="shared" si="3"/>
        <v>1_女_18</v>
      </c>
      <c r="C219" s="18">
        <v>1</v>
      </c>
      <c r="D219" s="18" t="s">
        <v>2</v>
      </c>
      <c r="E219" s="18">
        <v>18</v>
      </c>
      <c r="F219" s="116">
        <v>33525.300000000003</v>
      </c>
      <c r="G219" s="117">
        <v>30</v>
      </c>
    </row>
    <row r="220" spans="2:7" x14ac:dyDescent="0.15">
      <c r="B220" s="19" t="str">
        <f t="shared" si="3"/>
        <v>1_女_19</v>
      </c>
      <c r="C220" s="18">
        <v>1</v>
      </c>
      <c r="D220" s="18" t="s">
        <v>2</v>
      </c>
      <c r="E220" s="18">
        <v>19</v>
      </c>
      <c r="F220" s="116">
        <v>33566.199999999997</v>
      </c>
      <c r="G220" s="117">
        <v>30</v>
      </c>
    </row>
    <row r="221" spans="2:7" x14ac:dyDescent="0.15">
      <c r="B221" s="19" t="str">
        <f t="shared" si="3"/>
        <v>1_女_20</v>
      </c>
      <c r="C221" s="18">
        <v>1</v>
      </c>
      <c r="D221" s="18" t="s">
        <v>2</v>
      </c>
      <c r="E221" s="18">
        <v>20</v>
      </c>
      <c r="F221" s="116">
        <v>33608.400000000001</v>
      </c>
      <c r="G221" s="117">
        <v>30</v>
      </c>
    </row>
    <row r="222" spans="2:7" x14ac:dyDescent="0.15">
      <c r="B222" s="19" t="str">
        <f t="shared" si="3"/>
        <v>1_女_21</v>
      </c>
      <c r="C222" s="18">
        <v>1</v>
      </c>
      <c r="D222" s="18" t="s">
        <v>2</v>
      </c>
      <c r="E222" s="18">
        <v>21</v>
      </c>
      <c r="F222" s="116">
        <v>33652</v>
      </c>
      <c r="G222" s="117">
        <v>30</v>
      </c>
    </row>
    <row r="223" spans="2:7" x14ac:dyDescent="0.15">
      <c r="B223" s="19" t="str">
        <f t="shared" si="3"/>
        <v>1_女_22</v>
      </c>
      <c r="C223" s="18">
        <v>1</v>
      </c>
      <c r="D223" s="18" t="s">
        <v>2</v>
      </c>
      <c r="E223" s="18">
        <v>22</v>
      </c>
      <c r="F223" s="116">
        <v>33696.800000000003</v>
      </c>
      <c r="G223" s="117">
        <v>30</v>
      </c>
    </row>
    <row r="224" spans="2:7" x14ac:dyDescent="0.15">
      <c r="B224" s="19" t="str">
        <f t="shared" si="3"/>
        <v>1_女_23</v>
      </c>
      <c r="C224" s="18">
        <v>1</v>
      </c>
      <c r="D224" s="18" t="s">
        <v>2</v>
      </c>
      <c r="E224" s="18">
        <v>23</v>
      </c>
      <c r="F224" s="116">
        <v>33743.1</v>
      </c>
      <c r="G224" s="117">
        <v>30</v>
      </c>
    </row>
    <row r="225" spans="2:7" x14ac:dyDescent="0.15">
      <c r="B225" s="19" t="str">
        <f t="shared" si="3"/>
        <v>1_女_24</v>
      </c>
      <c r="C225" s="18">
        <v>1</v>
      </c>
      <c r="D225" s="18" t="s">
        <v>2</v>
      </c>
      <c r="E225" s="18">
        <v>24</v>
      </c>
      <c r="F225" s="116">
        <v>33790.800000000003</v>
      </c>
      <c r="G225" s="117">
        <v>30</v>
      </c>
    </row>
    <row r="226" spans="2:7" x14ac:dyDescent="0.15">
      <c r="B226" s="19" t="str">
        <f t="shared" si="3"/>
        <v>1_女_25</v>
      </c>
      <c r="C226" s="18">
        <v>1</v>
      </c>
      <c r="D226" s="18" t="s">
        <v>2</v>
      </c>
      <c r="E226" s="18">
        <v>25</v>
      </c>
      <c r="F226" s="116">
        <v>33839.9</v>
      </c>
      <c r="G226" s="117">
        <v>30</v>
      </c>
    </row>
    <row r="227" spans="2:7" x14ac:dyDescent="0.15">
      <c r="B227" s="19" t="str">
        <f t="shared" si="3"/>
        <v>1_女_26</v>
      </c>
      <c r="C227" s="18">
        <v>1</v>
      </c>
      <c r="D227" s="18" t="s">
        <v>2</v>
      </c>
      <c r="E227" s="18">
        <v>26</v>
      </c>
      <c r="F227" s="116">
        <v>33890.699999999997</v>
      </c>
      <c r="G227" s="117">
        <v>30</v>
      </c>
    </row>
    <row r="228" spans="2:7" x14ac:dyDescent="0.15">
      <c r="B228" s="19" t="str">
        <f t="shared" si="3"/>
        <v>1_女_27</v>
      </c>
      <c r="C228" s="18">
        <v>1</v>
      </c>
      <c r="D228" s="18" t="s">
        <v>2</v>
      </c>
      <c r="E228" s="18">
        <v>27</v>
      </c>
      <c r="F228" s="116">
        <v>33942.9</v>
      </c>
      <c r="G228" s="117">
        <v>30</v>
      </c>
    </row>
    <row r="229" spans="2:7" x14ac:dyDescent="0.15">
      <c r="B229" s="19" t="str">
        <f t="shared" si="3"/>
        <v>1_女_28</v>
      </c>
      <c r="C229" s="18">
        <v>1</v>
      </c>
      <c r="D229" s="18" t="s">
        <v>2</v>
      </c>
      <c r="E229" s="18">
        <v>28</v>
      </c>
      <c r="F229" s="116">
        <v>33996.9</v>
      </c>
      <c r="G229" s="117">
        <v>30</v>
      </c>
    </row>
    <row r="230" spans="2:7" x14ac:dyDescent="0.15">
      <c r="B230" s="19" t="str">
        <f t="shared" si="3"/>
        <v>1_女_29</v>
      </c>
      <c r="C230" s="18">
        <v>1</v>
      </c>
      <c r="D230" s="18" t="s">
        <v>2</v>
      </c>
      <c r="E230" s="18">
        <v>29</v>
      </c>
      <c r="F230" s="116">
        <v>34052.5</v>
      </c>
      <c r="G230" s="117">
        <v>30</v>
      </c>
    </row>
    <row r="231" spans="2:7" x14ac:dyDescent="0.15">
      <c r="B231" s="19" t="str">
        <f t="shared" si="3"/>
        <v>1_女_30</v>
      </c>
      <c r="C231" s="18">
        <v>1</v>
      </c>
      <c r="D231" s="18" t="s">
        <v>2</v>
      </c>
      <c r="E231" s="18">
        <v>30</v>
      </c>
      <c r="F231" s="116">
        <v>34109.9</v>
      </c>
      <c r="G231" s="117">
        <v>30</v>
      </c>
    </row>
    <row r="232" spans="2:7" x14ac:dyDescent="0.15">
      <c r="B232" s="19" t="str">
        <f t="shared" si="3"/>
        <v>1_女_31</v>
      </c>
      <c r="C232" s="18">
        <v>1</v>
      </c>
      <c r="D232" s="18" t="s">
        <v>2</v>
      </c>
      <c r="E232" s="18">
        <v>31</v>
      </c>
      <c r="F232" s="116">
        <v>34169</v>
      </c>
      <c r="G232" s="117">
        <v>30</v>
      </c>
    </row>
    <row r="233" spans="2:7" x14ac:dyDescent="0.15">
      <c r="B233" s="19" t="str">
        <f t="shared" si="3"/>
        <v>1_女_32</v>
      </c>
      <c r="C233" s="18">
        <v>1</v>
      </c>
      <c r="D233" s="18" t="s">
        <v>2</v>
      </c>
      <c r="E233" s="18">
        <v>32</v>
      </c>
      <c r="F233" s="116">
        <v>34230.1</v>
      </c>
      <c r="G233" s="117">
        <v>30</v>
      </c>
    </row>
    <row r="234" spans="2:7" x14ac:dyDescent="0.15">
      <c r="B234" s="19" t="str">
        <f t="shared" si="3"/>
        <v>1_女_33</v>
      </c>
      <c r="C234" s="18">
        <v>1</v>
      </c>
      <c r="D234" s="18" t="s">
        <v>2</v>
      </c>
      <c r="E234" s="18">
        <v>33</v>
      </c>
      <c r="F234" s="116">
        <v>34293.1</v>
      </c>
      <c r="G234" s="117">
        <v>30</v>
      </c>
    </row>
    <row r="235" spans="2:7" x14ac:dyDescent="0.15">
      <c r="B235" s="19" t="str">
        <f t="shared" si="3"/>
        <v>1_女_34</v>
      </c>
      <c r="C235" s="18">
        <v>1</v>
      </c>
      <c r="D235" s="18" t="s">
        <v>2</v>
      </c>
      <c r="E235" s="18">
        <v>34</v>
      </c>
      <c r="F235" s="116">
        <v>34358.1</v>
      </c>
      <c r="G235" s="117">
        <v>30</v>
      </c>
    </row>
    <row r="236" spans="2:7" x14ac:dyDescent="0.15">
      <c r="B236" s="19" t="str">
        <f t="shared" si="3"/>
        <v>1_女_35</v>
      </c>
      <c r="C236" s="18">
        <v>1</v>
      </c>
      <c r="D236" s="18" t="s">
        <v>2</v>
      </c>
      <c r="E236" s="18">
        <v>35</v>
      </c>
      <c r="F236" s="116">
        <v>34425.199999999997</v>
      </c>
      <c r="G236" s="117">
        <v>30</v>
      </c>
    </row>
    <row r="237" spans="2:7" x14ac:dyDescent="0.15">
      <c r="B237" s="19" t="str">
        <f t="shared" si="3"/>
        <v>1_女_36</v>
      </c>
      <c r="C237" s="18">
        <v>1</v>
      </c>
      <c r="D237" s="18" t="s">
        <v>2</v>
      </c>
      <c r="E237" s="18">
        <v>36</v>
      </c>
      <c r="F237" s="116">
        <v>34494.400000000001</v>
      </c>
      <c r="G237" s="117">
        <v>29</v>
      </c>
    </row>
    <row r="238" spans="2:7" x14ac:dyDescent="0.15">
      <c r="B238" s="19" t="str">
        <f t="shared" si="3"/>
        <v>1_女_37</v>
      </c>
      <c r="C238" s="18">
        <v>1</v>
      </c>
      <c r="D238" s="18" t="s">
        <v>2</v>
      </c>
      <c r="E238" s="18">
        <v>37</v>
      </c>
      <c r="F238" s="116">
        <v>34565.9</v>
      </c>
      <c r="G238" s="117">
        <v>29</v>
      </c>
    </row>
    <row r="239" spans="2:7" x14ac:dyDescent="0.15">
      <c r="B239" s="19" t="str">
        <f t="shared" si="3"/>
        <v>1_女_38</v>
      </c>
      <c r="C239" s="18">
        <v>1</v>
      </c>
      <c r="D239" s="18" t="s">
        <v>2</v>
      </c>
      <c r="E239" s="18">
        <v>38</v>
      </c>
      <c r="F239" s="116">
        <v>34639.599999999999</v>
      </c>
      <c r="G239" s="117">
        <v>29</v>
      </c>
    </row>
    <row r="240" spans="2:7" x14ac:dyDescent="0.15">
      <c r="B240" s="19" t="str">
        <f t="shared" si="3"/>
        <v>1_女_39</v>
      </c>
      <c r="C240" s="18">
        <v>1</v>
      </c>
      <c r="D240" s="18" t="s">
        <v>2</v>
      </c>
      <c r="E240" s="18">
        <v>39</v>
      </c>
      <c r="F240" s="116">
        <v>34715.800000000003</v>
      </c>
      <c r="G240" s="117">
        <v>29</v>
      </c>
    </row>
    <row r="241" spans="2:7" x14ac:dyDescent="0.15">
      <c r="B241" s="19" t="str">
        <f t="shared" si="3"/>
        <v>1_女_40</v>
      </c>
      <c r="C241" s="18">
        <v>1</v>
      </c>
      <c r="D241" s="18" t="s">
        <v>2</v>
      </c>
      <c r="E241" s="18">
        <v>40</v>
      </c>
      <c r="F241" s="116">
        <v>34794.300000000003</v>
      </c>
      <c r="G241" s="117">
        <v>29</v>
      </c>
    </row>
    <row r="242" spans="2:7" x14ac:dyDescent="0.15">
      <c r="B242" s="19" t="str">
        <f t="shared" si="3"/>
        <v>1_女_41</v>
      </c>
      <c r="C242" s="18">
        <v>1</v>
      </c>
      <c r="D242" s="18" t="s">
        <v>2</v>
      </c>
      <c r="E242" s="18">
        <v>41</v>
      </c>
      <c r="F242" s="116">
        <v>34875.4</v>
      </c>
      <c r="G242" s="117">
        <v>29</v>
      </c>
    </row>
    <row r="243" spans="2:7" x14ac:dyDescent="0.15">
      <c r="B243" s="19" t="str">
        <f t="shared" si="3"/>
        <v>1_女_42</v>
      </c>
      <c r="C243" s="18">
        <v>1</v>
      </c>
      <c r="D243" s="18" t="s">
        <v>2</v>
      </c>
      <c r="E243" s="18">
        <v>42</v>
      </c>
      <c r="F243" s="116">
        <v>34959.1</v>
      </c>
      <c r="G243" s="117">
        <v>29</v>
      </c>
    </row>
    <row r="244" spans="2:7" x14ac:dyDescent="0.15">
      <c r="B244" s="19" t="str">
        <f t="shared" si="3"/>
        <v>1_女_43</v>
      </c>
      <c r="C244" s="18">
        <v>1</v>
      </c>
      <c r="D244" s="18" t="s">
        <v>2</v>
      </c>
      <c r="E244" s="18">
        <v>43</v>
      </c>
      <c r="F244" s="116">
        <v>35045.4</v>
      </c>
      <c r="G244" s="117">
        <v>29</v>
      </c>
    </row>
    <row r="245" spans="2:7" x14ac:dyDescent="0.15">
      <c r="B245" s="19" t="str">
        <f t="shared" si="3"/>
        <v>1_女_44</v>
      </c>
      <c r="C245" s="18">
        <v>1</v>
      </c>
      <c r="D245" s="18" t="s">
        <v>2</v>
      </c>
      <c r="E245" s="18">
        <v>44</v>
      </c>
      <c r="F245" s="116">
        <v>35134.5</v>
      </c>
      <c r="G245" s="117">
        <v>29</v>
      </c>
    </row>
    <row r="246" spans="2:7" x14ac:dyDescent="0.15">
      <c r="B246" s="19" t="str">
        <f t="shared" si="3"/>
        <v>1_女_45</v>
      </c>
      <c r="C246" s="18">
        <v>1</v>
      </c>
      <c r="D246" s="18" t="s">
        <v>2</v>
      </c>
      <c r="E246" s="18">
        <v>45</v>
      </c>
      <c r="F246" s="116">
        <v>35226.5</v>
      </c>
      <c r="G246" s="117">
        <v>29</v>
      </c>
    </row>
    <row r="247" spans="2:7" x14ac:dyDescent="0.15">
      <c r="B247" s="19" t="str">
        <f t="shared" si="3"/>
        <v>1_女_46</v>
      </c>
      <c r="C247" s="18">
        <v>1</v>
      </c>
      <c r="D247" s="18" t="s">
        <v>2</v>
      </c>
      <c r="E247" s="18">
        <v>46</v>
      </c>
      <c r="F247" s="116">
        <v>35321.4</v>
      </c>
      <c r="G247" s="117">
        <v>29</v>
      </c>
    </row>
    <row r="248" spans="2:7" x14ac:dyDescent="0.15">
      <c r="B248" s="19" t="str">
        <f t="shared" si="3"/>
        <v>1_女_47</v>
      </c>
      <c r="C248" s="18">
        <v>1</v>
      </c>
      <c r="D248" s="18" t="s">
        <v>2</v>
      </c>
      <c r="E248" s="18">
        <v>47</v>
      </c>
      <c r="F248" s="116">
        <v>35419.4</v>
      </c>
      <c r="G248" s="117">
        <v>29</v>
      </c>
    </row>
    <row r="249" spans="2:7" x14ac:dyDescent="0.15">
      <c r="B249" s="19" t="str">
        <f t="shared" si="3"/>
        <v>1_女_48</v>
      </c>
      <c r="C249" s="18">
        <v>1</v>
      </c>
      <c r="D249" s="18" t="s">
        <v>2</v>
      </c>
      <c r="E249" s="18">
        <v>48</v>
      </c>
      <c r="F249" s="116">
        <v>35520.5</v>
      </c>
      <c r="G249" s="117">
        <v>29</v>
      </c>
    </row>
    <row r="250" spans="2:7" x14ac:dyDescent="0.15">
      <c r="B250" s="19" t="str">
        <f t="shared" si="3"/>
        <v>1_女_49</v>
      </c>
      <c r="C250" s="18">
        <v>1</v>
      </c>
      <c r="D250" s="18" t="s">
        <v>2</v>
      </c>
      <c r="E250" s="18">
        <v>49</v>
      </c>
      <c r="F250" s="116">
        <v>35624.699999999997</v>
      </c>
      <c r="G250" s="117">
        <v>29</v>
      </c>
    </row>
    <row r="251" spans="2:7" x14ac:dyDescent="0.15">
      <c r="B251" s="19" t="str">
        <f t="shared" si="3"/>
        <v>1_女_50</v>
      </c>
      <c r="C251" s="18">
        <v>1</v>
      </c>
      <c r="D251" s="18" t="s">
        <v>2</v>
      </c>
      <c r="E251" s="18">
        <v>50</v>
      </c>
      <c r="F251" s="116">
        <v>35732.400000000001</v>
      </c>
      <c r="G251" s="117">
        <v>28</v>
      </c>
    </row>
    <row r="252" spans="2:7" x14ac:dyDescent="0.15">
      <c r="B252" s="19" t="str">
        <f t="shared" si="3"/>
        <v>3_女_0</v>
      </c>
      <c r="C252" s="18">
        <v>3</v>
      </c>
      <c r="D252" s="18" t="s">
        <v>2</v>
      </c>
      <c r="E252" s="18">
        <v>0</v>
      </c>
      <c r="F252" s="116">
        <v>12321.8</v>
      </c>
      <c r="G252" s="117">
        <v>82</v>
      </c>
    </row>
    <row r="253" spans="2:7" x14ac:dyDescent="0.15">
      <c r="B253" s="19" t="str">
        <f t="shared" si="3"/>
        <v>3_女_1</v>
      </c>
      <c r="C253" s="18">
        <v>3</v>
      </c>
      <c r="D253" s="18" t="s">
        <v>2</v>
      </c>
      <c r="E253" s="18">
        <v>1</v>
      </c>
      <c r="F253" s="116">
        <v>12330.4</v>
      </c>
      <c r="G253" s="117">
        <v>82</v>
      </c>
    </row>
    <row r="254" spans="2:7" x14ac:dyDescent="0.15">
      <c r="B254" s="19" t="str">
        <f t="shared" si="3"/>
        <v>3_女_2</v>
      </c>
      <c r="C254" s="18">
        <v>3</v>
      </c>
      <c r="D254" s="18" t="s">
        <v>2</v>
      </c>
      <c r="E254" s="18">
        <v>2</v>
      </c>
      <c r="F254" s="116">
        <v>12339.4</v>
      </c>
      <c r="G254" s="117">
        <v>82</v>
      </c>
    </row>
    <row r="255" spans="2:7" x14ac:dyDescent="0.15">
      <c r="B255" s="19" t="str">
        <f t="shared" si="3"/>
        <v>3_女_3</v>
      </c>
      <c r="C255" s="18">
        <v>3</v>
      </c>
      <c r="D255" s="18" t="s">
        <v>2</v>
      </c>
      <c r="E255" s="18">
        <v>3</v>
      </c>
      <c r="F255" s="116">
        <v>12348.9</v>
      </c>
      <c r="G255" s="117">
        <v>81</v>
      </c>
    </row>
    <row r="256" spans="2:7" x14ac:dyDescent="0.15">
      <c r="B256" s="19" t="str">
        <f t="shared" si="3"/>
        <v>3_女_4</v>
      </c>
      <c r="C256" s="18">
        <v>3</v>
      </c>
      <c r="D256" s="18" t="s">
        <v>2</v>
      </c>
      <c r="E256" s="18">
        <v>4</v>
      </c>
      <c r="F256" s="116">
        <v>12358.8</v>
      </c>
      <c r="G256" s="117">
        <v>81</v>
      </c>
    </row>
    <row r="257" spans="2:7" x14ac:dyDescent="0.15">
      <c r="B257" s="19" t="str">
        <f t="shared" si="3"/>
        <v>3_女_5</v>
      </c>
      <c r="C257" s="18">
        <v>3</v>
      </c>
      <c r="D257" s="18" t="s">
        <v>2</v>
      </c>
      <c r="E257" s="18">
        <v>5</v>
      </c>
      <c r="F257" s="116">
        <v>12369.1</v>
      </c>
      <c r="G257" s="117">
        <v>81</v>
      </c>
    </row>
    <row r="258" spans="2:7" x14ac:dyDescent="0.15">
      <c r="B258" s="19" t="str">
        <f t="shared" si="3"/>
        <v>3_女_6</v>
      </c>
      <c r="C258" s="18">
        <v>3</v>
      </c>
      <c r="D258" s="18" t="s">
        <v>2</v>
      </c>
      <c r="E258" s="18">
        <v>6</v>
      </c>
      <c r="F258" s="116">
        <v>12379.7</v>
      </c>
      <c r="G258" s="117">
        <v>81</v>
      </c>
    </row>
    <row r="259" spans="2:7" x14ac:dyDescent="0.15">
      <c r="B259" s="19" t="str">
        <f t="shared" ref="B259:B322" si="4">C259&amp;"_"&amp;D259&amp;"_"&amp;E259</f>
        <v>3_女_7</v>
      </c>
      <c r="C259" s="18">
        <v>3</v>
      </c>
      <c r="D259" s="18" t="s">
        <v>2</v>
      </c>
      <c r="E259" s="18">
        <v>7</v>
      </c>
      <c r="F259" s="116">
        <v>12390.6</v>
      </c>
      <c r="G259" s="117">
        <v>81</v>
      </c>
    </row>
    <row r="260" spans="2:7" x14ac:dyDescent="0.15">
      <c r="B260" s="19" t="str">
        <f t="shared" si="4"/>
        <v>3_女_8</v>
      </c>
      <c r="C260" s="18">
        <v>3</v>
      </c>
      <c r="D260" s="18" t="s">
        <v>2</v>
      </c>
      <c r="E260" s="18">
        <v>8</v>
      </c>
      <c r="F260" s="116">
        <v>12401.9</v>
      </c>
      <c r="G260" s="117">
        <v>81</v>
      </c>
    </row>
    <row r="261" spans="2:7" x14ac:dyDescent="0.15">
      <c r="B261" s="19" t="str">
        <f t="shared" si="4"/>
        <v>3_女_9</v>
      </c>
      <c r="C261" s="18">
        <v>3</v>
      </c>
      <c r="D261" s="18" t="s">
        <v>2</v>
      </c>
      <c r="E261" s="18">
        <v>9</v>
      </c>
      <c r="F261" s="116">
        <v>12413.6</v>
      </c>
      <c r="G261" s="117">
        <v>81</v>
      </c>
    </row>
    <row r="262" spans="2:7" x14ac:dyDescent="0.15">
      <c r="B262" s="19" t="str">
        <f t="shared" si="4"/>
        <v>3_女_10</v>
      </c>
      <c r="C262" s="18">
        <v>3</v>
      </c>
      <c r="D262" s="18" t="s">
        <v>2</v>
      </c>
      <c r="E262" s="18">
        <v>10</v>
      </c>
      <c r="F262" s="116">
        <v>12425.6</v>
      </c>
      <c r="G262" s="117">
        <v>81</v>
      </c>
    </row>
    <row r="263" spans="2:7" x14ac:dyDescent="0.15">
      <c r="B263" s="19" t="str">
        <f t="shared" si="4"/>
        <v>3_女_11</v>
      </c>
      <c r="C263" s="18">
        <v>3</v>
      </c>
      <c r="D263" s="18" t="s">
        <v>2</v>
      </c>
      <c r="E263" s="18">
        <v>11</v>
      </c>
      <c r="F263" s="116">
        <v>12438</v>
      </c>
      <c r="G263" s="117">
        <v>81</v>
      </c>
    </row>
    <row r="264" spans="2:7" x14ac:dyDescent="0.15">
      <c r="B264" s="19" t="str">
        <f t="shared" si="4"/>
        <v>3_女_12</v>
      </c>
      <c r="C264" s="18">
        <v>3</v>
      </c>
      <c r="D264" s="18" t="s">
        <v>2</v>
      </c>
      <c r="E264" s="18">
        <v>12</v>
      </c>
      <c r="F264" s="116">
        <v>12450.8</v>
      </c>
      <c r="G264" s="117">
        <v>81</v>
      </c>
    </row>
    <row r="265" spans="2:7" x14ac:dyDescent="0.15">
      <c r="B265" s="19" t="str">
        <f t="shared" si="4"/>
        <v>3_女_13</v>
      </c>
      <c r="C265" s="18">
        <v>3</v>
      </c>
      <c r="D265" s="18" t="s">
        <v>2</v>
      </c>
      <c r="E265" s="18">
        <v>13</v>
      </c>
      <c r="F265" s="116">
        <v>12464</v>
      </c>
      <c r="G265" s="117">
        <v>81</v>
      </c>
    </row>
    <row r="266" spans="2:7" x14ac:dyDescent="0.15">
      <c r="B266" s="19" t="str">
        <f t="shared" si="4"/>
        <v>3_女_14</v>
      </c>
      <c r="C266" s="18">
        <v>3</v>
      </c>
      <c r="D266" s="18" t="s">
        <v>2</v>
      </c>
      <c r="E266" s="18">
        <v>14</v>
      </c>
      <c r="F266" s="116">
        <v>12477.5</v>
      </c>
      <c r="G266" s="117">
        <v>81</v>
      </c>
    </row>
    <row r="267" spans="2:7" x14ac:dyDescent="0.15">
      <c r="B267" s="19" t="str">
        <f t="shared" si="4"/>
        <v>3_女_15</v>
      </c>
      <c r="C267" s="18">
        <v>3</v>
      </c>
      <c r="D267" s="18" t="s">
        <v>2</v>
      </c>
      <c r="E267" s="18">
        <v>15</v>
      </c>
      <c r="F267" s="116">
        <v>12491.5</v>
      </c>
      <c r="G267" s="117">
        <v>81</v>
      </c>
    </row>
    <row r="268" spans="2:7" x14ac:dyDescent="0.15">
      <c r="B268" s="19" t="str">
        <f t="shared" si="4"/>
        <v>3_女_16</v>
      </c>
      <c r="C268" s="18">
        <v>3</v>
      </c>
      <c r="D268" s="18" t="s">
        <v>2</v>
      </c>
      <c r="E268" s="18">
        <v>16</v>
      </c>
      <c r="F268" s="116">
        <v>12505.9</v>
      </c>
      <c r="G268" s="117">
        <v>80</v>
      </c>
    </row>
    <row r="269" spans="2:7" x14ac:dyDescent="0.15">
      <c r="B269" s="19" t="str">
        <f t="shared" si="4"/>
        <v>3_女_17</v>
      </c>
      <c r="C269" s="18">
        <v>3</v>
      </c>
      <c r="D269" s="18" t="s">
        <v>2</v>
      </c>
      <c r="E269" s="18">
        <v>17</v>
      </c>
      <c r="F269" s="116">
        <v>12520.8</v>
      </c>
      <c r="G269" s="117">
        <v>80</v>
      </c>
    </row>
    <row r="270" spans="2:7" x14ac:dyDescent="0.15">
      <c r="B270" s="19" t="str">
        <f t="shared" si="4"/>
        <v>3_女_18</v>
      </c>
      <c r="C270" s="18">
        <v>3</v>
      </c>
      <c r="D270" s="18" t="s">
        <v>2</v>
      </c>
      <c r="E270" s="18">
        <v>18</v>
      </c>
      <c r="F270" s="116">
        <v>12536.1</v>
      </c>
      <c r="G270" s="117">
        <v>80</v>
      </c>
    </row>
    <row r="271" spans="2:7" x14ac:dyDescent="0.15">
      <c r="B271" s="19" t="str">
        <f t="shared" si="4"/>
        <v>3_女_19</v>
      </c>
      <c r="C271" s="18">
        <v>3</v>
      </c>
      <c r="D271" s="18" t="s">
        <v>2</v>
      </c>
      <c r="E271" s="18">
        <v>19</v>
      </c>
      <c r="F271" s="116">
        <v>12551.9</v>
      </c>
      <c r="G271" s="117">
        <v>80</v>
      </c>
    </row>
    <row r="272" spans="2:7" x14ac:dyDescent="0.15">
      <c r="B272" s="19" t="str">
        <f t="shared" si="4"/>
        <v>3_女_20</v>
      </c>
      <c r="C272" s="18">
        <v>3</v>
      </c>
      <c r="D272" s="18" t="s">
        <v>2</v>
      </c>
      <c r="E272" s="18">
        <v>20</v>
      </c>
      <c r="F272" s="116">
        <v>12568.1</v>
      </c>
      <c r="G272" s="117">
        <v>80</v>
      </c>
    </row>
    <row r="273" spans="2:7" x14ac:dyDescent="0.15">
      <c r="B273" s="19" t="str">
        <f t="shared" si="4"/>
        <v>3_女_21</v>
      </c>
      <c r="C273" s="18">
        <v>3</v>
      </c>
      <c r="D273" s="18" t="s">
        <v>2</v>
      </c>
      <c r="E273" s="18">
        <v>21</v>
      </c>
      <c r="F273" s="116">
        <v>12584.8</v>
      </c>
      <c r="G273" s="117">
        <v>80</v>
      </c>
    </row>
    <row r="274" spans="2:7" x14ac:dyDescent="0.15">
      <c r="B274" s="19" t="str">
        <f t="shared" si="4"/>
        <v>3_女_22</v>
      </c>
      <c r="C274" s="18">
        <v>3</v>
      </c>
      <c r="D274" s="18" t="s">
        <v>2</v>
      </c>
      <c r="E274" s="18">
        <v>22</v>
      </c>
      <c r="F274" s="116">
        <v>12602.1</v>
      </c>
      <c r="G274" s="117">
        <v>80</v>
      </c>
    </row>
    <row r="275" spans="2:7" x14ac:dyDescent="0.15">
      <c r="B275" s="19" t="str">
        <f t="shared" si="4"/>
        <v>3_女_23</v>
      </c>
      <c r="C275" s="18">
        <v>3</v>
      </c>
      <c r="D275" s="18" t="s">
        <v>2</v>
      </c>
      <c r="E275" s="18">
        <v>23</v>
      </c>
      <c r="F275" s="116">
        <v>12619.8</v>
      </c>
      <c r="G275" s="117">
        <v>80</v>
      </c>
    </row>
    <row r="276" spans="2:7" x14ac:dyDescent="0.15">
      <c r="B276" s="19" t="str">
        <f t="shared" si="4"/>
        <v>3_女_24</v>
      </c>
      <c r="C276" s="18">
        <v>3</v>
      </c>
      <c r="D276" s="18" t="s">
        <v>2</v>
      </c>
      <c r="E276" s="18">
        <v>24</v>
      </c>
      <c r="F276" s="116">
        <v>12638.1</v>
      </c>
      <c r="G276" s="117">
        <v>80</v>
      </c>
    </row>
    <row r="277" spans="2:7" x14ac:dyDescent="0.15">
      <c r="B277" s="19" t="str">
        <f t="shared" si="4"/>
        <v>3_女_25</v>
      </c>
      <c r="C277" s="18">
        <v>3</v>
      </c>
      <c r="D277" s="18" t="s">
        <v>2</v>
      </c>
      <c r="E277" s="18">
        <v>25</v>
      </c>
      <c r="F277" s="116">
        <v>12657</v>
      </c>
      <c r="G277" s="117">
        <v>80</v>
      </c>
    </row>
    <row r="278" spans="2:7" x14ac:dyDescent="0.15">
      <c r="B278" s="19" t="str">
        <f t="shared" si="4"/>
        <v>3_女_26</v>
      </c>
      <c r="C278" s="18">
        <v>3</v>
      </c>
      <c r="D278" s="18" t="s">
        <v>2</v>
      </c>
      <c r="E278" s="18">
        <v>26</v>
      </c>
      <c r="F278" s="116">
        <v>12676.5</v>
      </c>
      <c r="G278" s="117">
        <v>79</v>
      </c>
    </row>
    <row r="279" spans="2:7" x14ac:dyDescent="0.15">
      <c r="B279" s="19" t="str">
        <f t="shared" si="4"/>
        <v>3_女_27</v>
      </c>
      <c r="C279" s="18">
        <v>3</v>
      </c>
      <c r="D279" s="18" t="s">
        <v>2</v>
      </c>
      <c r="E279" s="18">
        <v>27</v>
      </c>
      <c r="F279" s="116">
        <v>12696.5</v>
      </c>
      <c r="G279" s="117">
        <v>79</v>
      </c>
    </row>
    <row r="280" spans="2:7" x14ac:dyDescent="0.15">
      <c r="B280" s="19" t="str">
        <f t="shared" si="4"/>
        <v>3_女_28</v>
      </c>
      <c r="C280" s="18">
        <v>3</v>
      </c>
      <c r="D280" s="18" t="s">
        <v>2</v>
      </c>
      <c r="E280" s="18">
        <v>28</v>
      </c>
      <c r="F280" s="116">
        <v>12717.1</v>
      </c>
      <c r="G280" s="117">
        <v>79</v>
      </c>
    </row>
    <row r="281" spans="2:7" x14ac:dyDescent="0.15">
      <c r="B281" s="19" t="str">
        <f t="shared" si="4"/>
        <v>3_女_29</v>
      </c>
      <c r="C281" s="18">
        <v>3</v>
      </c>
      <c r="D281" s="18" t="s">
        <v>2</v>
      </c>
      <c r="E281" s="18">
        <v>29</v>
      </c>
      <c r="F281" s="116">
        <v>12738.4</v>
      </c>
      <c r="G281" s="117">
        <v>79</v>
      </c>
    </row>
    <row r="282" spans="2:7" x14ac:dyDescent="0.15">
      <c r="B282" s="19" t="str">
        <f t="shared" si="4"/>
        <v>3_女_30</v>
      </c>
      <c r="C282" s="18">
        <v>3</v>
      </c>
      <c r="D282" s="18" t="s">
        <v>2</v>
      </c>
      <c r="E282" s="18">
        <v>30</v>
      </c>
      <c r="F282" s="116">
        <v>12760.4</v>
      </c>
      <c r="G282" s="117">
        <v>79</v>
      </c>
    </row>
    <row r="283" spans="2:7" x14ac:dyDescent="0.15">
      <c r="B283" s="19" t="str">
        <f t="shared" si="4"/>
        <v>3_女_31</v>
      </c>
      <c r="C283" s="18">
        <v>3</v>
      </c>
      <c r="D283" s="18" t="s">
        <v>2</v>
      </c>
      <c r="E283" s="18">
        <v>31</v>
      </c>
      <c r="F283" s="116">
        <v>12783</v>
      </c>
      <c r="G283" s="117">
        <v>79</v>
      </c>
    </row>
    <row r="284" spans="2:7" x14ac:dyDescent="0.15">
      <c r="B284" s="19" t="str">
        <f t="shared" si="4"/>
        <v>3_女_32</v>
      </c>
      <c r="C284" s="18">
        <v>3</v>
      </c>
      <c r="D284" s="18" t="s">
        <v>2</v>
      </c>
      <c r="E284" s="18">
        <v>32</v>
      </c>
      <c r="F284" s="116">
        <v>12806.3</v>
      </c>
      <c r="G284" s="117">
        <v>79</v>
      </c>
    </row>
    <row r="285" spans="2:7" x14ac:dyDescent="0.15">
      <c r="B285" s="19" t="str">
        <f t="shared" si="4"/>
        <v>3_女_33</v>
      </c>
      <c r="C285" s="18">
        <v>3</v>
      </c>
      <c r="D285" s="18" t="s">
        <v>2</v>
      </c>
      <c r="E285" s="18">
        <v>33</v>
      </c>
      <c r="F285" s="116">
        <v>12830.3</v>
      </c>
      <c r="G285" s="117">
        <v>78</v>
      </c>
    </row>
    <row r="286" spans="2:7" x14ac:dyDescent="0.15">
      <c r="B286" s="19" t="str">
        <f t="shared" si="4"/>
        <v>3_女_34</v>
      </c>
      <c r="C286" s="18">
        <v>3</v>
      </c>
      <c r="D286" s="18" t="s">
        <v>2</v>
      </c>
      <c r="E286" s="18">
        <v>34</v>
      </c>
      <c r="F286" s="116">
        <v>12855</v>
      </c>
      <c r="G286" s="117">
        <v>78</v>
      </c>
    </row>
    <row r="287" spans="2:7" x14ac:dyDescent="0.15">
      <c r="B287" s="19" t="str">
        <f t="shared" si="4"/>
        <v>3_女_35</v>
      </c>
      <c r="C287" s="18">
        <v>3</v>
      </c>
      <c r="D287" s="18" t="s">
        <v>2</v>
      </c>
      <c r="E287" s="18">
        <v>35</v>
      </c>
      <c r="F287" s="116">
        <v>12880.5</v>
      </c>
      <c r="G287" s="117">
        <v>78</v>
      </c>
    </row>
    <row r="288" spans="2:7" x14ac:dyDescent="0.15">
      <c r="B288" s="19" t="str">
        <f t="shared" si="4"/>
        <v>3_女_36</v>
      </c>
      <c r="C288" s="18">
        <v>3</v>
      </c>
      <c r="D288" s="18" t="s">
        <v>2</v>
      </c>
      <c r="E288" s="18">
        <v>36</v>
      </c>
      <c r="F288" s="116">
        <v>12906.8</v>
      </c>
      <c r="G288" s="117">
        <v>78</v>
      </c>
    </row>
    <row r="289" spans="2:7" x14ac:dyDescent="0.15">
      <c r="B289" s="19" t="str">
        <f t="shared" si="4"/>
        <v>3_女_37</v>
      </c>
      <c r="C289" s="18">
        <v>3</v>
      </c>
      <c r="D289" s="18" t="s">
        <v>2</v>
      </c>
      <c r="E289" s="18">
        <v>37</v>
      </c>
      <c r="F289" s="116">
        <v>12933.9</v>
      </c>
      <c r="G289" s="117">
        <v>78</v>
      </c>
    </row>
    <row r="290" spans="2:7" x14ac:dyDescent="0.15">
      <c r="B290" s="19" t="str">
        <f t="shared" si="4"/>
        <v>3_女_38</v>
      </c>
      <c r="C290" s="18">
        <v>3</v>
      </c>
      <c r="D290" s="18" t="s">
        <v>2</v>
      </c>
      <c r="E290" s="18">
        <v>38</v>
      </c>
      <c r="F290" s="116">
        <v>12961.7</v>
      </c>
      <c r="G290" s="117">
        <v>78</v>
      </c>
    </row>
    <row r="291" spans="2:7" x14ac:dyDescent="0.15">
      <c r="B291" s="19" t="str">
        <f t="shared" si="4"/>
        <v>3_女_39</v>
      </c>
      <c r="C291" s="18">
        <v>3</v>
      </c>
      <c r="D291" s="18" t="s">
        <v>2</v>
      </c>
      <c r="E291" s="18">
        <v>39</v>
      </c>
      <c r="F291" s="116">
        <v>12990.4</v>
      </c>
      <c r="G291" s="117">
        <v>77</v>
      </c>
    </row>
    <row r="292" spans="2:7" x14ac:dyDescent="0.15">
      <c r="B292" s="19" t="str">
        <f t="shared" si="4"/>
        <v>3_女_40</v>
      </c>
      <c r="C292" s="18">
        <v>3</v>
      </c>
      <c r="D292" s="18" t="s">
        <v>2</v>
      </c>
      <c r="E292" s="18">
        <v>40</v>
      </c>
      <c r="F292" s="116">
        <v>13019.9</v>
      </c>
      <c r="G292" s="117">
        <v>77</v>
      </c>
    </row>
    <row r="293" spans="2:7" x14ac:dyDescent="0.15">
      <c r="B293" s="19" t="str">
        <f t="shared" si="4"/>
        <v>3_女_41</v>
      </c>
      <c r="C293" s="18">
        <v>3</v>
      </c>
      <c r="D293" s="18" t="s">
        <v>2</v>
      </c>
      <c r="E293" s="18">
        <v>41</v>
      </c>
      <c r="F293" s="116">
        <v>13050.3</v>
      </c>
      <c r="G293" s="117">
        <v>77</v>
      </c>
    </row>
    <row r="294" spans="2:7" x14ac:dyDescent="0.15">
      <c r="B294" s="19" t="str">
        <f t="shared" si="4"/>
        <v>3_女_42</v>
      </c>
      <c r="C294" s="18">
        <v>3</v>
      </c>
      <c r="D294" s="18" t="s">
        <v>2</v>
      </c>
      <c r="E294" s="18">
        <v>42</v>
      </c>
      <c r="F294" s="116">
        <v>13081.6</v>
      </c>
      <c r="G294" s="117">
        <v>77</v>
      </c>
    </row>
    <row r="295" spans="2:7" x14ac:dyDescent="0.15">
      <c r="B295" s="19" t="str">
        <f t="shared" si="4"/>
        <v>3_女_43</v>
      </c>
      <c r="C295" s="18">
        <v>3</v>
      </c>
      <c r="D295" s="18" t="s">
        <v>2</v>
      </c>
      <c r="E295" s="18">
        <v>43</v>
      </c>
      <c r="F295" s="116">
        <v>13113.7</v>
      </c>
      <c r="G295" s="117">
        <v>77</v>
      </c>
    </row>
    <row r="296" spans="2:7" x14ac:dyDescent="0.15">
      <c r="B296" s="19" t="str">
        <f t="shared" si="4"/>
        <v>3_女_44</v>
      </c>
      <c r="C296" s="18">
        <v>3</v>
      </c>
      <c r="D296" s="18" t="s">
        <v>2</v>
      </c>
      <c r="E296" s="18">
        <v>44</v>
      </c>
      <c r="F296" s="116">
        <v>13146.8</v>
      </c>
      <c r="G296" s="117">
        <v>77</v>
      </c>
    </row>
    <row r="297" spans="2:7" x14ac:dyDescent="0.15">
      <c r="B297" s="19" t="str">
        <f t="shared" si="4"/>
        <v>3_女_45</v>
      </c>
      <c r="C297" s="18">
        <v>3</v>
      </c>
      <c r="D297" s="18" t="s">
        <v>2</v>
      </c>
      <c r="E297" s="18">
        <v>45</v>
      </c>
      <c r="F297" s="116">
        <v>13180.8</v>
      </c>
      <c r="G297" s="117">
        <v>76</v>
      </c>
    </row>
    <row r="298" spans="2:7" x14ac:dyDescent="0.15">
      <c r="B298" s="19" t="str">
        <f t="shared" si="4"/>
        <v>3_女_46</v>
      </c>
      <c r="C298" s="18">
        <v>3</v>
      </c>
      <c r="D298" s="18" t="s">
        <v>2</v>
      </c>
      <c r="E298" s="18">
        <v>46</v>
      </c>
      <c r="F298" s="116">
        <v>13215.8</v>
      </c>
      <c r="G298" s="117">
        <v>76</v>
      </c>
    </row>
    <row r="299" spans="2:7" x14ac:dyDescent="0.15">
      <c r="B299" s="19" t="str">
        <f t="shared" si="4"/>
        <v>3_女_47</v>
      </c>
      <c r="C299" s="18">
        <v>3</v>
      </c>
      <c r="D299" s="18" t="s">
        <v>2</v>
      </c>
      <c r="E299" s="18">
        <v>47</v>
      </c>
      <c r="F299" s="116">
        <v>13251.7</v>
      </c>
      <c r="G299" s="117">
        <v>76</v>
      </c>
    </row>
    <row r="300" spans="2:7" x14ac:dyDescent="0.15">
      <c r="B300" s="19" t="str">
        <f t="shared" si="4"/>
        <v>3_女_48</v>
      </c>
      <c r="C300" s="18">
        <v>3</v>
      </c>
      <c r="D300" s="18" t="s">
        <v>2</v>
      </c>
      <c r="E300" s="18">
        <v>48</v>
      </c>
      <c r="F300" s="116">
        <v>13288.6</v>
      </c>
      <c r="G300" s="117">
        <v>76</v>
      </c>
    </row>
    <row r="301" spans="2:7" x14ac:dyDescent="0.15">
      <c r="B301" s="19" t="str">
        <f t="shared" si="4"/>
        <v>3_女_49</v>
      </c>
      <c r="C301" s="18">
        <v>3</v>
      </c>
      <c r="D301" s="18" t="s">
        <v>2</v>
      </c>
      <c r="E301" s="18">
        <v>49</v>
      </c>
      <c r="F301" s="116">
        <v>13326.6</v>
      </c>
      <c r="G301" s="117">
        <v>76</v>
      </c>
    </row>
    <row r="302" spans="2:7" x14ac:dyDescent="0.15">
      <c r="B302" s="19" t="str">
        <f t="shared" si="4"/>
        <v>3_女_50</v>
      </c>
      <c r="C302" s="18">
        <v>3</v>
      </c>
      <c r="D302" s="18" t="s">
        <v>2</v>
      </c>
      <c r="E302" s="18">
        <v>50</v>
      </c>
      <c r="F302" s="116">
        <v>13365.5</v>
      </c>
      <c r="G302" s="117">
        <v>75</v>
      </c>
    </row>
    <row r="303" spans="2:7" x14ac:dyDescent="0.15">
      <c r="B303" s="19" t="str">
        <f t="shared" si="4"/>
        <v>5_女_0</v>
      </c>
      <c r="C303" s="18">
        <v>5</v>
      </c>
      <c r="D303" s="18" t="s">
        <v>2</v>
      </c>
      <c r="E303" s="18">
        <v>0</v>
      </c>
      <c r="F303" s="116">
        <v>7629.7</v>
      </c>
      <c r="G303" s="117">
        <v>132</v>
      </c>
    </row>
    <row r="304" spans="2:7" x14ac:dyDescent="0.15">
      <c r="B304" s="19" t="str">
        <f t="shared" si="4"/>
        <v>5_女_1</v>
      </c>
      <c r="C304" s="18">
        <v>5</v>
      </c>
      <c r="D304" s="18" t="s">
        <v>2</v>
      </c>
      <c r="E304" s="18">
        <v>1</v>
      </c>
      <c r="F304" s="116">
        <v>7635</v>
      </c>
      <c r="G304" s="117">
        <v>131</v>
      </c>
    </row>
    <row r="305" spans="2:7" x14ac:dyDescent="0.15">
      <c r="B305" s="19" t="str">
        <f t="shared" si="4"/>
        <v>5_女_2</v>
      </c>
      <c r="C305" s="18">
        <v>5</v>
      </c>
      <c r="D305" s="18" t="s">
        <v>2</v>
      </c>
      <c r="E305" s="18">
        <v>2</v>
      </c>
      <c r="F305" s="116">
        <v>7640.7</v>
      </c>
      <c r="G305" s="117">
        <v>131</v>
      </c>
    </row>
    <row r="306" spans="2:7" x14ac:dyDescent="0.15">
      <c r="B306" s="19" t="str">
        <f t="shared" si="4"/>
        <v>5_女_3</v>
      </c>
      <c r="C306" s="18">
        <v>5</v>
      </c>
      <c r="D306" s="18" t="s">
        <v>2</v>
      </c>
      <c r="E306" s="18">
        <v>3</v>
      </c>
      <c r="F306" s="116">
        <v>7646.6</v>
      </c>
      <c r="G306" s="117">
        <v>131</v>
      </c>
    </row>
    <row r="307" spans="2:7" x14ac:dyDescent="0.15">
      <c r="B307" s="19" t="str">
        <f t="shared" si="4"/>
        <v>5_女_4</v>
      </c>
      <c r="C307" s="18">
        <v>5</v>
      </c>
      <c r="D307" s="18" t="s">
        <v>2</v>
      </c>
      <c r="E307" s="18">
        <v>4</v>
      </c>
      <c r="F307" s="116">
        <v>7652.8</v>
      </c>
      <c r="G307" s="117">
        <v>131</v>
      </c>
    </row>
    <row r="308" spans="2:7" x14ac:dyDescent="0.15">
      <c r="B308" s="19" t="str">
        <f t="shared" si="4"/>
        <v>5_女_5</v>
      </c>
      <c r="C308" s="18">
        <v>5</v>
      </c>
      <c r="D308" s="18" t="s">
        <v>2</v>
      </c>
      <c r="E308" s="18">
        <v>5</v>
      </c>
      <c r="F308" s="116">
        <v>7659.2</v>
      </c>
      <c r="G308" s="117">
        <v>131</v>
      </c>
    </row>
    <row r="309" spans="2:7" x14ac:dyDescent="0.15">
      <c r="B309" s="19" t="str">
        <f t="shared" si="4"/>
        <v>5_女_6</v>
      </c>
      <c r="C309" s="18">
        <v>5</v>
      </c>
      <c r="D309" s="18" t="s">
        <v>2</v>
      </c>
      <c r="E309" s="18">
        <v>6</v>
      </c>
      <c r="F309" s="116">
        <v>7665.9</v>
      </c>
      <c r="G309" s="117">
        <v>131</v>
      </c>
    </row>
    <row r="310" spans="2:7" x14ac:dyDescent="0.15">
      <c r="B310" s="19" t="str">
        <f t="shared" si="4"/>
        <v>5_女_7</v>
      </c>
      <c r="C310" s="18">
        <v>5</v>
      </c>
      <c r="D310" s="18" t="s">
        <v>2</v>
      </c>
      <c r="E310" s="18">
        <v>7</v>
      </c>
      <c r="F310" s="116">
        <v>7672.7</v>
      </c>
      <c r="G310" s="117">
        <v>131</v>
      </c>
    </row>
    <row r="311" spans="2:7" x14ac:dyDescent="0.15">
      <c r="B311" s="19" t="str">
        <f t="shared" si="4"/>
        <v>5_女_8</v>
      </c>
      <c r="C311" s="18">
        <v>5</v>
      </c>
      <c r="D311" s="18" t="s">
        <v>2</v>
      </c>
      <c r="E311" s="18">
        <v>8</v>
      </c>
      <c r="F311" s="116">
        <v>7679.8</v>
      </c>
      <c r="G311" s="117">
        <v>131</v>
      </c>
    </row>
    <row r="312" spans="2:7" x14ac:dyDescent="0.15">
      <c r="B312" s="19" t="str">
        <f t="shared" si="4"/>
        <v>5_女_9</v>
      </c>
      <c r="C312" s="18">
        <v>5</v>
      </c>
      <c r="D312" s="18" t="s">
        <v>2</v>
      </c>
      <c r="E312" s="18">
        <v>9</v>
      </c>
      <c r="F312" s="116">
        <v>7687.1</v>
      </c>
      <c r="G312" s="117">
        <v>131</v>
      </c>
    </row>
    <row r="313" spans="2:7" x14ac:dyDescent="0.15">
      <c r="B313" s="19" t="str">
        <f t="shared" si="4"/>
        <v>5_女_10</v>
      </c>
      <c r="C313" s="18">
        <v>5</v>
      </c>
      <c r="D313" s="18" t="s">
        <v>2</v>
      </c>
      <c r="E313" s="18">
        <v>10</v>
      </c>
      <c r="F313" s="116">
        <v>7694.6</v>
      </c>
      <c r="G313" s="117">
        <v>130</v>
      </c>
    </row>
    <row r="314" spans="2:7" x14ac:dyDescent="0.15">
      <c r="B314" s="19" t="str">
        <f t="shared" si="4"/>
        <v>5_女_11</v>
      </c>
      <c r="C314" s="18">
        <v>5</v>
      </c>
      <c r="D314" s="18" t="s">
        <v>2</v>
      </c>
      <c r="E314" s="18">
        <v>11</v>
      </c>
      <c r="F314" s="116">
        <v>7702.3</v>
      </c>
      <c r="G314" s="117">
        <v>130</v>
      </c>
    </row>
    <row r="315" spans="2:7" x14ac:dyDescent="0.15">
      <c r="B315" s="19" t="str">
        <f t="shared" si="4"/>
        <v>5_女_12</v>
      </c>
      <c r="C315" s="18">
        <v>5</v>
      </c>
      <c r="D315" s="18" t="s">
        <v>2</v>
      </c>
      <c r="E315" s="18">
        <v>12</v>
      </c>
      <c r="F315" s="116">
        <v>7710.3</v>
      </c>
      <c r="G315" s="117">
        <v>130</v>
      </c>
    </row>
    <row r="316" spans="2:7" x14ac:dyDescent="0.15">
      <c r="B316" s="19" t="str">
        <f t="shared" si="4"/>
        <v>5_女_13</v>
      </c>
      <c r="C316" s="18">
        <v>5</v>
      </c>
      <c r="D316" s="18" t="s">
        <v>2</v>
      </c>
      <c r="E316" s="18">
        <v>13</v>
      </c>
      <c r="F316" s="116">
        <v>7718.6</v>
      </c>
      <c r="G316" s="117">
        <v>130</v>
      </c>
    </row>
    <row r="317" spans="2:7" x14ac:dyDescent="0.15">
      <c r="B317" s="19" t="str">
        <f t="shared" si="4"/>
        <v>5_女_14</v>
      </c>
      <c r="C317" s="18">
        <v>5</v>
      </c>
      <c r="D317" s="18" t="s">
        <v>2</v>
      </c>
      <c r="E317" s="18">
        <v>14</v>
      </c>
      <c r="F317" s="116">
        <v>7727</v>
      </c>
      <c r="G317" s="117">
        <v>130</v>
      </c>
    </row>
    <row r="318" spans="2:7" x14ac:dyDescent="0.15">
      <c r="B318" s="19" t="str">
        <f t="shared" si="4"/>
        <v>5_女_15</v>
      </c>
      <c r="C318" s="18">
        <v>5</v>
      </c>
      <c r="D318" s="18" t="s">
        <v>2</v>
      </c>
      <c r="E318" s="18">
        <v>15</v>
      </c>
      <c r="F318" s="116">
        <v>7735.8</v>
      </c>
      <c r="G318" s="117">
        <v>130</v>
      </c>
    </row>
    <row r="319" spans="2:7" x14ac:dyDescent="0.15">
      <c r="B319" s="19" t="str">
        <f t="shared" si="4"/>
        <v>5_女_16</v>
      </c>
      <c r="C319" s="18">
        <v>5</v>
      </c>
      <c r="D319" s="18" t="s">
        <v>2</v>
      </c>
      <c r="E319" s="18">
        <v>16</v>
      </c>
      <c r="F319" s="116">
        <v>7744.8</v>
      </c>
      <c r="G319" s="117">
        <v>130</v>
      </c>
    </row>
    <row r="320" spans="2:7" x14ac:dyDescent="0.15">
      <c r="B320" s="19" t="str">
        <f t="shared" si="4"/>
        <v>5_女_17</v>
      </c>
      <c r="C320" s="18">
        <v>5</v>
      </c>
      <c r="D320" s="18" t="s">
        <v>2</v>
      </c>
      <c r="E320" s="18">
        <v>17</v>
      </c>
      <c r="F320" s="116">
        <v>7754.1</v>
      </c>
      <c r="G320" s="117">
        <v>129</v>
      </c>
    </row>
    <row r="321" spans="2:7" x14ac:dyDescent="0.15">
      <c r="B321" s="19" t="str">
        <f t="shared" si="4"/>
        <v>5_女_18</v>
      </c>
      <c r="C321" s="18">
        <v>5</v>
      </c>
      <c r="D321" s="18" t="s">
        <v>2</v>
      </c>
      <c r="E321" s="18">
        <v>18</v>
      </c>
      <c r="F321" s="116">
        <v>7763.6</v>
      </c>
      <c r="G321" s="117">
        <v>129</v>
      </c>
    </row>
    <row r="322" spans="2:7" x14ac:dyDescent="0.15">
      <c r="B322" s="19" t="str">
        <f t="shared" si="4"/>
        <v>5_女_19</v>
      </c>
      <c r="C322" s="18">
        <v>5</v>
      </c>
      <c r="D322" s="18" t="s">
        <v>2</v>
      </c>
      <c r="E322" s="18">
        <v>19</v>
      </c>
      <c r="F322" s="116">
        <v>7773.5</v>
      </c>
      <c r="G322" s="117">
        <v>129</v>
      </c>
    </row>
    <row r="323" spans="2:7" x14ac:dyDescent="0.15">
      <c r="B323" s="19" t="str">
        <f t="shared" ref="B323:B386" si="5">C323&amp;"_"&amp;D323&amp;"_"&amp;E323</f>
        <v>5_女_20</v>
      </c>
      <c r="C323" s="18">
        <v>5</v>
      </c>
      <c r="D323" s="18" t="s">
        <v>2</v>
      </c>
      <c r="E323" s="18">
        <v>20</v>
      </c>
      <c r="F323" s="116">
        <v>7783.6</v>
      </c>
      <c r="G323" s="117">
        <v>129</v>
      </c>
    </row>
    <row r="324" spans="2:7" x14ac:dyDescent="0.15">
      <c r="B324" s="19" t="str">
        <f t="shared" si="5"/>
        <v>5_女_21</v>
      </c>
      <c r="C324" s="18">
        <v>5</v>
      </c>
      <c r="D324" s="18" t="s">
        <v>2</v>
      </c>
      <c r="E324" s="18">
        <v>21</v>
      </c>
      <c r="F324" s="116">
        <v>7794</v>
      </c>
      <c r="G324" s="117">
        <v>129</v>
      </c>
    </row>
    <row r="325" spans="2:7" x14ac:dyDescent="0.15">
      <c r="B325" s="19" t="str">
        <f t="shared" si="5"/>
        <v>5_女_22</v>
      </c>
      <c r="C325" s="18">
        <v>5</v>
      </c>
      <c r="D325" s="18" t="s">
        <v>2</v>
      </c>
      <c r="E325" s="18">
        <v>22</v>
      </c>
      <c r="F325" s="116">
        <v>7804.8</v>
      </c>
      <c r="G325" s="117">
        <v>129</v>
      </c>
    </row>
    <row r="326" spans="2:7" x14ac:dyDescent="0.15">
      <c r="B326" s="19" t="str">
        <f t="shared" si="5"/>
        <v>5_女_23</v>
      </c>
      <c r="C326" s="18">
        <v>5</v>
      </c>
      <c r="D326" s="18" t="s">
        <v>2</v>
      </c>
      <c r="E326" s="18">
        <v>23</v>
      </c>
      <c r="F326" s="116">
        <v>7815.9</v>
      </c>
      <c r="G326" s="117">
        <v>128</v>
      </c>
    </row>
    <row r="327" spans="2:7" x14ac:dyDescent="0.15">
      <c r="B327" s="19" t="str">
        <f t="shared" si="5"/>
        <v>5_女_24</v>
      </c>
      <c r="C327" s="18">
        <v>5</v>
      </c>
      <c r="D327" s="18" t="s">
        <v>2</v>
      </c>
      <c r="E327" s="18">
        <v>24</v>
      </c>
      <c r="F327" s="116">
        <v>7827.3</v>
      </c>
      <c r="G327" s="117">
        <v>128</v>
      </c>
    </row>
    <row r="328" spans="2:7" x14ac:dyDescent="0.15">
      <c r="B328" s="19" t="str">
        <f t="shared" si="5"/>
        <v>5_女_25</v>
      </c>
      <c r="C328" s="18">
        <v>5</v>
      </c>
      <c r="D328" s="18" t="s">
        <v>2</v>
      </c>
      <c r="E328" s="18">
        <v>25</v>
      </c>
      <c r="F328" s="116">
        <v>7839.1</v>
      </c>
      <c r="G328" s="117">
        <v>128</v>
      </c>
    </row>
    <row r="329" spans="2:7" x14ac:dyDescent="0.15">
      <c r="B329" s="19" t="str">
        <f t="shared" si="5"/>
        <v>5_女_26</v>
      </c>
      <c r="C329" s="18">
        <v>5</v>
      </c>
      <c r="D329" s="18" t="s">
        <v>2</v>
      </c>
      <c r="E329" s="18">
        <v>26</v>
      </c>
      <c r="F329" s="116">
        <v>7851.2</v>
      </c>
      <c r="G329" s="117">
        <v>128</v>
      </c>
    </row>
    <row r="330" spans="2:7" x14ac:dyDescent="0.15">
      <c r="B330" s="19" t="str">
        <f t="shared" si="5"/>
        <v>5_女_27</v>
      </c>
      <c r="C330" s="18">
        <v>5</v>
      </c>
      <c r="D330" s="18" t="s">
        <v>2</v>
      </c>
      <c r="E330" s="18">
        <v>27</v>
      </c>
      <c r="F330" s="116">
        <v>7863.7</v>
      </c>
      <c r="G330" s="117">
        <v>128</v>
      </c>
    </row>
    <row r="331" spans="2:7" x14ac:dyDescent="0.15">
      <c r="B331" s="19" t="str">
        <f t="shared" si="5"/>
        <v>5_女_28</v>
      </c>
      <c r="C331" s="18">
        <v>5</v>
      </c>
      <c r="D331" s="18" t="s">
        <v>2</v>
      </c>
      <c r="E331" s="18">
        <v>28</v>
      </c>
      <c r="F331" s="116">
        <v>7876.6</v>
      </c>
      <c r="G331" s="117">
        <v>127</v>
      </c>
    </row>
    <row r="332" spans="2:7" x14ac:dyDescent="0.15">
      <c r="B332" s="19" t="str">
        <f t="shared" si="5"/>
        <v>5_女_29</v>
      </c>
      <c r="C332" s="18">
        <v>5</v>
      </c>
      <c r="D332" s="18" t="s">
        <v>2</v>
      </c>
      <c r="E332" s="18">
        <v>29</v>
      </c>
      <c r="F332" s="116">
        <v>7889.8</v>
      </c>
      <c r="G332" s="117">
        <v>127</v>
      </c>
    </row>
    <row r="333" spans="2:7" x14ac:dyDescent="0.15">
      <c r="B333" s="19" t="str">
        <f t="shared" si="5"/>
        <v>5_女_30</v>
      </c>
      <c r="C333" s="18">
        <v>5</v>
      </c>
      <c r="D333" s="18" t="s">
        <v>2</v>
      </c>
      <c r="E333" s="18">
        <v>30</v>
      </c>
      <c r="F333" s="116">
        <v>7903.5</v>
      </c>
      <c r="G333" s="117">
        <v>127</v>
      </c>
    </row>
    <row r="334" spans="2:7" x14ac:dyDescent="0.15">
      <c r="B334" s="19" t="str">
        <f t="shared" si="5"/>
        <v>5_女_31</v>
      </c>
      <c r="C334" s="18">
        <v>5</v>
      </c>
      <c r="D334" s="18" t="s">
        <v>2</v>
      </c>
      <c r="E334" s="18">
        <v>31</v>
      </c>
      <c r="F334" s="116">
        <v>7917.6</v>
      </c>
      <c r="G334" s="117">
        <v>127</v>
      </c>
    </row>
    <row r="335" spans="2:7" x14ac:dyDescent="0.15">
      <c r="B335" s="19" t="str">
        <f t="shared" si="5"/>
        <v>5_女_32</v>
      </c>
      <c r="C335" s="18">
        <v>5</v>
      </c>
      <c r="D335" s="18" t="s">
        <v>2</v>
      </c>
      <c r="E335" s="18">
        <v>32</v>
      </c>
      <c r="F335" s="116">
        <v>7932.1</v>
      </c>
      <c r="G335" s="117">
        <v>127</v>
      </c>
    </row>
    <row r="336" spans="2:7" x14ac:dyDescent="0.15">
      <c r="B336" s="19" t="str">
        <f t="shared" si="5"/>
        <v>5_女_33</v>
      </c>
      <c r="C336" s="18">
        <v>5</v>
      </c>
      <c r="D336" s="18" t="s">
        <v>2</v>
      </c>
      <c r="E336" s="18">
        <v>33</v>
      </c>
      <c r="F336" s="116">
        <v>7947</v>
      </c>
      <c r="G336" s="117">
        <v>126</v>
      </c>
    </row>
    <row r="337" spans="2:7" x14ac:dyDescent="0.15">
      <c r="B337" s="19" t="str">
        <f t="shared" si="5"/>
        <v>5_女_34</v>
      </c>
      <c r="C337" s="18">
        <v>5</v>
      </c>
      <c r="D337" s="18" t="s">
        <v>2</v>
      </c>
      <c r="E337" s="18">
        <v>34</v>
      </c>
      <c r="F337" s="116">
        <v>7962.4</v>
      </c>
      <c r="G337" s="117">
        <v>126</v>
      </c>
    </row>
    <row r="338" spans="2:7" x14ac:dyDescent="0.15">
      <c r="B338" s="19" t="str">
        <f t="shared" si="5"/>
        <v>5_女_35</v>
      </c>
      <c r="C338" s="18">
        <v>5</v>
      </c>
      <c r="D338" s="18" t="s">
        <v>2</v>
      </c>
      <c r="E338" s="18">
        <v>35</v>
      </c>
      <c r="F338" s="116">
        <v>7978.2</v>
      </c>
      <c r="G338" s="117">
        <v>126</v>
      </c>
    </row>
    <row r="339" spans="2:7" x14ac:dyDescent="0.15">
      <c r="B339" s="19" t="str">
        <f t="shared" si="5"/>
        <v>5_女_36</v>
      </c>
      <c r="C339" s="18">
        <v>5</v>
      </c>
      <c r="D339" s="18" t="s">
        <v>2</v>
      </c>
      <c r="E339" s="18">
        <v>36</v>
      </c>
      <c r="F339" s="116">
        <v>7994.6</v>
      </c>
      <c r="G339" s="117">
        <v>126</v>
      </c>
    </row>
    <row r="340" spans="2:7" x14ac:dyDescent="0.15">
      <c r="B340" s="19" t="str">
        <f t="shared" si="5"/>
        <v>5_女_37</v>
      </c>
      <c r="C340" s="18">
        <v>5</v>
      </c>
      <c r="D340" s="18" t="s">
        <v>2</v>
      </c>
      <c r="E340" s="18">
        <v>37</v>
      </c>
      <c r="F340" s="116">
        <v>8011.3</v>
      </c>
      <c r="G340" s="117">
        <v>125</v>
      </c>
    </row>
    <row r="341" spans="2:7" x14ac:dyDescent="0.15">
      <c r="B341" s="19" t="str">
        <f t="shared" si="5"/>
        <v>5_女_38</v>
      </c>
      <c r="C341" s="18">
        <v>5</v>
      </c>
      <c r="D341" s="18" t="s">
        <v>2</v>
      </c>
      <c r="E341" s="18">
        <v>38</v>
      </c>
      <c r="F341" s="116">
        <v>8028.6</v>
      </c>
      <c r="G341" s="117">
        <v>125</v>
      </c>
    </row>
    <row r="342" spans="2:7" x14ac:dyDescent="0.15">
      <c r="B342" s="19" t="str">
        <f t="shared" si="5"/>
        <v>5_女_39</v>
      </c>
      <c r="C342" s="18">
        <v>5</v>
      </c>
      <c r="D342" s="18" t="s">
        <v>2</v>
      </c>
      <c r="E342" s="18">
        <v>39</v>
      </c>
      <c r="F342" s="116">
        <v>8046.4</v>
      </c>
      <c r="G342" s="117">
        <v>125</v>
      </c>
    </row>
    <row r="343" spans="2:7" x14ac:dyDescent="0.15">
      <c r="B343" s="19" t="str">
        <f t="shared" si="5"/>
        <v>5_女_40</v>
      </c>
      <c r="C343" s="18">
        <v>5</v>
      </c>
      <c r="D343" s="18" t="s">
        <v>2</v>
      </c>
      <c r="E343" s="18">
        <v>40</v>
      </c>
      <c r="F343" s="116">
        <v>8064.7</v>
      </c>
      <c r="G343" s="117">
        <v>124</v>
      </c>
    </row>
    <row r="344" spans="2:7" x14ac:dyDescent="0.15">
      <c r="B344" s="19" t="str">
        <f t="shared" si="5"/>
        <v>5_女_41</v>
      </c>
      <c r="C344" s="18">
        <v>5</v>
      </c>
      <c r="D344" s="18" t="s">
        <v>2</v>
      </c>
      <c r="E344" s="18">
        <v>41</v>
      </c>
      <c r="F344" s="116">
        <v>8083.4</v>
      </c>
      <c r="G344" s="117">
        <v>124</v>
      </c>
    </row>
    <row r="345" spans="2:7" x14ac:dyDescent="0.15">
      <c r="B345" s="19" t="str">
        <f t="shared" si="5"/>
        <v>5_女_42</v>
      </c>
      <c r="C345" s="18">
        <v>5</v>
      </c>
      <c r="D345" s="18" t="s">
        <v>2</v>
      </c>
      <c r="E345" s="18">
        <v>42</v>
      </c>
      <c r="F345" s="116">
        <v>8102.8</v>
      </c>
      <c r="G345" s="117">
        <v>124</v>
      </c>
    </row>
    <row r="346" spans="2:7" x14ac:dyDescent="0.15">
      <c r="B346" s="19" t="str">
        <f t="shared" si="5"/>
        <v>5_女_43</v>
      </c>
      <c r="C346" s="18">
        <v>5</v>
      </c>
      <c r="D346" s="18" t="s">
        <v>2</v>
      </c>
      <c r="E346" s="18">
        <v>43</v>
      </c>
      <c r="F346" s="116">
        <v>8122.6</v>
      </c>
      <c r="G346" s="117">
        <v>124</v>
      </c>
    </row>
    <row r="347" spans="2:7" x14ac:dyDescent="0.15">
      <c r="B347" s="19" t="str">
        <f t="shared" si="5"/>
        <v>5_女_44</v>
      </c>
      <c r="C347" s="18">
        <v>5</v>
      </c>
      <c r="D347" s="18" t="s">
        <v>2</v>
      </c>
      <c r="E347" s="18">
        <v>44</v>
      </c>
      <c r="F347" s="116">
        <v>8143</v>
      </c>
      <c r="G347" s="117">
        <v>123</v>
      </c>
    </row>
    <row r="348" spans="2:7" x14ac:dyDescent="0.15">
      <c r="B348" s="19" t="str">
        <f t="shared" si="5"/>
        <v>5_女_45</v>
      </c>
      <c r="C348" s="18">
        <v>5</v>
      </c>
      <c r="D348" s="18" t="s">
        <v>2</v>
      </c>
      <c r="E348" s="18">
        <v>45</v>
      </c>
      <c r="F348" s="116">
        <v>8163.9</v>
      </c>
      <c r="G348" s="117">
        <v>123</v>
      </c>
    </row>
    <row r="349" spans="2:7" x14ac:dyDescent="0.15">
      <c r="B349" s="19" t="str">
        <f t="shared" si="5"/>
        <v>5_女_46</v>
      </c>
      <c r="C349" s="18">
        <v>5</v>
      </c>
      <c r="D349" s="18" t="s">
        <v>2</v>
      </c>
      <c r="E349" s="18">
        <v>46</v>
      </c>
      <c r="F349" s="116">
        <v>8185.4</v>
      </c>
      <c r="G349" s="117">
        <v>123</v>
      </c>
    </row>
    <row r="350" spans="2:7" x14ac:dyDescent="0.15">
      <c r="B350" s="19" t="str">
        <f t="shared" si="5"/>
        <v>5_女_47</v>
      </c>
      <c r="C350" s="18">
        <v>5</v>
      </c>
      <c r="D350" s="18" t="s">
        <v>2</v>
      </c>
      <c r="E350" s="18">
        <v>47</v>
      </c>
      <c r="F350" s="116">
        <v>8207.5</v>
      </c>
      <c r="G350" s="117">
        <v>122</v>
      </c>
    </row>
    <row r="351" spans="2:7" x14ac:dyDescent="0.15">
      <c r="B351" s="19" t="str">
        <f t="shared" si="5"/>
        <v>5_女_48</v>
      </c>
      <c r="C351" s="18">
        <v>5</v>
      </c>
      <c r="D351" s="18" t="s">
        <v>2</v>
      </c>
      <c r="E351" s="18">
        <v>48</v>
      </c>
      <c r="F351" s="116">
        <v>8230.1</v>
      </c>
      <c r="G351" s="117">
        <v>122</v>
      </c>
    </row>
    <row r="352" spans="2:7" x14ac:dyDescent="0.15">
      <c r="B352" s="19" t="str">
        <f t="shared" si="5"/>
        <v>5_女_49</v>
      </c>
      <c r="C352" s="18">
        <v>5</v>
      </c>
      <c r="D352" s="18" t="s">
        <v>2</v>
      </c>
      <c r="E352" s="18">
        <v>49</v>
      </c>
      <c r="F352" s="116">
        <v>8253.2999999999993</v>
      </c>
      <c r="G352" s="117">
        <v>122</v>
      </c>
    </row>
    <row r="353" spans="2:7" x14ac:dyDescent="0.15">
      <c r="B353" s="19" t="str">
        <f t="shared" si="5"/>
        <v>5_女_50</v>
      </c>
      <c r="C353" s="18">
        <v>5</v>
      </c>
      <c r="D353" s="18" t="s">
        <v>2</v>
      </c>
      <c r="E353" s="18">
        <v>50</v>
      </c>
      <c r="F353" s="116">
        <v>8277.1</v>
      </c>
      <c r="G353" s="117">
        <v>121</v>
      </c>
    </row>
    <row r="354" spans="2:7" x14ac:dyDescent="0.15">
      <c r="B354" s="19" t="str">
        <f t="shared" si="5"/>
        <v>10_女_0</v>
      </c>
      <c r="C354" s="18">
        <v>10</v>
      </c>
      <c r="D354" s="18" t="s">
        <v>2</v>
      </c>
      <c r="E354" s="18">
        <v>0</v>
      </c>
      <c r="F354" s="116">
        <v>4079.3</v>
      </c>
      <c r="G354" s="117">
        <v>246</v>
      </c>
    </row>
    <row r="355" spans="2:7" x14ac:dyDescent="0.15">
      <c r="B355" s="19" t="str">
        <f t="shared" si="5"/>
        <v>10_女_1</v>
      </c>
      <c r="C355" s="18">
        <v>10</v>
      </c>
      <c r="D355" s="18" t="s">
        <v>2</v>
      </c>
      <c r="E355" s="18">
        <v>1</v>
      </c>
      <c r="F355" s="116">
        <v>4082.3</v>
      </c>
      <c r="G355" s="117">
        <v>245</v>
      </c>
    </row>
    <row r="356" spans="2:7" x14ac:dyDescent="0.15">
      <c r="B356" s="19" t="str">
        <f t="shared" si="5"/>
        <v>10_女_2</v>
      </c>
      <c r="C356" s="18">
        <v>10</v>
      </c>
      <c r="D356" s="18" t="s">
        <v>2</v>
      </c>
      <c r="E356" s="18">
        <v>2</v>
      </c>
      <c r="F356" s="116">
        <v>4085.4</v>
      </c>
      <c r="G356" s="117">
        <v>245</v>
      </c>
    </row>
    <row r="357" spans="2:7" x14ac:dyDescent="0.15">
      <c r="B357" s="19" t="str">
        <f t="shared" si="5"/>
        <v>10_女_3</v>
      </c>
      <c r="C357" s="18">
        <v>10</v>
      </c>
      <c r="D357" s="18" t="s">
        <v>2</v>
      </c>
      <c r="E357" s="18">
        <v>3</v>
      </c>
      <c r="F357" s="116">
        <v>4088.6</v>
      </c>
      <c r="G357" s="117">
        <v>245</v>
      </c>
    </row>
    <row r="358" spans="2:7" x14ac:dyDescent="0.15">
      <c r="B358" s="19" t="str">
        <f t="shared" si="5"/>
        <v>10_女_4</v>
      </c>
      <c r="C358" s="18">
        <v>10</v>
      </c>
      <c r="D358" s="18" t="s">
        <v>2</v>
      </c>
      <c r="E358" s="18">
        <v>4</v>
      </c>
      <c r="F358" s="116">
        <v>4092</v>
      </c>
      <c r="G358" s="117">
        <v>245</v>
      </c>
    </row>
    <row r="359" spans="2:7" x14ac:dyDescent="0.15">
      <c r="B359" s="19" t="str">
        <f t="shared" si="5"/>
        <v>10_女_5</v>
      </c>
      <c r="C359" s="18">
        <v>10</v>
      </c>
      <c r="D359" s="18" t="s">
        <v>2</v>
      </c>
      <c r="E359" s="18">
        <v>5</v>
      </c>
      <c r="F359" s="116">
        <v>4095.5</v>
      </c>
      <c r="G359" s="117">
        <v>245</v>
      </c>
    </row>
    <row r="360" spans="2:7" x14ac:dyDescent="0.15">
      <c r="B360" s="19" t="str">
        <f t="shared" si="5"/>
        <v>10_女_6</v>
      </c>
      <c r="C360" s="18">
        <v>10</v>
      </c>
      <c r="D360" s="18" t="s">
        <v>2</v>
      </c>
      <c r="E360" s="18">
        <v>6</v>
      </c>
      <c r="F360" s="116">
        <v>4099.1000000000004</v>
      </c>
      <c r="G360" s="117">
        <v>244</v>
      </c>
    </row>
    <row r="361" spans="2:7" x14ac:dyDescent="0.15">
      <c r="B361" s="19" t="str">
        <f t="shared" si="5"/>
        <v>10_女_7</v>
      </c>
      <c r="C361" s="18">
        <v>10</v>
      </c>
      <c r="D361" s="18" t="s">
        <v>2</v>
      </c>
      <c r="E361" s="18">
        <v>7</v>
      </c>
      <c r="F361" s="116">
        <v>4102.8999999999996</v>
      </c>
      <c r="G361" s="117">
        <v>244</v>
      </c>
    </row>
    <row r="362" spans="2:7" x14ac:dyDescent="0.15">
      <c r="B362" s="19" t="str">
        <f t="shared" si="5"/>
        <v>10_女_8</v>
      </c>
      <c r="C362" s="18">
        <v>10</v>
      </c>
      <c r="D362" s="18" t="s">
        <v>2</v>
      </c>
      <c r="E362" s="18">
        <v>8</v>
      </c>
      <c r="F362" s="116">
        <v>4106.7</v>
      </c>
      <c r="G362" s="117">
        <v>244</v>
      </c>
    </row>
    <row r="363" spans="2:7" x14ac:dyDescent="0.15">
      <c r="B363" s="19" t="str">
        <f t="shared" si="5"/>
        <v>10_女_9</v>
      </c>
      <c r="C363" s="18">
        <v>10</v>
      </c>
      <c r="D363" s="18" t="s">
        <v>2</v>
      </c>
      <c r="E363" s="18">
        <v>9</v>
      </c>
      <c r="F363" s="116">
        <v>4110.7</v>
      </c>
      <c r="G363" s="117">
        <v>244</v>
      </c>
    </row>
    <row r="364" spans="2:7" x14ac:dyDescent="0.15">
      <c r="B364" s="19" t="str">
        <f t="shared" si="5"/>
        <v>10_女_10</v>
      </c>
      <c r="C364" s="18">
        <v>10</v>
      </c>
      <c r="D364" s="18" t="s">
        <v>2</v>
      </c>
      <c r="E364" s="18">
        <v>10</v>
      </c>
      <c r="F364" s="116">
        <v>4114.8</v>
      </c>
      <c r="G364" s="117">
        <v>244</v>
      </c>
    </row>
    <row r="365" spans="2:7" x14ac:dyDescent="0.15">
      <c r="B365" s="19" t="str">
        <f t="shared" si="5"/>
        <v>10_女_11</v>
      </c>
      <c r="C365" s="18">
        <v>10</v>
      </c>
      <c r="D365" s="18" t="s">
        <v>2</v>
      </c>
      <c r="E365" s="18">
        <v>11</v>
      </c>
      <c r="F365" s="116">
        <v>4119.1000000000004</v>
      </c>
      <c r="G365" s="117">
        <v>243</v>
      </c>
    </row>
    <row r="366" spans="2:7" x14ac:dyDescent="0.15">
      <c r="B366" s="19" t="str">
        <f t="shared" si="5"/>
        <v>10_女_12</v>
      </c>
      <c r="C366" s="18">
        <v>10</v>
      </c>
      <c r="D366" s="18" t="s">
        <v>2</v>
      </c>
      <c r="E366" s="18">
        <v>12</v>
      </c>
      <c r="F366" s="116">
        <v>4123.3999999999996</v>
      </c>
      <c r="G366" s="117">
        <v>243</v>
      </c>
    </row>
    <row r="367" spans="2:7" x14ac:dyDescent="0.15">
      <c r="B367" s="19" t="str">
        <f t="shared" si="5"/>
        <v>10_女_13</v>
      </c>
      <c r="C367" s="18">
        <v>10</v>
      </c>
      <c r="D367" s="18" t="s">
        <v>2</v>
      </c>
      <c r="E367" s="18">
        <v>13</v>
      </c>
      <c r="F367" s="116">
        <v>4127.8999999999996</v>
      </c>
      <c r="G367" s="117">
        <v>243</v>
      </c>
    </row>
    <row r="368" spans="2:7" x14ac:dyDescent="0.15">
      <c r="B368" s="19" t="str">
        <f t="shared" si="5"/>
        <v>10_女_14</v>
      </c>
      <c r="C368" s="18">
        <v>10</v>
      </c>
      <c r="D368" s="18" t="s">
        <v>2</v>
      </c>
      <c r="E368" s="18">
        <v>14</v>
      </c>
      <c r="F368" s="116">
        <v>4132.5</v>
      </c>
      <c r="G368" s="117">
        <v>242</v>
      </c>
    </row>
    <row r="369" spans="2:7" x14ac:dyDescent="0.15">
      <c r="B369" s="19" t="str">
        <f t="shared" si="5"/>
        <v>10_女_15</v>
      </c>
      <c r="C369" s="18">
        <v>10</v>
      </c>
      <c r="D369" s="18" t="s">
        <v>2</v>
      </c>
      <c r="E369" s="18">
        <v>15</v>
      </c>
      <c r="F369" s="116">
        <v>4137.3</v>
      </c>
      <c r="G369" s="117">
        <v>242</v>
      </c>
    </row>
    <row r="370" spans="2:7" x14ac:dyDescent="0.15">
      <c r="B370" s="19" t="str">
        <f t="shared" si="5"/>
        <v>10_女_16</v>
      </c>
      <c r="C370" s="18">
        <v>10</v>
      </c>
      <c r="D370" s="18" t="s">
        <v>2</v>
      </c>
      <c r="E370" s="18">
        <v>16</v>
      </c>
      <c r="F370" s="116">
        <v>4142.2</v>
      </c>
      <c r="G370" s="117">
        <v>242</v>
      </c>
    </row>
    <row r="371" spans="2:7" x14ac:dyDescent="0.15">
      <c r="B371" s="19" t="str">
        <f t="shared" si="5"/>
        <v>10_女_17</v>
      </c>
      <c r="C371" s="18">
        <v>10</v>
      </c>
      <c r="D371" s="18" t="s">
        <v>2</v>
      </c>
      <c r="E371" s="18">
        <v>17</v>
      </c>
      <c r="F371" s="116">
        <v>4147.2</v>
      </c>
      <c r="G371" s="117">
        <v>242</v>
      </c>
    </row>
    <row r="372" spans="2:7" x14ac:dyDescent="0.15">
      <c r="B372" s="19" t="str">
        <f t="shared" si="5"/>
        <v>10_女_18</v>
      </c>
      <c r="C372" s="18">
        <v>10</v>
      </c>
      <c r="D372" s="18" t="s">
        <v>2</v>
      </c>
      <c r="E372" s="18">
        <v>18</v>
      </c>
      <c r="F372" s="116">
        <v>4152.3999999999996</v>
      </c>
      <c r="G372" s="117">
        <v>241</v>
      </c>
    </row>
    <row r="373" spans="2:7" x14ac:dyDescent="0.15">
      <c r="B373" s="19" t="str">
        <f t="shared" si="5"/>
        <v>10_女_19</v>
      </c>
      <c r="C373" s="18">
        <v>10</v>
      </c>
      <c r="D373" s="18" t="s">
        <v>2</v>
      </c>
      <c r="E373" s="18">
        <v>19</v>
      </c>
      <c r="F373" s="116">
        <v>4157.8</v>
      </c>
      <c r="G373" s="117">
        <v>241</v>
      </c>
    </row>
    <row r="374" spans="2:7" x14ac:dyDescent="0.15">
      <c r="B374" s="19" t="str">
        <f t="shared" si="5"/>
        <v>10_女_20</v>
      </c>
      <c r="C374" s="18">
        <v>10</v>
      </c>
      <c r="D374" s="18" t="s">
        <v>2</v>
      </c>
      <c r="E374" s="18">
        <v>20</v>
      </c>
      <c r="F374" s="116">
        <v>4163.3</v>
      </c>
      <c r="G374" s="117">
        <v>241</v>
      </c>
    </row>
    <row r="375" spans="2:7" x14ac:dyDescent="0.15">
      <c r="B375" s="19" t="str">
        <f t="shared" si="5"/>
        <v>10_女_21</v>
      </c>
      <c r="C375" s="18">
        <v>10</v>
      </c>
      <c r="D375" s="18" t="s">
        <v>2</v>
      </c>
      <c r="E375" s="18">
        <v>21</v>
      </c>
      <c r="F375" s="116">
        <v>4169</v>
      </c>
      <c r="G375" s="117">
        <v>240</v>
      </c>
    </row>
    <row r="376" spans="2:7" x14ac:dyDescent="0.15">
      <c r="B376" s="19" t="str">
        <f t="shared" si="5"/>
        <v>10_女_22</v>
      </c>
      <c r="C376" s="18">
        <v>10</v>
      </c>
      <c r="D376" s="18" t="s">
        <v>2</v>
      </c>
      <c r="E376" s="18">
        <v>22</v>
      </c>
      <c r="F376" s="116">
        <v>4174.8</v>
      </c>
      <c r="G376" s="117">
        <v>240</v>
      </c>
    </row>
    <row r="377" spans="2:7" x14ac:dyDescent="0.15">
      <c r="B377" s="19" t="str">
        <f t="shared" si="5"/>
        <v>10_女_23</v>
      </c>
      <c r="C377" s="18">
        <v>10</v>
      </c>
      <c r="D377" s="18" t="s">
        <v>2</v>
      </c>
      <c r="E377" s="18">
        <v>23</v>
      </c>
      <c r="F377" s="116">
        <v>4180.8</v>
      </c>
      <c r="G377" s="117">
        <v>240</v>
      </c>
    </row>
    <row r="378" spans="2:7" x14ac:dyDescent="0.15">
      <c r="B378" s="19" t="str">
        <f t="shared" si="5"/>
        <v>10_女_24</v>
      </c>
      <c r="C378" s="18">
        <v>10</v>
      </c>
      <c r="D378" s="18" t="s">
        <v>2</v>
      </c>
      <c r="E378" s="18">
        <v>24</v>
      </c>
      <c r="F378" s="116">
        <v>4187</v>
      </c>
      <c r="G378" s="117">
        <v>239</v>
      </c>
    </row>
    <row r="379" spans="2:7" x14ac:dyDescent="0.15">
      <c r="B379" s="19" t="str">
        <f t="shared" si="5"/>
        <v>10_女_25</v>
      </c>
      <c r="C379" s="18">
        <v>10</v>
      </c>
      <c r="D379" s="18" t="s">
        <v>2</v>
      </c>
      <c r="E379" s="18">
        <v>25</v>
      </c>
      <c r="F379" s="116">
        <v>4193.3999999999996</v>
      </c>
      <c r="G379" s="117">
        <v>239</v>
      </c>
    </row>
    <row r="380" spans="2:7" x14ac:dyDescent="0.15">
      <c r="B380" s="19" t="str">
        <f t="shared" si="5"/>
        <v>10_女_26</v>
      </c>
      <c r="C380" s="18">
        <v>10</v>
      </c>
      <c r="D380" s="18" t="s">
        <v>2</v>
      </c>
      <c r="E380" s="18">
        <v>26</v>
      </c>
      <c r="F380" s="116">
        <v>4200</v>
      </c>
      <c r="G380" s="117">
        <v>239</v>
      </c>
    </row>
    <row r="381" spans="2:7" x14ac:dyDescent="0.15">
      <c r="B381" s="19" t="str">
        <f t="shared" si="5"/>
        <v>10_女_27</v>
      </c>
      <c r="C381" s="18">
        <v>10</v>
      </c>
      <c r="D381" s="18" t="s">
        <v>2</v>
      </c>
      <c r="E381" s="18">
        <v>27</v>
      </c>
      <c r="F381" s="116">
        <v>4206.8</v>
      </c>
      <c r="G381" s="117">
        <v>238</v>
      </c>
    </row>
    <row r="382" spans="2:7" x14ac:dyDescent="0.15">
      <c r="B382" s="19" t="str">
        <f t="shared" si="5"/>
        <v>10_女_28</v>
      </c>
      <c r="C382" s="18">
        <v>10</v>
      </c>
      <c r="D382" s="18" t="s">
        <v>2</v>
      </c>
      <c r="E382" s="18">
        <v>28</v>
      </c>
      <c r="F382" s="116">
        <v>4213.7</v>
      </c>
      <c r="G382" s="117">
        <v>238</v>
      </c>
    </row>
    <row r="383" spans="2:7" x14ac:dyDescent="0.15">
      <c r="B383" s="19" t="str">
        <f t="shared" si="5"/>
        <v>10_女_29</v>
      </c>
      <c r="C383" s="18">
        <v>10</v>
      </c>
      <c r="D383" s="18" t="s">
        <v>2</v>
      </c>
      <c r="E383" s="18">
        <v>29</v>
      </c>
      <c r="F383" s="116">
        <v>4220.8999999999996</v>
      </c>
      <c r="G383" s="117">
        <v>237</v>
      </c>
    </row>
    <row r="384" spans="2:7" x14ac:dyDescent="0.15">
      <c r="B384" s="19" t="str">
        <f t="shared" si="5"/>
        <v>10_女_30</v>
      </c>
      <c r="C384" s="18">
        <v>10</v>
      </c>
      <c r="D384" s="18" t="s">
        <v>2</v>
      </c>
      <c r="E384" s="18">
        <v>30</v>
      </c>
      <c r="F384" s="116">
        <v>4228.3</v>
      </c>
      <c r="G384" s="117">
        <v>237</v>
      </c>
    </row>
    <row r="385" spans="2:7" x14ac:dyDescent="0.15">
      <c r="B385" s="19" t="str">
        <f t="shared" si="5"/>
        <v>10_女_31</v>
      </c>
      <c r="C385" s="18">
        <v>10</v>
      </c>
      <c r="D385" s="18" t="s">
        <v>2</v>
      </c>
      <c r="E385" s="18">
        <v>31</v>
      </c>
      <c r="F385" s="116">
        <v>4235.8999999999996</v>
      </c>
      <c r="G385" s="117">
        <v>237</v>
      </c>
    </row>
    <row r="386" spans="2:7" x14ac:dyDescent="0.15">
      <c r="B386" s="19" t="str">
        <f t="shared" si="5"/>
        <v>10_女_32</v>
      </c>
      <c r="C386" s="18">
        <v>10</v>
      </c>
      <c r="D386" s="18" t="s">
        <v>2</v>
      </c>
      <c r="E386" s="18">
        <v>32</v>
      </c>
      <c r="F386" s="116">
        <v>4243.7</v>
      </c>
      <c r="G386" s="117">
        <v>236</v>
      </c>
    </row>
    <row r="387" spans="2:7" x14ac:dyDescent="0.15">
      <c r="B387" s="19" t="str">
        <f t="shared" ref="B387:B450" si="6">C387&amp;"_"&amp;D387&amp;"_"&amp;E387</f>
        <v>10_女_33</v>
      </c>
      <c r="C387" s="18">
        <v>10</v>
      </c>
      <c r="D387" s="18" t="s">
        <v>2</v>
      </c>
      <c r="E387" s="18">
        <v>33</v>
      </c>
      <c r="F387" s="116">
        <v>4251.8</v>
      </c>
      <c r="G387" s="117">
        <v>236</v>
      </c>
    </row>
    <row r="388" spans="2:7" x14ac:dyDescent="0.15">
      <c r="B388" s="19" t="str">
        <f t="shared" si="6"/>
        <v>10_女_34</v>
      </c>
      <c r="C388" s="18">
        <v>10</v>
      </c>
      <c r="D388" s="18" t="s">
        <v>2</v>
      </c>
      <c r="E388" s="18">
        <v>34</v>
      </c>
      <c r="F388" s="116">
        <v>4260</v>
      </c>
      <c r="G388" s="117">
        <v>235</v>
      </c>
    </row>
    <row r="389" spans="2:7" x14ac:dyDescent="0.15">
      <c r="B389" s="19" t="str">
        <f t="shared" si="6"/>
        <v>10_女_35</v>
      </c>
      <c r="C389" s="18">
        <v>10</v>
      </c>
      <c r="D389" s="18" t="s">
        <v>2</v>
      </c>
      <c r="E389" s="18">
        <v>35</v>
      </c>
      <c r="F389" s="116">
        <v>4268.5</v>
      </c>
      <c r="G389" s="117">
        <v>235</v>
      </c>
    </row>
    <row r="390" spans="2:7" x14ac:dyDescent="0.15">
      <c r="B390" s="19" t="str">
        <f t="shared" si="6"/>
        <v>10_女_36</v>
      </c>
      <c r="C390" s="18">
        <v>10</v>
      </c>
      <c r="D390" s="18" t="s">
        <v>2</v>
      </c>
      <c r="E390" s="18">
        <v>36</v>
      </c>
      <c r="F390" s="116">
        <v>4277.3</v>
      </c>
      <c r="G390" s="117">
        <v>234</v>
      </c>
    </row>
    <row r="391" spans="2:7" x14ac:dyDescent="0.15">
      <c r="B391" s="19" t="str">
        <f t="shared" si="6"/>
        <v>10_女_37</v>
      </c>
      <c r="C391" s="18">
        <v>10</v>
      </c>
      <c r="D391" s="18" t="s">
        <v>2</v>
      </c>
      <c r="E391" s="18">
        <v>37</v>
      </c>
      <c r="F391" s="116">
        <v>4286.2</v>
      </c>
      <c r="G391" s="117">
        <v>234</v>
      </c>
    </row>
    <row r="392" spans="2:7" x14ac:dyDescent="0.15">
      <c r="B392" s="19" t="str">
        <f t="shared" si="6"/>
        <v>10_女_38</v>
      </c>
      <c r="C392" s="18">
        <v>10</v>
      </c>
      <c r="D392" s="18" t="s">
        <v>2</v>
      </c>
      <c r="E392" s="18">
        <v>38</v>
      </c>
      <c r="F392" s="116">
        <v>4295.5</v>
      </c>
      <c r="G392" s="117">
        <v>233</v>
      </c>
    </row>
    <row r="393" spans="2:7" x14ac:dyDescent="0.15">
      <c r="B393" s="19" t="str">
        <f t="shared" si="6"/>
        <v>10_女_39</v>
      </c>
      <c r="C393" s="18">
        <v>10</v>
      </c>
      <c r="D393" s="18" t="s">
        <v>2</v>
      </c>
      <c r="E393" s="18">
        <v>39</v>
      </c>
      <c r="F393" s="116">
        <v>4304.8999999999996</v>
      </c>
      <c r="G393" s="117">
        <v>233</v>
      </c>
    </row>
    <row r="394" spans="2:7" x14ac:dyDescent="0.15">
      <c r="B394" s="19" t="str">
        <f t="shared" si="6"/>
        <v>10_女_40</v>
      </c>
      <c r="C394" s="18">
        <v>10</v>
      </c>
      <c r="D394" s="18" t="s">
        <v>2</v>
      </c>
      <c r="E394" s="18">
        <v>40</v>
      </c>
      <c r="F394" s="116">
        <v>4314.6000000000004</v>
      </c>
      <c r="G394" s="117">
        <v>232</v>
      </c>
    </row>
    <row r="395" spans="2:7" x14ac:dyDescent="0.15">
      <c r="B395" s="19" t="str">
        <f t="shared" si="6"/>
        <v>10_女_41</v>
      </c>
      <c r="C395" s="18">
        <v>10</v>
      </c>
      <c r="D395" s="18" t="s">
        <v>2</v>
      </c>
      <c r="E395" s="18">
        <v>41</v>
      </c>
      <c r="F395" s="116">
        <v>4324.6000000000004</v>
      </c>
      <c r="G395" s="117">
        <v>232</v>
      </c>
    </row>
    <row r="396" spans="2:7" x14ac:dyDescent="0.15">
      <c r="B396" s="19" t="str">
        <f t="shared" si="6"/>
        <v>10_女_42</v>
      </c>
      <c r="C396" s="18">
        <v>10</v>
      </c>
      <c r="D396" s="18" t="s">
        <v>2</v>
      </c>
      <c r="E396" s="18">
        <v>42</v>
      </c>
      <c r="F396" s="116">
        <v>4334.8</v>
      </c>
      <c r="G396" s="117">
        <v>231</v>
      </c>
    </row>
    <row r="397" spans="2:7" x14ac:dyDescent="0.15">
      <c r="B397" s="19" t="str">
        <f t="shared" si="6"/>
        <v>10_女_43</v>
      </c>
      <c r="C397" s="18">
        <v>10</v>
      </c>
      <c r="D397" s="18" t="s">
        <v>2</v>
      </c>
      <c r="E397" s="18">
        <v>43</v>
      </c>
      <c r="F397" s="116">
        <v>4345.2</v>
      </c>
      <c r="G397" s="117">
        <v>231</v>
      </c>
    </row>
    <row r="398" spans="2:7" x14ac:dyDescent="0.15">
      <c r="B398" s="19" t="str">
        <f t="shared" si="6"/>
        <v>10_女_44</v>
      </c>
      <c r="C398" s="18">
        <v>10</v>
      </c>
      <c r="D398" s="18" t="s">
        <v>2</v>
      </c>
      <c r="E398" s="18">
        <v>44</v>
      </c>
      <c r="F398" s="116">
        <v>4355.8999999999996</v>
      </c>
      <c r="G398" s="117">
        <v>230</v>
      </c>
    </row>
    <row r="399" spans="2:7" x14ac:dyDescent="0.15">
      <c r="B399" s="19" t="str">
        <f t="shared" si="6"/>
        <v>10_女_45</v>
      </c>
      <c r="C399" s="18">
        <v>10</v>
      </c>
      <c r="D399" s="18" t="s">
        <v>2</v>
      </c>
      <c r="E399" s="18">
        <v>45</v>
      </c>
      <c r="F399" s="116">
        <v>4366.8999999999996</v>
      </c>
      <c r="G399" s="117">
        <v>229</v>
      </c>
    </row>
    <row r="400" spans="2:7" x14ac:dyDescent="0.15">
      <c r="B400" s="19" t="str">
        <f t="shared" si="6"/>
        <v>__</v>
      </c>
      <c r="C400" s="18"/>
      <c r="D400" s="18"/>
      <c r="E400" s="18"/>
      <c r="F400" s="20"/>
      <c r="G400" s="21"/>
    </row>
    <row r="401" spans="2:7" x14ac:dyDescent="0.15">
      <c r="B401" s="19" t="str">
        <f t="shared" si="6"/>
        <v>__</v>
      </c>
      <c r="C401" s="18"/>
      <c r="D401" s="18"/>
      <c r="E401" s="18"/>
      <c r="F401" s="20"/>
      <c r="G401" s="21"/>
    </row>
    <row r="402" spans="2:7" x14ac:dyDescent="0.15">
      <c r="B402" s="19" t="str">
        <f t="shared" si="6"/>
        <v>__</v>
      </c>
      <c r="C402" s="18"/>
      <c r="D402" s="18"/>
      <c r="E402" s="18"/>
      <c r="F402" s="20"/>
      <c r="G402" s="21"/>
    </row>
    <row r="403" spans="2:7" x14ac:dyDescent="0.15">
      <c r="B403" s="19" t="str">
        <f t="shared" si="6"/>
        <v>__</v>
      </c>
      <c r="C403" s="18"/>
      <c r="D403" s="18"/>
      <c r="E403" s="18"/>
      <c r="F403" s="20"/>
      <c r="G403" s="21"/>
    </row>
    <row r="404" spans="2:7" x14ac:dyDescent="0.15">
      <c r="B404" s="19" t="str">
        <f t="shared" si="6"/>
        <v>__</v>
      </c>
      <c r="C404" s="18"/>
      <c r="D404" s="18"/>
      <c r="E404" s="18"/>
      <c r="F404" s="20"/>
      <c r="G404" s="21"/>
    </row>
    <row r="405" spans="2:7" x14ac:dyDescent="0.15">
      <c r="B405" s="19" t="str">
        <f t="shared" si="6"/>
        <v>__</v>
      </c>
      <c r="C405" s="18"/>
      <c r="D405" s="18"/>
      <c r="E405" s="18"/>
      <c r="F405" s="20"/>
      <c r="G405" s="21"/>
    </row>
    <row r="406" spans="2:7" x14ac:dyDescent="0.15">
      <c r="B406" s="19" t="str">
        <f t="shared" si="6"/>
        <v>__</v>
      </c>
      <c r="C406" s="18"/>
      <c r="D406" s="18"/>
      <c r="E406" s="18"/>
      <c r="F406" s="20"/>
      <c r="G406" s="21"/>
    </row>
    <row r="407" spans="2:7" x14ac:dyDescent="0.15">
      <c r="B407" s="19" t="str">
        <f t="shared" si="6"/>
        <v>__</v>
      </c>
      <c r="C407" s="18"/>
      <c r="D407" s="18"/>
      <c r="E407" s="18"/>
      <c r="F407" s="20"/>
      <c r="G407" s="21"/>
    </row>
    <row r="408" spans="2:7" x14ac:dyDescent="0.15">
      <c r="B408" s="19" t="str">
        <f t="shared" si="6"/>
        <v>__</v>
      </c>
      <c r="C408" s="18"/>
      <c r="D408" s="18"/>
      <c r="E408" s="18"/>
      <c r="F408" s="20"/>
      <c r="G408" s="21"/>
    </row>
    <row r="409" spans="2:7" x14ac:dyDescent="0.15">
      <c r="B409" s="19" t="str">
        <f t="shared" si="6"/>
        <v>__</v>
      </c>
      <c r="C409" s="18"/>
      <c r="D409" s="18"/>
      <c r="E409" s="18"/>
      <c r="F409" s="20"/>
      <c r="G409" s="21"/>
    </row>
    <row r="410" spans="2:7" x14ac:dyDescent="0.15">
      <c r="B410" s="19" t="str">
        <f t="shared" si="6"/>
        <v>__</v>
      </c>
      <c r="C410" s="18"/>
      <c r="D410" s="18"/>
      <c r="E410" s="18"/>
      <c r="F410" s="20"/>
      <c r="G410" s="21"/>
    </row>
    <row r="411" spans="2:7" x14ac:dyDescent="0.15">
      <c r="B411" s="19" t="str">
        <f t="shared" si="6"/>
        <v>__</v>
      </c>
      <c r="C411" s="18"/>
      <c r="D411" s="18"/>
      <c r="E411" s="18"/>
      <c r="F411" s="20"/>
      <c r="G411" s="21"/>
    </row>
    <row r="412" spans="2:7" x14ac:dyDescent="0.15">
      <c r="B412" s="19" t="str">
        <f t="shared" si="6"/>
        <v>__</v>
      </c>
      <c r="C412" s="18"/>
      <c r="D412" s="18"/>
      <c r="E412" s="18"/>
      <c r="F412" s="20"/>
      <c r="G412" s="21"/>
    </row>
    <row r="413" spans="2:7" x14ac:dyDescent="0.15">
      <c r="B413" s="19" t="str">
        <f t="shared" si="6"/>
        <v>__</v>
      </c>
      <c r="C413" s="18"/>
      <c r="D413" s="18"/>
      <c r="E413" s="18"/>
      <c r="F413" s="20"/>
      <c r="G413" s="21"/>
    </row>
    <row r="414" spans="2:7" x14ac:dyDescent="0.15">
      <c r="B414" s="19" t="str">
        <f t="shared" si="6"/>
        <v>__</v>
      </c>
      <c r="C414" s="18"/>
      <c r="D414" s="18"/>
      <c r="E414" s="18"/>
      <c r="F414" s="20"/>
      <c r="G414" s="21"/>
    </row>
    <row r="415" spans="2:7" x14ac:dyDescent="0.15">
      <c r="B415" s="19" t="str">
        <f t="shared" si="6"/>
        <v>__</v>
      </c>
      <c r="C415" s="18"/>
      <c r="D415" s="18"/>
      <c r="E415" s="18"/>
      <c r="F415" s="20"/>
      <c r="G415" s="21"/>
    </row>
    <row r="416" spans="2:7" x14ac:dyDescent="0.15">
      <c r="B416" s="19" t="str">
        <f t="shared" si="6"/>
        <v>__</v>
      </c>
      <c r="C416" s="18"/>
      <c r="D416" s="18"/>
      <c r="E416" s="18"/>
      <c r="F416" s="20"/>
      <c r="G416" s="21"/>
    </row>
    <row r="417" spans="2:7" x14ac:dyDescent="0.15">
      <c r="B417" s="19" t="str">
        <f t="shared" si="6"/>
        <v>__</v>
      </c>
      <c r="C417" s="18"/>
      <c r="D417" s="18"/>
      <c r="E417" s="18"/>
      <c r="F417" s="20"/>
      <c r="G417" s="21"/>
    </row>
    <row r="418" spans="2:7" x14ac:dyDescent="0.15">
      <c r="B418" s="19" t="str">
        <f t="shared" si="6"/>
        <v>__</v>
      </c>
      <c r="C418" s="18"/>
      <c r="D418" s="18"/>
      <c r="E418" s="18"/>
      <c r="F418" s="20"/>
      <c r="G418" s="21"/>
    </row>
    <row r="419" spans="2:7" x14ac:dyDescent="0.15">
      <c r="B419" s="19" t="str">
        <f t="shared" si="6"/>
        <v>__</v>
      </c>
      <c r="C419" s="18"/>
      <c r="D419" s="18"/>
      <c r="E419" s="18"/>
      <c r="F419" s="20"/>
      <c r="G419" s="21"/>
    </row>
    <row r="420" spans="2:7" x14ac:dyDescent="0.15">
      <c r="B420" s="19" t="str">
        <f t="shared" si="6"/>
        <v>__</v>
      </c>
      <c r="C420" s="18"/>
      <c r="D420" s="18"/>
      <c r="E420" s="18"/>
      <c r="F420" s="20"/>
      <c r="G420" s="21"/>
    </row>
    <row r="421" spans="2:7" x14ac:dyDescent="0.15">
      <c r="B421" s="19" t="str">
        <f t="shared" si="6"/>
        <v>__</v>
      </c>
      <c r="C421" s="18"/>
      <c r="D421" s="18"/>
      <c r="E421" s="18"/>
      <c r="F421" s="20"/>
      <c r="G421" s="21"/>
    </row>
    <row r="422" spans="2:7" x14ac:dyDescent="0.15">
      <c r="B422" s="19" t="str">
        <f t="shared" si="6"/>
        <v>__</v>
      </c>
      <c r="C422" s="18"/>
      <c r="D422" s="18"/>
      <c r="E422" s="18"/>
      <c r="F422" s="20"/>
      <c r="G422" s="21"/>
    </row>
    <row r="423" spans="2:7" x14ac:dyDescent="0.15">
      <c r="B423" s="19" t="str">
        <f t="shared" si="6"/>
        <v>__</v>
      </c>
      <c r="C423" s="18"/>
      <c r="D423" s="18"/>
      <c r="E423" s="18"/>
      <c r="F423" s="20"/>
      <c r="G423" s="21"/>
    </row>
    <row r="424" spans="2:7" x14ac:dyDescent="0.15">
      <c r="B424" s="19" t="str">
        <f t="shared" si="6"/>
        <v>__</v>
      </c>
      <c r="C424" s="18"/>
      <c r="D424" s="18"/>
      <c r="E424" s="18"/>
      <c r="F424" s="20"/>
      <c r="G424" s="21"/>
    </row>
    <row r="425" spans="2:7" x14ac:dyDescent="0.15">
      <c r="B425" s="19" t="str">
        <f t="shared" si="6"/>
        <v>__</v>
      </c>
      <c r="C425" s="18"/>
      <c r="D425" s="18"/>
      <c r="E425" s="18"/>
      <c r="F425" s="20"/>
      <c r="G425" s="21"/>
    </row>
    <row r="426" spans="2:7" x14ac:dyDescent="0.15">
      <c r="B426" s="19" t="str">
        <f t="shared" si="6"/>
        <v>__</v>
      </c>
      <c r="C426" s="18"/>
      <c r="D426" s="18"/>
      <c r="E426" s="18"/>
      <c r="F426" s="20"/>
      <c r="G426" s="21"/>
    </row>
    <row r="427" spans="2:7" x14ac:dyDescent="0.15">
      <c r="B427" s="19" t="str">
        <f t="shared" si="6"/>
        <v>__</v>
      </c>
      <c r="C427" s="18"/>
      <c r="D427" s="18"/>
      <c r="E427" s="18"/>
      <c r="F427" s="20"/>
      <c r="G427" s="21"/>
    </row>
    <row r="428" spans="2:7" x14ac:dyDescent="0.15">
      <c r="B428" s="19" t="str">
        <f t="shared" si="6"/>
        <v>__</v>
      </c>
      <c r="C428" s="18"/>
      <c r="D428" s="18"/>
      <c r="E428" s="18"/>
      <c r="F428" s="20"/>
      <c r="G428" s="21"/>
    </row>
    <row r="429" spans="2:7" x14ac:dyDescent="0.15">
      <c r="B429" s="19" t="str">
        <f t="shared" si="6"/>
        <v>__</v>
      </c>
      <c r="C429" s="18"/>
      <c r="D429" s="18"/>
      <c r="E429" s="18"/>
      <c r="F429" s="20"/>
      <c r="G429" s="21"/>
    </row>
    <row r="430" spans="2:7" x14ac:dyDescent="0.15">
      <c r="B430" s="19" t="str">
        <f t="shared" si="6"/>
        <v>__</v>
      </c>
      <c r="C430" s="18"/>
      <c r="D430" s="18"/>
      <c r="E430" s="18"/>
      <c r="F430" s="20"/>
      <c r="G430" s="21"/>
    </row>
    <row r="431" spans="2:7" x14ac:dyDescent="0.15">
      <c r="B431" s="19" t="str">
        <f t="shared" si="6"/>
        <v>__</v>
      </c>
      <c r="C431" s="18"/>
      <c r="D431" s="18"/>
      <c r="E431" s="18"/>
      <c r="F431" s="20"/>
      <c r="G431" s="21"/>
    </row>
    <row r="432" spans="2:7" x14ac:dyDescent="0.15">
      <c r="B432" s="19" t="str">
        <f t="shared" si="6"/>
        <v>__</v>
      </c>
      <c r="C432" s="18"/>
      <c r="D432" s="18"/>
      <c r="E432" s="18"/>
      <c r="F432" s="20"/>
      <c r="G432" s="21"/>
    </row>
    <row r="433" spans="2:7" x14ac:dyDescent="0.15">
      <c r="B433" s="19" t="str">
        <f t="shared" si="6"/>
        <v>__</v>
      </c>
      <c r="C433" s="18"/>
      <c r="D433" s="18"/>
      <c r="E433" s="18"/>
      <c r="F433" s="20"/>
      <c r="G433" s="21"/>
    </row>
    <row r="434" spans="2:7" x14ac:dyDescent="0.15">
      <c r="B434" s="19" t="str">
        <f t="shared" si="6"/>
        <v>__</v>
      </c>
      <c r="C434" s="18"/>
      <c r="D434" s="18"/>
      <c r="E434" s="18"/>
      <c r="F434" s="20"/>
      <c r="G434" s="21"/>
    </row>
    <row r="435" spans="2:7" x14ac:dyDescent="0.15">
      <c r="B435" s="19" t="str">
        <f t="shared" si="6"/>
        <v>__</v>
      </c>
      <c r="C435" s="18"/>
      <c r="D435" s="18"/>
      <c r="E435" s="18"/>
      <c r="F435" s="20"/>
      <c r="G435" s="21"/>
    </row>
    <row r="436" spans="2:7" x14ac:dyDescent="0.15">
      <c r="B436" s="19" t="str">
        <f t="shared" si="6"/>
        <v>__</v>
      </c>
      <c r="C436" s="18"/>
      <c r="D436" s="18"/>
      <c r="E436" s="18"/>
      <c r="F436" s="20"/>
      <c r="G436" s="21"/>
    </row>
    <row r="437" spans="2:7" x14ac:dyDescent="0.15">
      <c r="B437" s="19" t="str">
        <f t="shared" si="6"/>
        <v>__</v>
      </c>
      <c r="C437" s="18"/>
      <c r="D437" s="18"/>
      <c r="E437" s="18"/>
      <c r="F437" s="20"/>
      <c r="G437" s="21"/>
    </row>
    <row r="438" spans="2:7" x14ac:dyDescent="0.15">
      <c r="B438" s="19" t="str">
        <f t="shared" si="6"/>
        <v>__</v>
      </c>
      <c r="C438" s="18"/>
      <c r="D438" s="18"/>
      <c r="E438" s="18"/>
      <c r="F438" s="20"/>
      <c r="G438" s="21"/>
    </row>
    <row r="439" spans="2:7" x14ac:dyDescent="0.15">
      <c r="B439" s="19" t="str">
        <f t="shared" si="6"/>
        <v>__</v>
      </c>
      <c r="C439" s="18"/>
      <c r="D439" s="18"/>
      <c r="E439" s="18"/>
      <c r="F439" s="20"/>
      <c r="G439" s="21"/>
    </row>
    <row r="440" spans="2:7" x14ac:dyDescent="0.15">
      <c r="B440" s="19" t="str">
        <f t="shared" si="6"/>
        <v>__</v>
      </c>
      <c r="C440" s="18"/>
      <c r="D440" s="18"/>
      <c r="E440" s="18"/>
      <c r="F440" s="20"/>
      <c r="G440" s="21"/>
    </row>
    <row r="441" spans="2:7" x14ac:dyDescent="0.15">
      <c r="B441" s="19" t="str">
        <f t="shared" si="6"/>
        <v>__</v>
      </c>
      <c r="C441" s="18"/>
      <c r="D441" s="18"/>
      <c r="E441" s="18"/>
      <c r="F441" s="20"/>
      <c r="G441" s="21"/>
    </row>
    <row r="442" spans="2:7" x14ac:dyDescent="0.15">
      <c r="B442" s="19" t="str">
        <f t="shared" si="6"/>
        <v>__</v>
      </c>
      <c r="C442" s="18"/>
      <c r="D442" s="18"/>
      <c r="E442" s="18"/>
      <c r="F442" s="20"/>
      <c r="G442" s="21"/>
    </row>
    <row r="443" spans="2:7" x14ac:dyDescent="0.15">
      <c r="B443" s="19" t="str">
        <f t="shared" si="6"/>
        <v>__</v>
      </c>
      <c r="C443" s="18"/>
      <c r="D443" s="18"/>
      <c r="E443" s="18"/>
      <c r="F443" s="20"/>
      <c r="G443" s="21"/>
    </row>
    <row r="444" spans="2:7" x14ac:dyDescent="0.15">
      <c r="B444" s="19" t="str">
        <f t="shared" si="6"/>
        <v>__</v>
      </c>
      <c r="C444" s="18"/>
      <c r="D444" s="18"/>
      <c r="E444" s="18"/>
      <c r="F444" s="20"/>
      <c r="G444" s="21"/>
    </row>
    <row r="445" spans="2:7" x14ac:dyDescent="0.15">
      <c r="B445" s="19" t="str">
        <f t="shared" si="6"/>
        <v>__</v>
      </c>
      <c r="C445" s="18"/>
      <c r="D445" s="18"/>
      <c r="E445" s="18"/>
      <c r="F445" s="20"/>
      <c r="G445" s="21"/>
    </row>
    <row r="446" spans="2:7" x14ac:dyDescent="0.15">
      <c r="B446" s="19" t="str">
        <f t="shared" si="6"/>
        <v>__</v>
      </c>
      <c r="C446" s="18"/>
      <c r="D446" s="18"/>
      <c r="E446" s="18"/>
      <c r="F446" s="20"/>
      <c r="G446" s="21"/>
    </row>
    <row r="447" spans="2:7" x14ac:dyDescent="0.15">
      <c r="B447" s="19" t="str">
        <f t="shared" si="6"/>
        <v>__</v>
      </c>
      <c r="C447" s="18"/>
      <c r="D447" s="18"/>
      <c r="E447" s="18"/>
      <c r="F447" s="20"/>
      <c r="G447" s="21"/>
    </row>
    <row r="448" spans="2:7" x14ac:dyDescent="0.15">
      <c r="B448" s="19" t="str">
        <f t="shared" si="6"/>
        <v>__</v>
      </c>
      <c r="C448" s="18"/>
      <c r="D448" s="18"/>
      <c r="E448" s="18"/>
      <c r="F448" s="20"/>
      <c r="G448" s="21"/>
    </row>
    <row r="449" spans="2:7" x14ac:dyDescent="0.15">
      <c r="B449" s="19" t="str">
        <f t="shared" si="6"/>
        <v>__</v>
      </c>
      <c r="C449" s="18"/>
      <c r="D449" s="18"/>
      <c r="E449" s="18"/>
      <c r="F449" s="20"/>
      <c r="G449" s="21"/>
    </row>
    <row r="450" spans="2:7" x14ac:dyDescent="0.15">
      <c r="B450" s="19" t="str">
        <f t="shared" si="6"/>
        <v>__</v>
      </c>
      <c r="C450" s="18"/>
      <c r="D450" s="18"/>
      <c r="E450" s="18"/>
      <c r="F450" s="20"/>
      <c r="G450" s="21"/>
    </row>
    <row r="451" spans="2:7" x14ac:dyDescent="0.15">
      <c r="B451" s="19" t="str">
        <f t="shared" ref="B451:B514" si="7">C451&amp;"_"&amp;D451&amp;"_"&amp;E451</f>
        <v>__</v>
      </c>
      <c r="C451" s="18"/>
      <c r="D451" s="18"/>
      <c r="E451" s="18"/>
      <c r="F451" s="20"/>
      <c r="G451" s="21"/>
    </row>
    <row r="452" spans="2:7" x14ac:dyDescent="0.15">
      <c r="B452" s="19" t="str">
        <f t="shared" si="7"/>
        <v>__</v>
      </c>
      <c r="C452" s="18"/>
      <c r="D452" s="18"/>
      <c r="E452" s="18"/>
      <c r="F452" s="20"/>
      <c r="G452" s="21"/>
    </row>
    <row r="453" spans="2:7" x14ac:dyDescent="0.15">
      <c r="B453" s="19" t="str">
        <f t="shared" si="7"/>
        <v>__</v>
      </c>
      <c r="C453" s="18"/>
      <c r="D453" s="18"/>
      <c r="E453" s="18"/>
      <c r="F453" s="20"/>
      <c r="G453" s="21"/>
    </row>
    <row r="454" spans="2:7" x14ac:dyDescent="0.15">
      <c r="B454" s="19" t="str">
        <f t="shared" si="7"/>
        <v>__</v>
      </c>
      <c r="C454" s="18"/>
      <c r="D454" s="18"/>
      <c r="E454" s="18"/>
      <c r="F454" s="20"/>
      <c r="G454" s="21"/>
    </row>
    <row r="455" spans="2:7" x14ac:dyDescent="0.15">
      <c r="B455" s="19" t="str">
        <f t="shared" si="7"/>
        <v>__</v>
      </c>
      <c r="C455" s="18"/>
      <c r="D455" s="18"/>
      <c r="E455" s="18"/>
      <c r="F455" s="20"/>
      <c r="G455" s="21"/>
    </row>
    <row r="456" spans="2:7" x14ac:dyDescent="0.15">
      <c r="B456" s="19" t="str">
        <f t="shared" si="7"/>
        <v>__</v>
      </c>
      <c r="C456" s="18"/>
      <c r="D456" s="18"/>
      <c r="E456" s="18"/>
      <c r="F456" s="20"/>
      <c r="G456" s="21"/>
    </row>
    <row r="457" spans="2:7" x14ac:dyDescent="0.15">
      <c r="B457" s="19" t="str">
        <f t="shared" si="7"/>
        <v>__</v>
      </c>
      <c r="C457" s="18"/>
      <c r="D457" s="18"/>
      <c r="E457" s="18"/>
      <c r="F457" s="20"/>
      <c r="G457" s="21"/>
    </row>
    <row r="458" spans="2:7" x14ac:dyDescent="0.15">
      <c r="B458" s="19" t="str">
        <f t="shared" si="7"/>
        <v>__</v>
      </c>
      <c r="C458" s="18"/>
      <c r="D458" s="18"/>
      <c r="E458" s="18"/>
      <c r="F458" s="20"/>
      <c r="G458" s="21"/>
    </row>
    <row r="459" spans="2:7" x14ac:dyDescent="0.15">
      <c r="B459" s="19" t="str">
        <f t="shared" si="7"/>
        <v>__</v>
      </c>
      <c r="C459" s="18"/>
      <c r="D459" s="18"/>
      <c r="E459" s="18"/>
      <c r="F459" s="20"/>
      <c r="G459" s="21"/>
    </row>
    <row r="460" spans="2:7" x14ac:dyDescent="0.15">
      <c r="B460" s="19" t="str">
        <f t="shared" si="7"/>
        <v>__</v>
      </c>
      <c r="C460" s="18"/>
      <c r="D460" s="18"/>
      <c r="E460" s="18"/>
      <c r="F460" s="20"/>
      <c r="G460" s="21"/>
    </row>
    <row r="461" spans="2:7" x14ac:dyDescent="0.15">
      <c r="B461" s="19" t="str">
        <f t="shared" si="7"/>
        <v>__</v>
      </c>
      <c r="C461" s="18"/>
      <c r="D461" s="18"/>
      <c r="E461" s="18"/>
      <c r="F461" s="20"/>
      <c r="G461" s="21"/>
    </row>
    <row r="462" spans="2:7" x14ac:dyDescent="0.15">
      <c r="B462" s="19" t="str">
        <f t="shared" si="7"/>
        <v>__</v>
      </c>
      <c r="C462" s="18"/>
      <c r="D462" s="18"/>
      <c r="E462" s="18"/>
      <c r="F462" s="20"/>
      <c r="G462" s="21"/>
    </row>
    <row r="463" spans="2:7" x14ac:dyDescent="0.15">
      <c r="B463" s="19" t="str">
        <f t="shared" si="7"/>
        <v>__</v>
      </c>
      <c r="C463" s="18"/>
      <c r="D463" s="18"/>
      <c r="E463" s="18"/>
      <c r="F463" s="20"/>
      <c r="G463" s="21"/>
    </row>
    <row r="464" spans="2:7" x14ac:dyDescent="0.15">
      <c r="B464" s="19" t="str">
        <f t="shared" si="7"/>
        <v>__</v>
      </c>
      <c r="C464" s="18"/>
      <c r="D464" s="18"/>
      <c r="E464" s="18"/>
      <c r="F464" s="20"/>
      <c r="G464" s="21"/>
    </row>
    <row r="465" spans="2:7" x14ac:dyDescent="0.15">
      <c r="B465" s="19" t="str">
        <f t="shared" si="7"/>
        <v>__</v>
      </c>
      <c r="C465" s="18"/>
      <c r="D465" s="18"/>
      <c r="E465" s="18"/>
      <c r="F465" s="20"/>
      <c r="G465" s="21"/>
    </row>
    <row r="466" spans="2:7" x14ac:dyDescent="0.15">
      <c r="B466" s="19" t="str">
        <f t="shared" si="7"/>
        <v>__</v>
      </c>
      <c r="C466" s="18"/>
      <c r="D466" s="18"/>
      <c r="E466" s="18"/>
      <c r="F466" s="20"/>
      <c r="G466" s="21"/>
    </row>
    <row r="467" spans="2:7" x14ac:dyDescent="0.15">
      <c r="B467" s="19" t="str">
        <f t="shared" si="7"/>
        <v>__</v>
      </c>
      <c r="C467" s="18"/>
      <c r="D467" s="18"/>
      <c r="E467" s="18"/>
      <c r="F467" s="20"/>
      <c r="G467" s="21"/>
    </row>
    <row r="468" spans="2:7" x14ac:dyDescent="0.15">
      <c r="B468" s="19" t="str">
        <f t="shared" si="7"/>
        <v>__</v>
      </c>
      <c r="C468" s="18"/>
      <c r="D468" s="18"/>
      <c r="E468" s="18"/>
      <c r="F468" s="20"/>
      <c r="G468" s="21"/>
    </row>
    <row r="469" spans="2:7" x14ac:dyDescent="0.15">
      <c r="B469" s="19" t="str">
        <f t="shared" si="7"/>
        <v>__</v>
      </c>
      <c r="C469" s="18"/>
      <c r="D469" s="18"/>
      <c r="E469" s="18"/>
      <c r="F469" s="20"/>
      <c r="G469" s="21"/>
    </row>
    <row r="470" spans="2:7" x14ac:dyDescent="0.15">
      <c r="B470" s="19" t="str">
        <f t="shared" si="7"/>
        <v>__</v>
      </c>
      <c r="C470" s="18"/>
      <c r="D470" s="18"/>
      <c r="E470" s="18"/>
      <c r="F470" s="20"/>
      <c r="G470" s="21"/>
    </row>
    <row r="471" spans="2:7" x14ac:dyDescent="0.15">
      <c r="B471" s="19" t="str">
        <f t="shared" si="7"/>
        <v>__</v>
      </c>
      <c r="C471" s="18"/>
      <c r="D471" s="18"/>
      <c r="E471" s="18"/>
      <c r="F471" s="20"/>
      <c r="G471" s="21"/>
    </row>
    <row r="472" spans="2:7" x14ac:dyDescent="0.15">
      <c r="B472" s="19" t="str">
        <f t="shared" si="7"/>
        <v>__</v>
      </c>
      <c r="C472" s="18"/>
      <c r="D472" s="18"/>
      <c r="E472" s="18"/>
      <c r="F472" s="20"/>
      <c r="G472" s="21"/>
    </row>
    <row r="473" spans="2:7" x14ac:dyDescent="0.15">
      <c r="B473" s="19" t="str">
        <f t="shared" si="7"/>
        <v>__</v>
      </c>
      <c r="C473" s="18"/>
      <c r="D473" s="18"/>
      <c r="E473" s="18"/>
      <c r="F473" s="20"/>
      <c r="G473" s="21"/>
    </row>
    <row r="474" spans="2:7" x14ac:dyDescent="0.15">
      <c r="B474" s="19" t="str">
        <f t="shared" si="7"/>
        <v>__</v>
      </c>
      <c r="C474" s="18"/>
      <c r="D474" s="18"/>
      <c r="E474" s="18"/>
      <c r="F474" s="20"/>
      <c r="G474" s="21"/>
    </row>
    <row r="475" spans="2:7" x14ac:dyDescent="0.15">
      <c r="B475" s="19" t="str">
        <f t="shared" si="7"/>
        <v>__</v>
      </c>
      <c r="C475" s="18"/>
      <c r="D475" s="18"/>
      <c r="E475" s="18"/>
      <c r="F475" s="20"/>
      <c r="G475" s="21"/>
    </row>
    <row r="476" spans="2:7" x14ac:dyDescent="0.15">
      <c r="B476" s="19" t="str">
        <f t="shared" si="7"/>
        <v>__</v>
      </c>
      <c r="C476" s="18"/>
      <c r="D476" s="18"/>
      <c r="E476" s="18"/>
      <c r="F476" s="20"/>
      <c r="G476" s="21"/>
    </row>
    <row r="477" spans="2:7" x14ac:dyDescent="0.15">
      <c r="B477" s="19" t="str">
        <f t="shared" si="7"/>
        <v>__</v>
      </c>
      <c r="C477" s="18"/>
      <c r="D477" s="18"/>
      <c r="E477" s="18"/>
      <c r="F477" s="20"/>
      <c r="G477" s="21"/>
    </row>
    <row r="478" spans="2:7" x14ac:dyDescent="0.15">
      <c r="B478" s="19" t="str">
        <f t="shared" si="7"/>
        <v>__</v>
      </c>
      <c r="C478" s="18"/>
      <c r="D478" s="18"/>
      <c r="E478" s="18"/>
      <c r="F478" s="20"/>
      <c r="G478" s="21"/>
    </row>
    <row r="479" spans="2:7" x14ac:dyDescent="0.15">
      <c r="B479" s="19" t="str">
        <f t="shared" si="7"/>
        <v>__</v>
      </c>
      <c r="C479" s="18"/>
      <c r="D479" s="18"/>
      <c r="E479" s="18"/>
      <c r="F479" s="20"/>
      <c r="G479" s="21"/>
    </row>
    <row r="480" spans="2:7" x14ac:dyDescent="0.15">
      <c r="B480" s="19" t="str">
        <f t="shared" si="7"/>
        <v>__</v>
      </c>
      <c r="C480" s="18"/>
      <c r="D480" s="18"/>
      <c r="E480" s="18"/>
      <c r="F480" s="20"/>
      <c r="G480" s="21"/>
    </row>
    <row r="481" spans="2:7" x14ac:dyDescent="0.15">
      <c r="B481" s="19" t="str">
        <f t="shared" si="7"/>
        <v>__</v>
      </c>
      <c r="C481" s="18"/>
      <c r="D481" s="18"/>
      <c r="E481" s="18"/>
      <c r="F481" s="20"/>
      <c r="G481" s="21"/>
    </row>
    <row r="482" spans="2:7" x14ac:dyDescent="0.15">
      <c r="B482" s="19" t="str">
        <f t="shared" si="7"/>
        <v>__</v>
      </c>
      <c r="C482" s="18"/>
      <c r="D482" s="18"/>
      <c r="E482" s="18"/>
      <c r="F482" s="20"/>
      <c r="G482" s="21"/>
    </row>
    <row r="483" spans="2:7" x14ac:dyDescent="0.15">
      <c r="B483" s="19" t="str">
        <f t="shared" si="7"/>
        <v>__</v>
      </c>
      <c r="C483" s="18"/>
      <c r="D483" s="18"/>
      <c r="E483" s="18"/>
      <c r="F483" s="20"/>
      <c r="G483" s="21"/>
    </row>
    <row r="484" spans="2:7" x14ac:dyDescent="0.15">
      <c r="B484" s="19" t="str">
        <f t="shared" si="7"/>
        <v>__</v>
      </c>
      <c r="C484" s="18"/>
      <c r="D484" s="18"/>
      <c r="E484" s="18"/>
      <c r="F484" s="20"/>
      <c r="G484" s="21"/>
    </row>
    <row r="485" spans="2:7" x14ac:dyDescent="0.15">
      <c r="B485" s="19" t="str">
        <f t="shared" si="7"/>
        <v>__</v>
      </c>
      <c r="C485" s="18"/>
      <c r="D485" s="18"/>
      <c r="E485" s="18"/>
      <c r="F485" s="20"/>
      <c r="G485" s="21"/>
    </row>
    <row r="486" spans="2:7" x14ac:dyDescent="0.15">
      <c r="B486" s="19" t="str">
        <f t="shared" si="7"/>
        <v>__</v>
      </c>
      <c r="C486" s="18"/>
      <c r="D486" s="18"/>
      <c r="E486" s="18"/>
      <c r="F486" s="20"/>
      <c r="G486" s="21"/>
    </row>
    <row r="487" spans="2:7" x14ac:dyDescent="0.15">
      <c r="B487" s="19" t="str">
        <f t="shared" si="7"/>
        <v>__</v>
      </c>
      <c r="C487" s="18"/>
      <c r="D487" s="18"/>
      <c r="E487" s="18"/>
      <c r="F487" s="20"/>
      <c r="G487" s="21"/>
    </row>
    <row r="488" spans="2:7" x14ac:dyDescent="0.15">
      <c r="B488" s="19" t="str">
        <f t="shared" si="7"/>
        <v>__</v>
      </c>
      <c r="C488" s="18"/>
      <c r="D488" s="18"/>
      <c r="E488" s="18"/>
      <c r="F488" s="20"/>
      <c r="G488" s="21"/>
    </row>
    <row r="489" spans="2:7" x14ac:dyDescent="0.15">
      <c r="B489" s="19" t="str">
        <f t="shared" si="7"/>
        <v>__</v>
      </c>
      <c r="C489" s="18"/>
      <c r="D489" s="18"/>
      <c r="E489" s="18"/>
      <c r="F489" s="20"/>
      <c r="G489" s="21"/>
    </row>
    <row r="490" spans="2:7" x14ac:dyDescent="0.15">
      <c r="B490" s="19" t="str">
        <f t="shared" si="7"/>
        <v>__</v>
      </c>
      <c r="C490" s="18"/>
      <c r="D490" s="18"/>
      <c r="E490" s="18"/>
      <c r="F490" s="20"/>
      <c r="G490" s="21"/>
    </row>
    <row r="491" spans="2:7" x14ac:dyDescent="0.15">
      <c r="B491" s="19" t="str">
        <f t="shared" si="7"/>
        <v>__</v>
      </c>
      <c r="C491" s="18"/>
      <c r="D491" s="18"/>
      <c r="E491" s="18"/>
      <c r="F491" s="20"/>
      <c r="G491" s="21"/>
    </row>
    <row r="492" spans="2:7" x14ac:dyDescent="0.15">
      <c r="B492" s="19" t="str">
        <f t="shared" si="7"/>
        <v>__</v>
      </c>
      <c r="C492" s="18"/>
      <c r="D492" s="18"/>
      <c r="E492" s="18"/>
      <c r="F492" s="20"/>
      <c r="G492" s="21"/>
    </row>
    <row r="493" spans="2:7" x14ac:dyDescent="0.15">
      <c r="B493" s="19" t="str">
        <f t="shared" si="7"/>
        <v>__</v>
      </c>
      <c r="C493" s="18"/>
      <c r="D493" s="18"/>
      <c r="E493" s="18"/>
      <c r="F493" s="20"/>
      <c r="G493" s="21"/>
    </row>
    <row r="494" spans="2:7" x14ac:dyDescent="0.15">
      <c r="B494" s="19" t="str">
        <f t="shared" si="7"/>
        <v>__</v>
      </c>
      <c r="C494" s="18"/>
      <c r="D494" s="18"/>
      <c r="E494" s="18"/>
      <c r="F494" s="20"/>
      <c r="G494" s="21"/>
    </row>
    <row r="495" spans="2:7" x14ac:dyDescent="0.15">
      <c r="B495" s="19" t="str">
        <f t="shared" si="7"/>
        <v>__</v>
      </c>
      <c r="C495" s="18"/>
      <c r="D495" s="18"/>
      <c r="E495" s="18"/>
      <c r="F495" s="20"/>
      <c r="G495" s="21"/>
    </row>
    <row r="496" spans="2:7" x14ac:dyDescent="0.15">
      <c r="B496" s="19" t="str">
        <f t="shared" si="7"/>
        <v>__</v>
      </c>
      <c r="C496" s="18"/>
      <c r="D496" s="18"/>
      <c r="E496" s="18"/>
      <c r="F496" s="20"/>
      <c r="G496" s="21"/>
    </row>
    <row r="497" spans="2:7" x14ac:dyDescent="0.15">
      <c r="B497" s="19" t="str">
        <f t="shared" si="7"/>
        <v>__</v>
      </c>
      <c r="C497" s="18"/>
      <c r="D497" s="18"/>
      <c r="E497" s="18"/>
      <c r="F497" s="20"/>
      <c r="G497" s="21"/>
    </row>
    <row r="498" spans="2:7" x14ac:dyDescent="0.15">
      <c r="B498" s="19" t="str">
        <f t="shared" si="7"/>
        <v>__</v>
      </c>
      <c r="C498" s="18"/>
      <c r="D498" s="18"/>
      <c r="E498" s="18"/>
      <c r="F498" s="20"/>
      <c r="G498" s="21"/>
    </row>
    <row r="499" spans="2:7" x14ac:dyDescent="0.15">
      <c r="B499" s="19" t="str">
        <f t="shared" si="7"/>
        <v>__</v>
      </c>
      <c r="C499" s="18"/>
      <c r="D499" s="18"/>
      <c r="E499" s="18"/>
      <c r="F499" s="20"/>
      <c r="G499" s="21"/>
    </row>
    <row r="500" spans="2:7" x14ac:dyDescent="0.15">
      <c r="B500" s="19" t="str">
        <f t="shared" si="7"/>
        <v>__</v>
      </c>
      <c r="C500" s="18"/>
      <c r="D500" s="18"/>
      <c r="E500" s="18"/>
      <c r="F500" s="20"/>
      <c r="G500" s="21"/>
    </row>
    <row r="501" spans="2:7" x14ac:dyDescent="0.15">
      <c r="B501" s="19" t="str">
        <f t="shared" si="7"/>
        <v>__</v>
      </c>
      <c r="C501" s="18"/>
      <c r="D501" s="18"/>
      <c r="E501" s="18"/>
      <c r="F501" s="20"/>
      <c r="G501" s="21"/>
    </row>
    <row r="502" spans="2:7" x14ac:dyDescent="0.15">
      <c r="B502" s="19" t="str">
        <f t="shared" si="7"/>
        <v>__</v>
      </c>
      <c r="C502" s="18"/>
      <c r="D502" s="18"/>
      <c r="E502" s="18"/>
      <c r="F502" s="20"/>
      <c r="G502" s="21"/>
    </row>
    <row r="503" spans="2:7" x14ac:dyDescent="0.15">
      <c r="B503" s="19" t="str">
        <f t="shared" si="7"/>
        <v>__</v>
      </c>
      <c r="C503" s="18"/>
      <c r="D503" s="18"/>
      <c r="E503" s="18"/>
      <c r="F503" s="20"/>
      <c r="G503" s="21"/>
    </row>
    <row r="504" spans="2:7" x14ac:dyDescent="0.15">
      <c r="B504" s="19" t="str">
        <f t="shared" si="7"/>
        <v>__</v>
      </c>
      <c r="C504" s="18"/>
      <c r="D504" s="18"/>
      <c r="E504" s="18"/>
      <c r="F504" s="20"/>
      <c r="G504" s="21"/>
    </row>
    <row r="505" spans="2:7" x14ac:dyDescent="0.15">
      <c r="B505" s="19" t="str">
        <f t="shared" si="7"/>
        <v>__</v>
      </c>
      <c r="C505" s="18"/>
      <c r="D505" s="18"/>
      <c r="E505" s="18"/>
      <c r="F505" s="20"/>
      <c r="G505" s="21"/>
    </row>
    <row r="506" spans="2:7" x14ac:dyDescent="0.15">
      <c r="B506" s="19" t="str">
        <f t="shared" si="7"/>
        <v>__</v>
      </c>
      <c r="C506" s="18"/>
      <c r="D506" s="18"/>
      <c r="E506" s="18"/>
      <c r="F506" s="20"/>
      <c r="G506" s="21"/>
    </row>
    <row r="507" spans="2:7" x14ac:dyDescent="0.15">
      <c r="B507" s="19" t="str">
        <f t="shared" si="7"/>
        <v>__</v>
      </c>
      <c r="C507" s="18"/>
      <c r="D507" s="18"/>
      <c r="E507" s="18"/>
      <c r="F507" s="20"/>
      <c r="G507" s="21"/>
    </row>
    <row r="508" spans="2:7" x14ac:dyDescent="0.15">
      <c r="B508" s="19" t="str">
        <f t="shared" si="7"/>
        <v>__</v>
      </c>
      <c r="C508" s="18"/>
      <c r="D508" s="18"/>
      <c r="E508" s="18"/>
      <c r="F508" s="20"/>
      <c r="G508" s="21"/>
    </row>
    <row r="509" spans="2:7" x14ac:dyDescent="0.15">
      <c r="B509" s="19" t="str">
        <f t="shared" si="7"/>
        <v>__</v>
      </c>
      <c r="C509" s="18"/>
      <c r="D509" s="18"/>
      <c r="E509" s="18"/>
      <c r="F509" s="20"/>
      <c r="G509" s="21"/>
    </row>
    <row r="510" spans="2:7" x14ac:dyDescent="0.15">
      <c r="B510" s="19" t="str">
        <f t="shared" si="7"/>
        <v>__</v>
      </c>
      <c r="C510" s="18"/>
      <c r="D510" s="18"/>
      <c r="E510" s="18"/>
      <c r="F510" s="20"/>
      <c r="G510" s="21"/>
    </row>
    <row r="511" spans="2:7" x14ac:dyDescent="0.15">
      <c r="B511" s="19" t="str">
        <f t="shared" si="7"/>
        <v>__</v>
      </c>
      <c r="C511" s="18"/>
      <c r="D511" s="18"/>
      <c r="E511" s="18"/>
      <c r="F511" s="20"/>
      <c r="G511" s="21"/>
    </row>
    <row r="512" spans="2:7" x14ac:dyDescent="0.15">
      <c r="B512" s="19" t="str">
        <f t="shared" si="7"/>
        <v>__</v>
      </c>
      <c r="C512" s="18"/>
      <c r="D512" s="18"/>
      <c r="E512" s="18"/>
      <c r="F512" s="20"/>
      <c r="G512" s="21"/>
    </row>
    <row r="513" spans="2:7" x14ac:dyDescent="0.15">
      <c r="B513" s="19" t="str">
        <f t="shared" si="7"/>
        <v>__</v>
      </c>
      <c r="C513" s="18"/>
      <c r="D513" s="18"/>
      <c r="E513" s="18"/>
      <c r="F513" s="20"/>
      <c r="G513" s="21"/>
    </row>
    <row r="514" spans="2:7" x14ac:dyDescent="0.15">
      <c r="B514" s="19" t="str">
        <f t="shared" si="7"/>
        <v>__</v>
      </c>
      <c r="C514" s="18"/>
      <c r="D514" s="18"/>
      <c r="E514" s="18"/>
      <c r="F514" s="20"/>
      <c r="G514" s="21"/>
    </row>
    <row r="515" spans="2:7" x14ac:dyDescent="0.15">
      <c r="B515" s="19" t="str">
        <f t="shared" ref="B515:B578" si="8">C515&amp;"_"&amp;D515&amp;"_"&amp;E515</f>
        <v>__</v>
      </c>
      <c r="C515" s="18"/>
      <c r="D515" s="18"/>
      <c r="E515" s="18"/>
      <c r="F515" s="20"/>
      <c r="G515" s="21"/>
    </row>
    <row r="516" spans="2:7" x14ac:dyDescent="0.15">
      <c r="B516" s="19" t="str">
        <f t="shared" si="8"/>
        <v>__</v>
      </c>
      <c r="C516" s="18"/>
      <c r="D516" s="18"/>
      <c r="E516" s="18"/>
      <c r="F516" s="20"/>
      <c r="G516" s="21"/>
    </row>
    <row r="517" spans="2:7" x14ac:dyDescent="0.15">
      <c r="B517" s="19" t="str">
        <f t="shared" si="8"/>
        <v>__</v>
      </c>
      <c r="C517" s="18"/>
      <c r="D517" s="18"/>
      <c r="E517" s="18"/>
      <c r="F517" s="20"/>
      <c r="G517" s="21"/>
    </row>
    <row r="518" spans="2:7" x14ac:dyDescent="0.15">
      <c r="B518" s="19" t="str">
        <f t="shared" si="8"/>
        <v>__</v>
      </c>
      <c r="C518" s="18"/>
      <c r="D518" s="18"/>
      <c r="E518" s="18"/>
      <c r="F518" s="20"/>
      <c r="G518" s="21"/>
    </row>
    <row r="519" spans="2:7" x14ac:dyDescent="0.15">
      <c r="B519" s="19" t="str">
        <f t="shared" si="8"/>
        <v>__</v>
      </c>
      <c r="C519" s="18"/>
      <c r="D519" s="18"/>
      <c r="E519" s="18"/>
      <c r="F519" s="20"/>
      <c r="G519" s="21"/>
    </row>
    <row r="520" spans="2:7" x14ac:dyDescent="0.15">
      <c r="B520" s="19" t="str">
        <f t="shared" si="8"/>
        <v>__</v>
      </c>
      <c r="C520" s="18"/>
      <c r="D520" s="18"/>
      <c r="E520" s="18"/>
      <c r="F520" s="20"/>
      <c r="G520" s="21"/>
    </row>
    <row r="521" spans="2:7" x14ac:dyDescent="0.15">
      <c r="B521" s="19" t="str">
        <f t="shared" si="8"/>
        <v>__</v>
      </c>
      <c r="C521" s="18"/>
      <c r="D521" s="18"/>
      <c r="E521" s="18"/>
      <c r="F521" s="20"/>
      <c r="G521" s="21"/>
    </row>
    <row r="522" spans="2:7" x14ac:dyDescent="0.15">
      <c r="B522" s="19" t="str">
        <f t="shared" si="8"/>
        <v>__</v>
      </c>
      <c r="C522" s="18"/>
      <c r="D522" s="18"/>
      <c r="E522" s="18"/>
      <c r="F522" s="20"/>
      <c r="G522" s="21"/>
    </row>
    <row r="523" spans="2:7" x14ac:dyDescent="0.15">
      <c r="B523" s="19" t="str">
        <f t="shared" si="8"/>
        <v>__</v>
      </c>
      <c r="C523" s="18"/>
      <c r="D523" s="18"/>
      <c r="E523" s="18"/>
      <c r="F523" s="20"/>
      <c r="G523" s="21"/>
    </row>
    <row r="524" spans="2:7" x14ac:dyDescent="0.15">
      <c r="B524" s="19" t="str">
        <f t="shared" si="8"/>
        <v>__</v>
      </c>
      <c r="C524" s="18"/>
      <c r="D524" s="18"/>
      <c r="E524" s="18"/>
      <c r="F524" s="20"/>
      <c r="G524" s="21"/>
    </row>
    <row r="525" spans="2:7" x14ac:dyDescent="0.15">
      <c r="B525" s="19" t="str">
        <f t="shared" si="8"/>
        <v>__</v>
      </c>
      <c r="C525" s="18"/>
      <c r="D525" s="18"/>
      <c r="E525" s="18"/>
      <c r="F525" s="20"/>
      <c r="G525" s="21"/>
    </row>
    <row r="526" spans="2:7" x14ac:dyDescent="0.15">
      <c r="B526" s="19" t="str">
        <f t="shared" si="8"/>
        <v>__</v>
      </c>
      <c r="C526" s="18"/>
      <c r="D526" s="18"/>
      <c r="E526" s="18"/>
      <c r="F526" s="20"/>
      <c r="G526" s="21"/>
    </row>
    <row r="527" spans="2:7" x14ac:dyDescent="0.15">
      <c r="B527" s="19" t="str">
        <f t="shared" si="8"/>
        <v>__</v>
      </c>
      <c r="C527" s="18"/>
      <c r="D527" s="18"/>
      <c r="E527" s="18"/>
      <c r="F527" s="20"/>
      <c r="G527" s="21"/>
    </row>
    <row r="528" spans="2:7" x14ac:dyDescent="0.15">
      <c r="B528" s="19" t="str">
        <f t="shared" si="8"/>
        <v>__</v>
      </c>
      <c r="C528" s="18"/>
      <c r="D528" s="18"/>
      <c r="E528" s="18"/>
      <c r="F528" s="20"/>
      <c r="G528" s="21"/>
    </row>
    <row r="529" spans="2:7" x14ac:dyDescent="0.15">
      <c r="B529" s="19" t="str">
        <f t="shared" si="8"/>
        <v>__</v>
      </c>
      <c r="C529" s="18"/>
      <c r="D529" s="18"/>
      <c r="E529" s="18"/>
      <c r="F529" s="20"/>
      <c r="G529" s="21"/>
    </row>
    <row r="530" spans="2:7" x14ac:dyDescent="0.15">
      <c r="B530" s="19" t="str">
        <f t="shared" si="8"/>
        <v>__</v>
      </c>
      <c r="C530" s="18"/>
      <c r="D530" s="18"/>
      <c r="E530" s="18"/>
      <c r="F530" s="20"/>
      <c r="G530" s="21"/>
    </row>
    <row r="531" spans="2:7" x14ac:dyDescent="0.15">
      <c r="B531" s="19" t="str">
        <f t="shared" si="8"/>
        <v>__</v>
      </c>
      <c r="C531" s="18"/>
      <c r="D531" s="18"/>
      <c r="E531" s="18"/>
      <c r="F531" s="20"/>
      <c r="G531" s="21"/>
    </row>
    <row r="532" spans="2:7" x14ac:dyDescent="0.15">
      <c r="B532" s="19" t="str">
        <f t="shared" si="8"/>
        <v>__</v>
      </c>
      <c r="C532" s="18"/>
      <c r="D532" s="18"/>
      <c r="E532" s="18"/>
      <c r="F532" s="20"/>
      <c r="G532" s="21"/>
    </row>
    <row r="533" spans="2:7" x14ac:dyDescent="0.15">
      <c r="B533" s="19" t="str">
        <f t="shared" si="8"/>
        <v>__</v>
      </c>
      <c r="C533" s="18"/>
      <c r="D533" s="18"/>
      <c r="E533" s="18"/>
      <c r="F533" s="20"/>
      <c r="G533" s="21"/>
    </row>
    <row r="534" spans="2:7" x14ac:dyDescent="0.15">
      <c r="B534" s="19" t="str">
        <f t="shared" si="8"/>
        <v>__</v>
      </c>
      <c r="C534" s="18"/>
      <c r="D534" s="18"/>
      <c r="E534" s="18"/>
      <c r="F534" s="20"/>
      <c r="G534" s="21"/>
    </row>
    <row r="535" spans="2:7" x14ac:dyDescent="0.15">
      <c r="B535" s="19" t="str">
        <f t="shared" si="8"/>
        <v>__</v>
      </c>
      <c r="C535" s="18"/>
      <c r="D535" s="18"/>
      <c r="E535" s="18"/>
      <c r="F535" s="20"/>
      <c r="G535" s="21"/>
    </row>
    <row r="536" spans="2:7" x14ac:dyDescent="0.15">
      <c r="B536" s="19" t="str">
        <f t="shared" si="8"/>
        <v>__</v>
      </c>
      <c r="C536" s="18"/>
      <c r="D536" s="18"/>
      <c r="E536" s="18"/>
      <c r="F536" s="20"/>
      <c r="G536" s="21"/>
    </row>
    <row r="537" spans="2:7" x14ac:dyDescent="0.15">
      <c r="B537" s="19" t="str">
        <f t="shared" si="8"/>
        <v>__</v>
      </c>
      <c r="C537" s="18"/>
      <c r="D537" s="18"/>
      <c r="E537" s="18"/>
      <c r="F537" s="20"/>
      <c r="G537" s="21"/>
    </row>
    <row r="538" spans="2:7" x14ac:dyDescent="0.15">
      <c r="B538" s="19" t="str">
        <f t="shared" si="8"/>
        <v>__</v>
      </c>
      <c r="C538" s="18"/>
      <c r="D538" s="18"/>
      <c r="E538" s="18"/>
      <c r="F538" s="20"/>
      <c r="G538" s="21"/>
    </row>
    <row r="539" spans="2:7" x14ac:dyDescent="0.15">
      <c r="B539" s="19" t="str">
        <f t="shared" si="8"/>
        <v>__</v>
      </c>
      <c r="C539" s="18"/>
      <c r="D539" s="18"/>
      <c r="E539" s="18"/>
      <c r="F539" s="20"/>
      <c r="G539" s="21"/>
    </row>
    <row r="540" spans="2:7" x14ac:dyDescent="0.15">
      <c r="B540" s="19" t="str">
        <f t="shared" si="8"/>
        <v>__</v>
      </c>
      <c r="C540" s="18"/>
      <c r="D540" s="18"/>
      <c r="E540" s="18"/>
      <c r="F540" s="20"/>
      <c r="G540" s="21"/>
    </row>
    <row r="541" spans="2:7" x14ac:dyDescent="0.15">
      <c r="B541" s="19" t="str">
        <f t="shared" si="8"/>
        <v>__</v>
      </c>
      <c r="C541" s="18"/>
      <c r="D541" s="18"/>
      <c r="E541" s="18"/>
      <c r="F541" s="20"/>
      <c r="G541" s="21"/>
    </row>
    <row r="542" spans="2:7" x14ac:dyDescent="0.15">
      <c r="B542" s="19" t="str">
        <f t="shared" si="8"/>
        <v>__</v>
      </c>
      <c r="C542" s="18"/>
      <c r="D542" s="18"/>
      <c r="E542" s="18"/>
      <c r="F542" s="20"/>
      <c r="G542" s="21"/>
    </row>
    <row r="543" spans="2:7" x14ac:dyDescent="0.15">
      <c r="B543" s="19" t="str">
        <f t="shared" si="8"/>
        <v>__</v>
      </c>
      <c r="C543" s="18"/>
      <c r="D543" s="18"/>
      <c r="E543" s="18"/>
      <c r="F543" s="20"/>
      <c r="G543" s="21"/>
    </row>
    <row r="544" spans="2:7" x14ac:dyDescent="0.15">
      <c r="B544" s="19" t="str">
        <f t="shared" si="8"/>
        <v>__</v>
      </c>
      <c r="C544" s="18"/>
      <c r="D544" s="18"/>
      <c r="E544" s="18"/>
      <c r="F544" s="20"/>
      <c r="G544" s="21"/>
    </row>
    <row r="545" spans="2:7" x14ac:dyDescent="0.15">
      <c r="B545" s="19" t="str">
        <f t="shared" si="8"/>
        <v>__</v>
      </c>
      <c r="C545" s="18"/>
      <c r="D545" s="18"/>
      <c r="E545" s="18"/>
      <c r="F545" s="20"/>
      <c r="G545" s="21"/>
    </row>
    <row r="546" spans="2:7" x14ac:dyDescent="0.15">
      <c r="B546" s="19" t="str">
        <f t="shared" si="8"/>
        <v>__</v>
      </c>
      <c r="C546" s="18"/>
      <c r="D546" s="18"/>
      <c r="E546" s="18"/>
      <c r="F546" s="20"/>
      <c r="G546" s="21"/>
    </row>
    <row r="547" spans="2:7" x14ac:dyDescent="0.15">
      <c r="B547" s="19" t="str">
        <f t="shared" si="8"/>
        <v>__</v>
      </c>
      <c r="C547" s="18"/>
      <c r="D547" s="18"/>
      <c r="E547" s="18"/>
      <c r="F547" s="20"/>
      <c r="G547" s="21"/>
    </row>
    <row r="548" spans="2:7" x14ac:dyDescent="0.15">
      <c r="B548" s="19" t="str">
        <f t="shared" si="8"/>
        <v>__</v>
      </c>
      <c r="C548" s="18"/>
      <c r="D548" s="18"/>
      <c r="E548" s="18"/>
      <c r="F548" s="20"/>
      <c r="G548" s="21"/>
    </row>
    <row r="549" spans="2:7" x14ac:dyDescent="0.15">
      <c r="B549" s="19" t="str">
        <f t="shared" si="8"/>
        <v>__</v>
      </c>
      <c r="C549" s="18"/>
      <c r="D549" s="18"/>
      <c r="E549" s="18"/>
      <c r="F549" s="20"/>
      <c r="G549" s="21"/>
    </row>
    <row r="550" spans="2:7" x14ac:dyDescent="0.15">
      <c r="B550" s="19" t="str">
        <f t="shared" si="8"/>
        <v>__</v>
      </c>
      <c r="C550" s="18"/>
      <c r="D550" s="18"/>
      <c r="E550" s="18"/>
      <c r="F550" s="20"/>
      <c r="G550" s="21"/>
    </row>
    <row r="551" spans="2:7" x14ac:dyDescent="0.15">
      <c r="B551" s="19" t="str">
        <f t="shared" si="8"/>
        <v>__</v>
      </c>
      <c r="C551" s="18"/>
      <c r="D551" s="18"/>
      <c r="E551" s="18"/>
      <c r="F551" s="20"/>
      <c r="G551" s="21"/>
    </row>
    <row r="552" spans="2:7" x14ac:dyDescent="0.15">
      <c r="B552" s="19" t="str">
        <f t="shared" si="8"/>
        <v>__</v>
      </c>
      <c r="C552" s="18"/>
      <c r="D552" s="18"/>
      <c r="E552" s="18"/>
      <c r="F552" s="20"/>
      <c r="G552" s="21"/>
    </row>
    <row r="553" spans="2:7" x14ac:dyDescent="0.15">
      <c r="B553" s="19" t="str">
        <f t="shared" si="8"/>
        <v>__</v>
      </c>
      <c r="C553" s="18"/>
      <c r="D553" s="18"/>
      <c r="E553" s="18"/>
      <c r="F553" s="20"/>
      <c r="G553" s="21"/>
    </row>
    <row r="554" spans="2:7" x14ac:dyDescent="0.15">
      <c r="B554" s="19" t="str">
        <f t="shared" si="8"/>
        <v>__</v>
      </c>
      <c r="C554" s="18"/>
      <c r="D554" s="18"/>
      <c r="E554" s="18"/>
      <c r="F554" s="20"/>
      <c r="G554" s="21"/>
    </row>
    <row r="555" spans="2:7" x14ac:dyDescent="0.15">
      <c r="B555" s="19" t="str">
        <f t="shared" si="8"/>
        <v>__</v>
      </c>
      <c r="C555" s="18"/>
      <c r="D555" s="18"/>
      <c r="E555" s="18"/>
      <c r="F555" s="20"/>
      <c r="G555" s="21"/>
    </row>
    <row r="556" spans="2:7" x14ac:dyDescent="0.15">
      <c r="B556" s="19" t="str">
        <f t="shared" si="8"/>
        <v>__</v>
      </c>
      <c r="C556" s="18"/>
      <c r="D556" s="18"/>
      <c r="E556" s="18"/>
      <c r="F556" s="20"/>
      <c r="G556" s="21"/>
    </row>
    <row r="557" spans="2:7" x14ac:dyDescent="0.15">
      <c r="B557" s="19" t="str">
        <f t="shared" si="8"/>
        <v>__</v>
      </c>
      <c r="C557" s="18"/>
      <c r="D557" s="18"/>
      <c r="E557" s="18"/>
      <c r="F557" s="20"/>
      <c r="G557" s="21"/>
    </row>
    <row r="558" spans="2:7" x14ac:dyDescent="0.15">
      <c r="B558" s="19" t="str">
        <f t="shared" si="8"/>
        <v>__</v>
      </c>
      <c r="C558" s="18"/>
      <c r="D558" s="18"/>
      <c r="E558" s="18"/>
      <c r="F558" s="20"/>
      <c r="G558" s="21"/>
    </row>
    <row r="559" spans="2:7" x14ac:dyDescent="0.15">
      <c r="B559" s="19" t="str">
        <f t="shared" si="8"/>
        <v>__</v>
      </c>
      <c r="C559" s="18"/>
      <c r="D559" s="18"/>
      <c r="E559" s="18"/>
      <c r="F559" s="20"/>
      <c r="G559" s="21"/>
    </row>
    <row r="560" spans="2:7" x14ac:dyDescent="0.15">
      <c r="B560" s="19" t="str">
        <f t="shared" si="8"/>
        <v>__</v>
      </c>
      <c r="C560" s="18"/>
      <c r="D560" s="18"/>
      <c r="E560" s="18"/>
      <c r="F560" s="20"/>
      <c r="G560" s="21"/>
    </row>
    <row r="561" spans="2:7" x14ac:dyDescent="0.15">
      <c r="B561" s="19" t="str">
        <f t="shared" si="8"/>
        <v>__</v>
      </c>
      <c r="C561" s="18"/>
      <c r="D561" s="18"/>
      <c r="E561" s="18"/>
      <c r="F561" s="20"/>
      <c r="G561" s="21"/>
    </row>
    <row r="562" spans="2:7" x14ac:dyDescent="0.15">
      <c r="B562" s="19" t="str">
        <f t="shared" si="8"/>
        <v>__</v>
      </c>
      <c r="C562" s="18"/>
      <c r="D562" s="18"/>
      <c r="E562" s="18"/>
      <c r="F562" s="20"/>
      <c r="G562" s="21"/>
    </row>
    <row r="563" spans="2:7" x14ac:dyDescent="0.15">
      <c r="B563" s="19" t="str">
        <f t="shared" si="8"/>
        <v>__</v>
      </c>
      <c r="C563" s="18"/>
      <c r="D563" s="18"/>
      <c r="E563" s="18"/>
      <c r="F563" s="20"/>
      <c r="G563" s="21"/>
    </row>
    <row r="564" spans="2:7" x14ac:dyDescent="0.15">
      <c r="B564" s="19" t="str">
        <f t="shared" si="8"/>
        <v>__</v>
      </c>
      <c r="C564" s="18"/>
      <c r="D564" s="18"/>
      <c r="E564" s="18"/>
      <c r="F564" s="20"/>
      <c r="G564" s="21"/>
    </row>
    <row r="565" spans="2:7" x14ac:dyDescent="0.15">
      <c r="B565" s="19" t="str">
        <f t="shared" si="8"/>
        <v>__</v>
      </c>
      <c r="C565" s="18"/>
      <c r="D565" s="18"/>
      <c r="E565" s="18"/>
      <c r="F565" s="20"/>
      <c r="G565" s="21"/>
    </row>
    <row r="566" spans="2:7" x14ac:dyDescent="0.15">
      <c r="B566" s="19" t="str">
        <f t="shared" si="8"/>
        <v>__</v>
      </c>
      <c r="C566" s="18"/>
      <c r="D566" s="18"/>
      <c r="E566" s="18"/>
      <c r="F566" s="20"/>
      <c r="G566" s="21"/>
    </row>
    <row r="567" spans="2:7" x14ac:dyDescent="0.15">
      <c r="B567" s="19" t="str">
        <f t="shared" si="8"/>
        <v>__</v>
      </c>
      <c r="C567" s="18"/>
      <c r="D567" s="18"/>
      <c r="E567" s="18"/>
      <c r="F567" s="20"/>
      <c r="G567" s="21"/>
    </row>
    <row r="568" spans="2:7" x14ac:dyDescent="0.15">
      <c r="B568" s="19" t="str">
        <f t="shared" si="8"/>
        <v>__</v>
      </c>
      <c r="C568" s="18"/>
      <c r="D568" s="18"/>
      <c r="E568" s="18"/>
      <c r="F568" s="20"/>
      <c r="G568" s="21"/>
    </row>
    <row r="569" spans="2:7" x14ac:dyDescent="0.15">
      <c r="B569" s="19" t="str">
        <f t="shared" si="8"/>
        <v>__</v>
      </c>
      <c r="C569" s="18"/>
      <c r="D569" s="18"/>
      <c r="E569" s="18"/>
      <c r="F569" s="20"/>
      <c r="G569" s="21"/>
    </row>
    <row r="570" spans="2:7" x14ac:dyDescent="0.15">
      <c r="B570" s="19" t="str">
        <f t="shared" si="8"/>
        <v>__</v>
      </c>
      <c r="C570" s="18"/>
      <c r="D570" s="18"/>
      <c r="E570" s="18"/>
      <c r="F570" s="20"/>
      <c r="G570" s="21"/>
    </row>
    <row r="571" spans="2:7" x14ac:dyDescent="0.15">
      <c r="B571" s="19" t="str">
        <f t="shared" si="8"/>
        <v>__</v>
      </c>
      <c r="C571" s="18"/>
      <c r="D571" s="18"/>
      <c r="E571" s="18"/>
      <c r="F571" s="20"/>
      <c r="G571" s="21"/>
    </row>
    <row r="572" spans="2:7" x14ac:dyDescent="0.15">
      <c r="B572" s="19" t="str">
        <f t="shared" si="8"/>
        <v>__</v>
      </c>
      <c r="C572" s="18"/>
      <c r="D572" s="18"/>
      <c r="E572" s="18"/>
      <c r="F572" s="20"/>
      <c r="G572" s="21"/>
    </row>
    <row r="573" spans="2:7" x14ac:dyDescent="0.15">
      <c r="B573" s="19" t="str">
        <f t="shared" si="8"/>
        <v>__</v>
      </c>
      <c r="C573" s="18"/>
      <c r="D573" s="18"/>
      <c r="E573" s="18"/>
      <c r="F573" s="20"/>
      <c r="G573" s="21"/>
    </row>
    <row r="574" spans="2:7" x14ac:dyDescent="0.15">
      <c r="B574" s="19" t="str">
        <f t="shared" si="8"/>
        <v>__</v>
      </c>
      <c r="C574" s="18"/>
      <c r="D574" s="18"/>
      <c r="E574" s="18"/>
      <c r="F574" s="20"/>
      <c r="G574" s="21"/>
    </row>
    <row r="575" spans="2:7" x14ac:dyDescent="0.15">
      <c r="B575" s="19" t="str">
        <f t="shared" si="8"/>
        <v>__</v>
      </c>
      <c r="C575" s="18"/>
      <c r="D575" s="18"/>
      <c r="E575" s="18"/>
      <c r="F575" s="20"/>
      <c r="G575" s="21"/>
    </row>
    <row r="576" spans="2:7" x14ac:dyDescent="0.15">
      <c r="B576" s="19" t="str">
        <f t="shared" si="8"/>
        <v>__</v>
      </c>
      <c r="C576" s="18"/>
      <c r="D576" s="18"/>
      <c r="E576" s="18"/>
      <c r="F576" s="20"/>
      <c r="G576" s="21"/>
    </row>
    <row r="577" spans="2:7" x14ac:dyDescent="0.15">
      <c r="B577" s="19" t="str">
        <f t="shared" si="8"/>
        <v>__</v>
      </c>
      <c r="C577" s="18"/>
      <c r="D577" s="18"/>
      <c r="E577" s="18"/>
      <c r="F577" s="20"/>
      <c r="G577" s="21"/>
    </row>
    <row r="578" spans="2:7" x14ac:dyDescent="0.15">
      <c r="B578" s="19" t="str">
        <f t="shared" si="8"/>
        <v>__</v>
      </c>
      <c r="C578" s="18"/>
      <c r="D578" s="18"/>
      <c r="E578" s="18"/>
      <c r="F578" s="20"/>
      <c r="G578" s="21"/>
    </row>
    <row r="579" spans="2:7" x14ac:dyDescent="0.15">
      <c r="B579" s="19" t="str">
        <f t="shared" ref="B579:B642" si="9">C579&amp;"_"&amp;D579&amp;"_"&amp;E579</f>
        <v>__</v>
      </c>
      <c r="C579" s="18"/>
      <c r="D579" s="18"/>
      <c r="E579" s="18"/>
      <c r="F579" s="20"/>
      <c r="G579" s="21"/>
    </row>
    <row r="580" spans="2:7" x14ac:dyDescent="0.15">
      <c r="B580" s="19" t="str">
        <f t="shared" si="9"/>
        <v>__</v>
      </c>
      <c r="C580" s="18"/>
      <c r="D580" s="18"/>
      <c r="E580" s="18"/>
      <c r="F580" s="20"/>
      <c r="G580" s="21"/>
    </row>
    <row r="581" spans="2:7" x14ac:dyDescent="0.15">
      <c r="B581" s="19" t="str">
        <f t="shared" si="9"/>
        <v>__</v>
      </c>
      <c r="C581" s="18"/>
      <c r="D581" s="18"/>
      <c r="E581" s="18"/>
      <c r="F581" s="20"/>
      <c r="G581" s="21"/>
    </row>
    <row r="582" spans="2:7" x14ac:dyDescent="0.15">
      <c r="B582" s="19" t="str">
        <f t="shared" si="9"/>
        <v>__</v>
      </c>
      <c r="C582" s="18"/>
      <c r="D582" s="18"/>
      <c r="E582" s="18"/>
      <c r="F582" s="20"/>
      <c r="G582" s="21"/>
    </row>
    <row r="583" spans="2:7" x14ac:dyDescent="0.15">
      <c r="B583" s="19" t="str">
        <f t="shared" si="9"/>
        <v>__</v>
      </c>
      <c r="C583" s="18"/>
      <c r="D583" s="18"/>
      <c r="E583" s="18"/>
      <c r="F583" s="20"/>
      <c r="G583" s="21"/>
    </row>
    <row r="584" spans="2:7" x14ac:dyDescent="0.15">
      <c r="B584" s="19" t="str">
        <f t="shared" si="9"/>
        <v>__</v>
      </c>
      <c r="C584" s="18"/>
      <c r="D584" s="18"/>
      <c r="E584" s="18"/>
      <c r="F584" s="20"/>
      <c r="G584" s="21"/>
    </row>
    <row r="585" spans="2:7" x14ac:dyDescent="0.15">
      <c r="B585" s="19" t="str">
        <f t="shared" si="9"/>
        <v>__</v>
      </c>
      <c r="C585" s="18"/>
      <c r="D585" s="18"/>
      <c r="E585" s="18"/>
      <c r="F585" s="20"/>
      <c r="G585" s="21"/>
    </row>
    <row r="586" spans="2:7" x14ac:dyDescent="0.15">
      <c r="B586" s="19" t="str">
        <f t="shared" si="9"/>
        <v>__</v>
      </c>
      <c r="C586" s="18"/>
      <c r="D586" s="18"/>
      <c r="E586" s="18"/>
      <c r="F586" s="20"/>
      <c r="G586" s="21"/>
    </row>
    <row r="587" spans="2:7" x14ac:dyDescent="0.15">
      <c r="B587" s="19" t="str">
        <f t="shared" si="9"/>
        <v>__</v>
      </c>
      <c r="C587" s="18"/>
      <c r="D587" s="18"/>
      <c r="E587" s="18"/>
      <c r="F587" s="20"/>
      <c r="G587" s="21"/>
    </row>
    <row r="588" spans="2:7" x14ac:dyDescent="0.15">
      <c r="B588" s="19" t="str">
        <f t="shared" si="9"/>
        <v>__</v>
      </c>
      <c r="C588" s="18"/>
      <c r="D588" s="18"/>
      <c r="E588" s="18"/>
      <c r="F588" s="20"/>
      <c r="G588" s="21"/>
    </row>
    <row r="589" spans="2:7" x14ac:dyDescent="0.15">
      <c r="B589" s="19" t="str">
        <f t="shared" si="9"/>
        <v>__</v>
      </c>
      <c r="C589" s="18"/>
      <c r="D589" s="18"/>
      <c r="E589" s="18"/>
      <c r="F589" s="20"/>
      <c r="G589" s="21"/>
    </row>
    <row r="590" spans="2:7" x14ac:dyDescent="0.15">
      <c r="B590" s="19" t="str">
        <f t="shared" si="9"/>
        <v>__</v>
      </c>
      <c r="C590" s="18"/>
      <c r="D590" s="18"/>
      <c r="E590" s="18"/>
      <c r="F590" s="20"/>
      <c r="G590" s="21"/>
    </row>
    <row r="591" spans="2:7" x14ac:dyDescent="0.15">
      <c r="B591" s="19" t="str">
        <f t="shared" si="9"/>
        <v>__</v>
      </c>
      <c r="C591" s="18"/>
      <c r="D591" s="18"/>
      <c r="E591" s="18"/>
      <c r="F591" s="20"/>
      <c r="G591" s="21"/>
    </row>
    <row r="592" spans="2:7" x14ac:dyDescent="0.15">
      <c r="B592" s="19" t="str">
        <f t="shared" si="9"/>
        <v>__</v>
      </c>
      <c r="C592" s="18"/>
      <c r="D592" s="18"/>
      <c r="E592" s="18"/>
      <c r="F592" s="20"/>
      <c r="G592" s="21"/>
    </row>
    <row r="593" spans="2:7" x14ac:dyDescent="0.15">
      <c r="B593" s="19" t="str">
        <f t="shared" si="9"/>
        <v>__</v>
      </c>
      <c r="C593" s="18"/>
      <c r="D593" s="18"/>
      <c r="E593" s="18"/>
      <c r="F593" s="20"/>
      <c r="G593" s="21"/>
    </row>
    <row r="594" spans="2:7" x14ac:dyDescent="0.15">
      <c r="B594" s="19" t="str">
        <f t="shared" si="9"/>
        <v>__</v>
      </c>
      <c r="C594" s="18"/>
      <c r="D594" s="18"/>
      <c r="E594" s="18"/>
      <c r="F594" s="20"/>
      <c r="G594" s="21"/>
    </row>
    <row r="595" spans="2:7" x14ac:dyDescent="0.15">
      <c r="B595" s="19" t="str">
        <f t="shared" si="9"/>
        <v>__</v>
      </c>
      <c r="C595" s="18"/>
      <c r="D595" s="18"/>
      <c r="E595" s="18"/>
      <c r="F595" s="20"/>
      <c r="G595" s="21"/>
    </row>
    <row r="596" spans="2:7" x14ac:dyDescent="0.15">
      <c r="B596" s="19" t="str">
        <f t="shared" si="9"/>
        <v>__</v>
      </c>
      <c r="C596" s="18"/>
      <c r="D596" s="18"/>
      <c r="E596" s="18"/>
      <c r="F596" s="20"/>
      <c r="G596" s="21"/>
    </row>
    <row r="597" spans="2:7" x14ac:dyDescent="0.15">
      <c r="B597" s="19" t="str">
        <f t="shared" si="9"/>
        <v>__</v>
      </c>
      <c r="C597" s="18"/>
      <c r="D597" s="18"/>
      <c r="E597" s="18"/>
      <c r="F597" s="20"/>
      <c r="G597" s="21"/>
    </row>
    <row r="598" spans="2:7" x14ac:dyDescent="0.15">
      <c r="B598" s="19" t="str">
        <f t="shared" si="9"/>
        <v>__</v>
      </c>
      <c r="C598" s="18"/>
      <c r="D598" s="18"/>
      <c r="E598" s="18"/>
      <c r="F598" s="20"/>
      <c r="G598" s="21"/>
    </row>
    <row r="599" spans="2:7" x14ac:dyDescent="0.15">
      <c r="B599" s="19" t="str">
        <f t="shared" si="9"/>
        <v>__</v>
      </c>
      <c r="C599" s="18"/>
      <c r="D599" s="18"/>
      <c r="E599" s="18"/>
      <c r="F599" s="20"/>
      <c r="G599" s="21"/>
    </row>
    <row r="600" spans="2:7" x14ac:dyDescent="0.15">
      <c r="B600" s="19" t="str">
        <f t="shared" si="9"/>
        <v>__</v>
      </c>
      <c r="C600" s="18"/>
      <c r="D600" s="18"/>
      <c r="E600" s="18"/>
      <c r="F600" s="20"/>
      <c r="G600" s="21"/>
    </row>
    <row r="601" spans="2:7" x14ac:dyDescent="0.15">
      <c r="B601" s="19" t="str">
        <f t="shared" si="9"/>
        <v>__</v>
      </c>
      <c r="C601" s="18"/>
      <c r="D601" s="18"/>
      <c r="E601" s="18"/>
      <c r="F601" s="20"/>
      <c r="G601" s="21"/>
    </row>
    <row r="602" spans="2:7" x14ac:dyDescent="0.15">
      <c r="B602" s="19" t="str">
        <f t="shared" si="9"/>
        <v>__</v>
      </c>
      <c r="C602" s="18"/>
      <c r="D602" s="18"/>
      <c r="E602" s="18"/>
      <c r="F602" s="20"/>
      <c r="G602" s="21"/>
    </row>
    <row r="603" spans="2:7" x14ac:dyDescent="0.15">
      <c r="B603" s="19" t="str">
        <f t="shared" si="9"/>
        <v>__</v>
      </c>
      <c r="C603" s="18"/>
      <c r="D603" s="18"/>
      <c r="E603" s="18"/>
      <c r="F603" s="20"/>
      <c r="G603" s="21"/>
    </row>
    <row r="604" spans="2:7" x14ac:dyDescent="0.15">
      <c r="B604" s="19" t="str">
        <f t="shared" si="9"/>
        <v>__</v>
      </c>
      <c r="C604" s="18"/>
      <c r="D604" s="18"/>
      <c r="E604" s="18"/>
      <c r="F604" s="20"/>
      <c r="G604" s="21"/>
    </row>
    <row r="605" spans="2:7" x14ac:dyDescent="0.15">
      <c r="B605" s="19" t="str">
        <f t="shared" si="9"/>
        <v>__</v>
      </c>
      <c r="C605" s="18"/>
      <c r="D605" s="18"/>
      <c r="E605" s="18"/>
      <c r="F605" s="20"/>
      <c r="G605" s="21"/>
    </row>
    <row r="606" spans="2:7" x14ac:dyDescent="0.15">
      <c r="B606" s="19" t="str">
        <f t="shared" si="9"/>
        <v>__</v>
      </c>
      <c r="C606" s="18"/>
      <c r="D606" s="18"/>
      <c r="E606" s="18"/>
      <c r="F606" s="20"/>
      <c r="G606" s="21"/>
    </row>
    <row r="607" spans="2:7" x14ac:dyDescent="0.15">
      <c r="B607" s="19" t="str">
        <f t="shared" si="9"/>
        <v>__</v>
      </c>
      <c r="C607" s="18"/>
      <c r="D607" s="18"/>
      <c r="E607" s="18"/>
      <c r="F607" s="20"/>
      <c r="G607" s="21"/>
    </row>
    <row r="608" spans="2:7" x14ac:dyDescent="0.15">
      <c r="B608" s="19" t="str">
        <f t="shared" si="9"/>
        <v>__</v>
      </c>
      <c r="C608" s="18"/>
      <c r="D608" s="18"/>
      <c r="E608" s="18"/>
      <c r="F608" s="20"/>
      <c r="G608" s="21"/>
    </row>
    <row r="609" spans="2:7" x14ac:dyDescent="0.15">
      <c r="B609" s="19" t="str">
        <f t="shared" si="9"/>
        <v>__</v>
      </c>
      <c r="C609" s="18"/>
      <c r="D609" s="18"/>
      <c r="E609" s="18"/>
      <c r="F609" s="20"/>
      <c r="G609" s="21"/>
    </row>
    <row r="610" spans="2:7" x14ac:dyDescent="0.15">
      <c r="B610" s="19" t="str">
        <f t="shared" si="9"/>
        <v>__</v>
      </c>
      <c r="C610" s="18"/>
      <c r="D610" s="18"/>
      <c r="E610" s="18"/>
      <c r="F610" s="20"/>
      <c r="G610" s="21"/>
    </row>
    <row r="611" spans="2:7" x14ac:dyDescent="0.15">
      <c r="B611" s="19" t="str">
        <f t="shared" si="9"/>
        <v>__</v>
      </c>
      <c r="C611" s="18"/>
      <c r="D611" s="18"/>
      <c r="E611" s="18"/>
      <c r="F611" s="20"/>
      <c r="G611" s="21"/>
    </row>
    <row r="612" spans="2:7" x14ac:dyDescent="0.15">
      <c r="B612" s="19" t="str">
        <f t="shared" si="9"/>
        <v>__</v>
      </c>
      <c r="C612" s="18"/>
      <c r="D612" s="18"/>
      <c r="E612" s="18"/>
      <c r="F612" s="20"/>
      <c r="G612" s="21"/>
    </row>
    <row r="613" spans="2:7" x14ac:dyDescent="0.15">
      <c r="B613" s="19" t="str">
        <f t="shared" si="9"/>
        <v>__</v>
      </c>
      <c r="C613" s="18"/>
      <c r="D613" s="18"/>
      <c r="E613" s="18"/>
      <c r="F613" s="20"/>
      <c r="G613" s="21"/>
    </row>
    <row r="614" spans="2:7" x14ac:dyDescent="0.15">
      <c r="B614" s="19" t="str">
        <f t="shared" si="9"/>
        <v>__</v>
      </c>
      <c r="C614" s="18"/>
      <c r="D614" s="18"/>
      <c r="E614" s="18"/>
      <c r="F614" s="20"/>
      <c r="G614" s="21"/>
    </row>
    <row r="615" spans="2:7" x14ac:dyDescent="0.15">
      <c r="B615" s="19" t="str">
        <f t="shared" si="9"/>
        <v>__</v>
      </c>
      <c r="C615" s="18"/>
      <c r="D615" s="18"/>
      <c r="E615" s="18"/>
      <c r="F615" s="20"/>
      <c r="G615" s="21"/>
    </row>
    <row r="616" spans="2:7" x14ac:dyDescent="0.15">
      <c r="B616" s="19" t="str">
        <f t="shared" si="9"/>
        <v>__</v>
      </c>
      <c r="C616" s="18"/>
      <c r="D616" s="18"/>
      <c r="E616" s="18"/>
      <c r="F616" s="20"/>
      <c r="G616" s="21"/>
    </row>
    <row r="617" spans="2:7" x14ac:dyDescent="0.15">
      <c r="B617" s="19" t="str">
        <f t="shared" si="9"/>
        <v>__</v>
      </c>
      <c r="C617" s="18"/>
      <c r="D617" s="18"/>
      <c r="E617" s="18"/>
      <c r="F617" s="20"/>
      <c r="G617" s="21"/>
    </row>
    <row r="618" spans="2:7" x14ac:dyDescent="0.15">
      <c r="B618" s="19" t="str">
        <f t="shared" si="9"/>
        <v>__</v>
      </c>
      <c r="C618" s="18"/>
      <c r="D618" s="18"/>
      <c r="E618" s="18"/>
      <c r="F618" s="20"/>
      <c r="G618" s="21"/>
    </row>
    <row r="619" spans="2:7" x14ac:dyDescent="0.15">
      <c r="B619" s="19" t="str">
        <f t="shared" si="9"/>
        <v>__</v>
      </c>
      <c r="C619" s="18"/>
      <c r="D619" s="18"/>
      <c r="E619" s="18"/>
      <c r="F619" s="20"/>
      <c r="G619" s="21"/>
    </row>
    <row r="620" spans="2:7" x14ac:dyDescent="0.15">
      <c r="B620" s="19" t="str">
        <f t="shared" si="9"/>
        <v>__</v>
      </c>
      <c r="C620" s="18"/>
      <c r="D620" s="18"/>
      <c r="E620" s="18"/>
      <c r="F620" s="20"/>
      <c r="G620" s="21"/>
    </row>
    <row r="621" spans="2:7" x14ac:dyDescent="0.15">
      <c r="B621" s="19" t="str">
        <f t="shared" si="9"/>
        <v>__</v>
      </c>
      <c r="C621" s="18"/>
      <c r="D621" s="18"/>
      <c r="E621" s="18"/>
      <c r="F621" s="20"/>
      <c r="G621" s="21"/>
    </row>
    <row r="622" spans="2:7" x14ac:dyDescent="0.15">
      <c r="B622" s="19" t="str">
        <f t="shared" si="9"/>
        <v>__</v>
      </c>
      <c r="C622" s="18"/>
      <c r="D622" s="18"/>
      <c r="E622" s="18"/>
      <c r="F622" s="20"/>
      <c r="G622" s="21"/>
    </row>
    <row r="623" spans="2:7" x14ac:dyDescent="0.15">
      <c r="B623" s="19" t="str">
        <f t="shared" si="9"/>
        <v>__</v>
      </c>
      <c r="C623" s="18"/>
      <c r="D623" s="18"/>
      <c r="E623" s="18"/>
      <c r="F623" s="20"/>
      <c r="G623" s="21"/>
    </row>
    <row r="624" spans="2:7" x14ac:dyDescent="0.15">
      <c r="B624" s="19" t="str">
        <f t="shared" si="9"/>
        <v>__</v>
      </c>
      <c r="C624" s="18"/>
      <c r="D624" s="18"/>
      <c r="E624" s="18"/>
      <c r="F624" s="20"/>
      <c r="G624" s="21"/>
    </row>
    <row r="625" spans="2:7" x14ac:dyDescent="0.15">
      <c r="B625" s="19" t="str">
        <f t="shared" si="9"/>
        <v>__</v>
      </c>
      <c r="C625" s="18"/>
      <c r="D625" s="18"/>
      <c r="E625" s="18"/>
      <c r="F625" s="20"/>
      <c r="G625" s="21"/>
    </row>
    <row r="626" spans="2:7" x14ac:dyDescent="0.15">
      <c r="B626" s="19" t="str">
        <f t="shared" si="9"/>
        <v>__</v>
      </c>
      <c r="C626" s="18"/>
      <c r="D626" s="18"/>
      <c r="E626" s="18"/>
      <c r="F626" s="20"/>
      <c r="G626" s="21"/>
    </row>
    <row r="627" spans="2:7" x14ac:dyDescent="0.15">
      <c r="B627" s="19" t="str">
        <f t="shared" si="9"/>
        <v>__</v>
      </c>
      <c r="C627" s="18"/>
      <c r="D627" s="18"/>
      <c r="E627" s="18"/>
      <c r="F627" s="20"/>
      <c r="G627" s="21"/>
    </row>
    <row r="628" spans="2:7" x14ac:dyDescent="0.15">
      <c r="B628" s="19" t="str">
        <f t="shared" si="9"/>
        <v>__</v>
      </c>
      <c r="C628" s="18"/>
      <c r="D628" s="18"/>
      <c r="E628" s="18"/>
      <c r="F628" s="20"/>
      <c r="G628" s="21"/>
    </row>
    <row r="629" spans="2:7" x14ac:dyDescent="0.15">
      <c r="B629" s="19" t="str">
        <f t="shared" si="9"/>
        <v>__</v>
      </c>
      <c r="C629" s="18"/>
      <c r="D629" s="18"/>
      <c r="E629" s="18"/>
      <c r="F629" s="20"/>
      <c r="G629" s="21"/>
    </row>
    <row r="630" spans="2:7" x14ac:dyDescent="0.15">
      <c r="B630" s="19" t="str">
        <f t="shared" si="9"/>
        <v>__</v>
      </c>
      <c r="C630" s="18"/>
      <c r="D630" s="18"/>
      <c r="E630" s="18"/>
      <c r="F630" s="20"/>
      <c r="G630" s="21"/>
    </row>
    <row r="631" spans="2:7" x14ac:dyDescent="0.15">
      <c r="B631" s="19" t="str">
        <f t="shared" si="9"/>
        <v>__</v>
      </c>
      <c r="C631" s="18"/>
      <c r="D631" s="18"/>
      <c r="E631" s="18"/>
      <c r="F631" s="20"/>
      <c r="G631" s="21"/>
    </row>
    <row r="632" spans="2:7" x14ac:dyDescent="0.15">
      <c r="B632" s="19" t="str">
        <f t="shared" si="9"/>
        <v>__</v>
      </c>
      <c r="C632" s="18"/>
      <c r="D632" s="18"/>
      <c r="E632" s="18"/>
      <c r="F632" s="20"/>
      <c r="G632" s="21"/>
    </row>
    <row r="633" spans="2:7" x14ac:dyDescent="0.15">
      <c r="B633" s="19" t="str">
        <f t="shared" si="9"/>
        <v>__</v>
      </c>
      <c r="C633" s="18"/>
      <c r="D633" s="18"/>
      <c r="E633" s="18"/>
      <c r="F633" s="20"/>
      <c r="G633" s="21"/>
    </row>
    <row r="634" spans="2:7" x14ac:dyDescent="0.15">
      <c r="B634" s="19" t="str">
        <f t="shared" si="9"/>
        <v>__</v>
      </c>
      <c r="C634" s="18"/>
      <c r="D634" s="18"/>
      <c r="E634" s="18"/>
      <c r="F634" s="20"/>
      <c r="G634" s="21"/>
    </row>
    <row r="635" spans="2:7" x14ac:dyDescent="0.15">
      <c r="B635" s="19" t="str">
        <f t="shared" si="9"/>
        <v>__</v>
      </c>
      <c r="C635" s="18"/>
      <c r="D635" s="18"/>
      <c r="E635" s="18"/>
      <c r="F635" s="20"/>
      <c r="G635" s="21"/>
    </row>
    <row r="636" spans="2:7" x14ac:dyDescent="0.15">
      <c r="B636" s="19" t="str">
        <f t="shared" si="9"/>
        <v>__</v>
      </c>
      <c r="C636" s="18"/>
      <c r="D636" s="18"/>
      <c r="E636" s="18"/>
      <c r="F636" s="20"/>
      <c r="G636" s="21"/>
    </row>
    <row r="637" spans="2:7" x14ac:dyDescent="0.15">
      <c r="B637" s="19" t="str">
        <f t="shared" si="9"/>
        <v>__</v>
      </c>
      <c r="C637" s="18"/>
      <c r="D637" s="18"/>
      <c r="E637" s="18"/>
      <c r="F637" s="20"/>
      <c r="G637" s="21"/>
    </row>
    <row r="638" spans="2:7" x14ac:dyDescent="0.15">
      <c r="B638" s="19" t="str">
        <f t="shared" si="9"/>
        <v>__</v>
      </c>
      <c r="C638" s="18"/>
      <c r="D638" s="18"/>
      <c r="E638" s="18"/>
      <c r="F638" s="20"/>
      <c r="G638" s="21"/>
    </row>
    <row r="639" spans="2:7" x14ac:dyDescent="0.15">
      <c r="B639" s="19" t="str">
        <f t="shared" si="9"/>
        <v>__</v>
      </c>
      <c r="C639" s="18"/>
      <c r="D639" s="18"/>
      <c r="E639" s="18"/>
      <c r="F639" s="20"/>
      <c r="G639" s="21"/>
    </row>
    <row r="640" spans="2:7" x14ac:dyDescent="0.15">
      <c r="B640" s="19" t="str">
        <f t="shared" si="9"/>
        <v>__</v>
      </c>
      <c r="C640" s="18"/>
      <c r="D640" s="18"/>
      <c r="E640" s="18"/>
      <c r="F640" s="20"/>
      <c r="G640" s="21"/>
    </row>
    <row r="641" spans="2:7" x14ac:dyDescent="0.15">
      <c r="B641" s="19" t="str">
        <f t="shared" si="9"/>
        <v>__</v>
      </c>
      <c r="C641" s="18"/>
      <c r="D641" s="18"/>
      <c r="E641" s="18"/>
      <c r="F641" s="20"/>
      <c r="G641" s="21"/>
    </row>
    <row r="642" spans="2:7" x14ac:dyDescent="0.15">
      <c r="B642" s="19" t="str">
        <f t="shared" si="9"/>
        <v>__</v>
      </c>
      <c r="C642" s="18"/>
      <c r="D642" s="18"/>
      <c r="E642" s="18"/>
      <c r="F642" s="20"/>
      <c r="G642" s="21"/>
    </row>
    <row r="643" spans="2:7" x14ac:dyDescent="0.15">
      <c r="B643" s="19" t="str">
        <f t="shared" ref="B643:B706" si="10">C643&amp;"_"&amp;D643&amp;"_"&amp;E643</f>
        <v>__</v>
      </c>
      <c r="C643" s="18"/>
      <c r="D643" s="18"/>
      <c r="E643" s="18"/>
      <c r="F643" s="20"/>
      <c r="G643" s="21"/>
    </row>
    <row r="644" spans="2:7" x14ac:dyDescent="0.15">
      <c r="B644" s="19" t="str">
        <f t="shared" si="10"/>
        <v>__</v>
      </c>
      <c r="C644" s="18"/>
      <c r="D644" s="18"/>
      <c r="E644" s="18"/>
      <c r="F644" s="20"/>
      <c r="G644" s="21"/>
    </row>
    <row r="645" spans="2:7" x14ac:dyDescent="0.15">
      <c r="B645" s="19" t="str">
        <f t="shared" si="10"/>
        <v>__</v>
      </c>
      <c r="C645" s="18"/>
      <c r="D645" s="18"/>
      <c r="E645" s="18"/>
      <c r="F645" s="20"/>
      <c r="G645" s="21"/>
    </row>
    <row r="646" spans="2:7" x14ac:dyDescent="0.15">
      <c r="B646" s="19" t="str">
        <f t="shared" si="10"/>
        <v>__</v>
      </c>
      <c r="C646" s="18"/>
      <c r="D646" s="18"/>
      <c r="E646" s="18"/>
      <c r="F646" s="20"/>
      <c r="G646" s="21"/>
    </row>
    <row r="647" spans="2:7" x14ac:dyDescent="0.15">
      <c r="B647" s="19" t="str">
        <f t="shared" si="10"/>
        <v>__</v>
      </c>
      <c r="C647" s="18"/>
      <c r="D647" s="18"/>
      <c r="E647" s="18"/>
      <c r="F647" s="20"/>
      <c r="G647" s="21"/>
    </row>
    <row r="648" spans="2:7" x14ac:dyDescent="0.15">
      <c r="B648" s="19" t="str">
        <f t="shared" si="10"/>
        <v>__</v>
      </c>
      <c r="C648" s="18"/>
      <c r="D648" s="18"/>
      <c r="E648" s="18"/>
      <c r="F648" s="20"/>
      <c r="G648" s="21"/>
    </row>
    <row r="649" spans="2:7" x14ac:dyDescent="0.15">
      <c r="B649" s="19" t="str">
        <f t="shared" si="10"/>
        <v>__</v>
      </c>
      <c r="C649" s="18"/>
      <c r="D649" s="18"/>
      <c r="E649" s="18"/>
      <c r="F649" s="20"/>
      <c r="G649" s="21"/>
    </row>
    <row r="650" spans="2:7" x14ac:dyDescent="0.15">
      <c r="B650" s="19" t="str">
        <f t="shared" si="10"/>
        <v>__</v>
      </c>
      <c r="C650" s="18"/>
      <c r="D650" s="18"/>
      <c r="E650" s="18"/>
      <c r="F650" s="20"/>
      <c r="G650" s="21"/>
    </row>
    <row r="651" spans="2:7" x14ac:dyDescent="0.15">
      <c r="B651" s="19" t="str">
        <f t="shared" si="10"/>
        <v>__</v>
      </c>
      <c r="C651" s="18"/>
      <c r="D651" s="18"/>
      <c r="E651" s="18"/>
      <c r="F651" s="20"/>
      <c r="G651" s="21"/>
    </row>
    <row r="652" spans="2:7" x14ac:dyDescent="0.15">
      <c r="B652" s="19" t="str">
        <f t="shared" si="10"/>
        <v>__</v>
      </c>
      <c r="C652" s="18"/>
      <c r="D652" s="18"/>
      <c r="E652" s="18"/>
      <c r="F652" s="20"/>
      <c r="G652" s="21"/>
    </row>
    <row r="653" spans="2:7" x14ac:dyDescent="0.15">
      <c r="B653" s="19" t="str">
        <f t="shared" si="10"/>
        <v>__</v>
      </c>
      <c r="C653" s="18"/>
      <c r="D653" s="18"/>
      <c r="E653" s="18"/>
      <c r="F653" s="20"/>
      <c r="G653" s="21"/>
    </row>
    <row r="654" spans="2:7" x14ac:dyDescent="0.15">
      <c r="B654" s="19" t="str">
        <f t="shared" si="10"/>
        <v>__</v>
      </c>
      <c r="C654" s="18"/>
      <c r="D654" s="18"/>
      <c r="E654" s="18"/>
      <c r="F654" s="20"/>
      <c r="G654" s="21"/>
    </row>
    <row r="655" spans="2:7" x14ac:dyDescent="0.15">
      <c r="B655" s="19" t="str">
        <f t="shared" si="10"/>
        <v>__</v>
      </c>
      <c r="C655" s="18"/>
      <c r="D655" s="18"/>
      <c r="E655" s="18"/>
      <c r="F655" s="20"/>
      <c r="G655" s="21"/>
    </row>
    <row r="656" spans="2:7" x14ac:dyDescent="0.15">
      <c r="B656" s="19" t="str">
        <f t="shared" si="10"/>
        <v>__</v>
      </c>
      <c r="C656" s="18"/>
      <c r="D656" s="18"/>
      <c r="E656" s="18"/>
      <c r="F656" s="20"/>
      <c r="G656" s="21"/>
    </row>
    <row r="657" spans="2:7" x14ac:dyDescent="0.15">
      <c r="B657" s="19" t="str">
        <f t="shared" si="10"/>
        <v>__</v>
      </c>
      <c r="C657" s="18"/>
      <c r="D657" s="18"/>
      <c r="E657" s="18"/>
      <c r="F657" s="20"/>
      <c r="G657" s="21"/>
    </row>
    <row r="658" spans="2:7" x14ac:dyDescent="0.15">
      <c r="B658" s="19" t="str">
        <f t="shared" si="10"/>
        <v>__</v>
      </c>
      <c r="C658" s="18"/>
      <c r="D658" s="18"/>
      <c r="E658" s="18"/>
      <c r="F658" s="20"/>
      <c r="G658" s="21"/>
    </row>
    <row r="659" spans="2:7" x14ac:dyDescent="0.15">
      <c r="B659" s="19" t="str">
        <f t="shared" si="10"/>
        <v>__</v>
      </c>
      <c r="C659" s="18"/>
      <c r="D659" s="18"/>
      <c r="E659" s="18"/>
      <c r="F659" s="20"/>
      <c r="G659" s="21"/>
    </row>
    <row r="660" spans="2:7" x14ac:dyDescent="0.15">
      <c r="B660" s="19" t="str">
        <f t="shared" si="10"/>
        <v>__</v>
      </c>
      <c r="C660" s="18"/>
      <c r="D660" s="18"/>
      <c r="E660" s="18"/>
      <c r="F660" s="20"/>
      <c r="G660" s="21"/>
    </row>
    <row r="661" spans="2:7" x14ac:dyDescent="0.15">
      <c r="B661" s="19" t="str">
        <f t="shared" si="10"/>
        <v>__</v>
      </c>
      <c r="C661" s="18"/>
      <c r="D661" s="18"/>
      <c r="E661" s="18"/>
      <c r="F661" s="20"/>
      <c r="G661" s="21"/>
    </row>
    <row r="662" spans="2:7" x14ac:dyDescent="0.15">
      <c r="B662" s="19" t="str">
        <f t="shared" si="10"/>
        <v>__</v>
      </c>
      <c r="C662" s="18"/>
      <c r="D662" s="18"/>
      <c r="E662" s="18"/>
      <c r="F662" s="20"/>
      <c r="G662" s="21"/>
    </row>
    <row r="663" spans="2:7" x14ac:dyDescent="0.15">
      <c r="B663" s="19" t="str">
        <f t="shared" si="10"/>
        <v>__</v>
      </c>
      <c r="C663" s="18"/>
      <c r="D663" s="18"/>
      <c r="E663" s="18"/>
      <c r="F663" s="20"/>
      <c r="G663" s="21"/>
    </row>
    <row r="664" spans="2:7" x14ac:dyDescent="0.15">
      <c r="B664" s="19" t="str">
        <f t="shared" si="10"/>
        <v>__</v>
      </c>
      <c r="C664" s="18"/>
      <c r="D664" s="18"/>
      <c r="E664" s="18"/>
      <c r="F664" s="20"/>
      <c r="G664" s="21"/>
    </row>
    <row r="665" spans="2:7" x14ac:dyDescent="0.15">
      <c r="B665" s="19" t="str">
        <f t="shared" si="10"/>
        <v>__</v>
      </c>
      <c r="C665" s="18"/>
      <c r="D665" s="18"/>
      <c r="E665" s="18"/>
      <c r="F665" s="20"/>
      <c r="G665" s="21"/>
    </row>
    <row r="666" spans="2:7" x14ac:dyDescent="0.15">
      <c r="B666" s="19" t="str">
        <f t="shared" si="10"/>
        <v>__</v>
      </c>
      <c r="C666" s="18"/>
      <c r="D666" s="18"/>
      <c r="E666" s="18"/>
      <c r="F666" s="20"/>
      <c r="G666" s="21"/>
    </row>
    <row r="667" spans="2:7" x14ac:dyDescent="0.15">
      <c r="B667" s="19" t="str">
        <f t="shared" si="10"/>
        <v>__</v>
      </c>
      <c r="C667" s="18"/>
      <c r="D667" s="18"/>
      <c r="E667" s="18"/>
      <c r="F667" s="20"/>
      <c r="G667" s="21"/>
    </row>
    <row r="668" spans="2:7" x14ac:dyDescent="0.15">
      <c r="B668" s="19" t="str">
        <f t="shared" si="10"/>
        <v>__</v>
      </c>
      <c r="C668" s="18"/>
      <c r="D668" s="18"/>
      <c r="E668" s="18"/>
      <c r="F668" s="20"/>
      <c r="G668" s="21"/>
    </row>
    <row r="669" spans="2:7" x14ac:dyDescent="0.15">
      <c r="B669" s="19" t="str">
        <f t="shared" si="10"/>
        <v>__</v>
      </c>
      <c r="C669" s="18"/>
      <c r="D669" s="18"/>
      <c r="E669" s="18"/>
      <c r="F669" s="20"/>
      <c r="G669" s="21"/>
    </row>
    <row r="670" spans="2:7" x14ac:dyDescent="0.15">
      <c r="B670" s="19" t="str">
        <f t="shared" si="10"/>
        <v>__</v>
      </c>
      <c r="C670" s="18"/>
      <c r="D670" s="18"/>
      <c r="E670" s="18"/>
      <c r="F670" s="20"/>
      <c r="G670" s="21"/>
    </row>
    <row r="671" spans="2:7" x14ac:dyDescent="0.15">
      <c r="B671" s="19" t="str">
        <f t="shared" si="10"/>
        <v>__</v>
      </c>
      <c r="C671" s="18"/>
      <c r="D671" s="18"/>
      <c r="E671" s="18"/>
      <c r="F671" s="20"/>
      <c r="G671" s="21"/>
    </row>
    <row r="672" spans="2:7" x14ac:dyDescent="0.15">
      <c r="B672" s="19" t="str">
        <f t="shared" si="10"/>
        <v>__</v>
      </c>
      <c r="C672" s="18"/>
      <c r="D672" s="18"/>
      <c r="E672" s="18"/>
      <c r="F672" s="20"/>
      <c r="G672" s="21"/>
    </row>
    <row r="673" spans="2:7" x14ac:dyDescent="0.15">
      <c r="B673" s="19" t="str">
        <f t="shared" si="10"/>
        <v>__</v>
      </c>
      <c r="C673" s="18"/>
      <c r="D673" s="18"/>
      <c r="E673" s="18"/>
      <c r="F673" s="20"/>
      <c r="G673" s="21"/>
    </row>
    <row r="674" spans="2:7" x14ac:dyDescent="0.15">
      <c r="B674" s="19" t="str">
        <f t="shared" si="10"/>
        <v>__</v>
      </c>
      <c r="C674" s="18"/>
      <c r="D674" s="18"/>
      <c r="E674" s="18"/>
      <c r="F674" s="20"/>
      <c r="G674" s="21"/>
    </row>
    <row r="675" spans="2:7" x14ac:dyDescent="0.15">
      <c r="B675" s="19" t="str">
        <f t="shared" si="10"/>
        <v>__</v>
      </c>
      <c r="C675" s="18"/>
      <c r="D675" s="18"/>
      <c r="E675" s="18"/>
      <c r="F675" s="20"/>
      <c r="G675" s="21"/>
    </row>
    <row r="676" spans="2:7" x14ac:dyDescent="0.15">
      <c r="B676" s="19" t="str">
        <f t="shared" si="10"/>
        <v>__</v>
      </c>
      <c r="C676" s="18"/>
      <c r="D676" s="18"/>
      <c r="E676" s="18"/>
      <c r="F676" s="20"/>
      <c r="G676" s="21"/>
    </row>
    <row r="677" spans="2:7" x14ac:dyDescent="0.15">
      <c r="B677" s="19" t="str">
        <f t="shared" si="10"/>
        <v>__</v>
      </c>
      <c r="C677" s="18"/>
      <c r="D677" s="18"/>
      <c r="E677" s="18"/>
      <c r="F677" s="20"/>
      <c r="G677" s="21"/>
    </row>
    <row r="678" spans="2:7" x14ac:dyDescent="0.15">
      <c r="B678" s="19" t="str">
        <f t="shared" si="10"/>
        <v>__</v>
      </c>
      <c r="C678" s="18"/>
      <c r="D678" s="18"/>
      <c r="E678" s="18"/>
      <c r="F678" s="20"/>
      <c r="G678" s="21"/>
    </row>
    <row r="679" spans="2:7" x14ac:dyDescent="0.15">
      <c r="B679" s="19" t="str">
        <f t="shared" si="10"/>
        <v>__</v>
      </c>
      <c r="C679" s="18"/>
      <c r="D679" s="18"/>
      <c r="E679" s="18"/>
      <c r="F679" s="20"/>
      <c r="G679" s="21"/>
    </row>
    <row r="680" spans="2:7" x14ac:dyDescent="0.15">
      <c r="B680" s="19" t="str">
        <f t="shared" si="10"/>
        <v>__</v>
      </c>
      <c r="C680" s="18"/>
      <c r="D680" s="18"/>
      <c r="E680" s="18"/>
      <c r="F680" s="20"/>
      <c r="G680" s="21"/>
    </row>
    <row r="681" spans="2:7" x14ac:dyDescent="0.15">
      <c r="B681" s="19" t="str">
        <f t="shared" si="10"/>
        <v>__</v>
      </c>
      <c r="C681" s="18"/>
      <c r="D681" s="18"/>
      <c r="E681" s="18"/>
      <c r="F681" s="20"/>
      <c r="G681" s="21"/>
    </row>
    <row r="682" spans="2:7" x14ac:dyDescent="0.15">
      <c r="B682" s="19" t="str">
        <f t="shared" si="10"/>
        <v>__</v>
      </c>
      <c r="C682" s="18"/>
      <c r="D682" s="18"/>
      <c r="E682" s="18"/>
      <c r="F682" s="20"/>
      <c r="G682" s="21"/>
    </row>
    <row r="683" spans="2:7" x14ac:dyDescent="0.15">
      <c r="B683" s="19" t="str">
        <f t="shared" si="10"/>
        <v>__</v>
      </c>
      <c r="C683" s="18"/>
      <c r="D683" s="18"/>
      <c r="E683" s="18"/>
      <c r="F683" s="20"/>
      <c r="G683" s="21"/>
    </row>
    <row r="684" spans="2:7" x14ac:dyDescent="0.15">
      <c r="B684" s="19" t="str">
        <f t="shared" si="10"/>
        <v>__</v>
      </c>
      <c r="C684" s="18"/>
      <c r="D684" s="18"/>
      <c r="E684" s="18"/>
      <c r="F684" s="20"/>
      <c r="G684" s="21"/>
    </row>
    <row r="685" spans="2:7" x14ac:dyDescent="0.15">
      <c r="B685" s="19" t="str">
        <f t="shared" si="10"/>
        <v>__</v>
      </c>
      <c r="C685" s="18"/>
      <c r="D685" s="18"/>
      <c r="E685" s="18"/>
      <c r="F685" s="20"/>
      <c r="G685" s="21"/>
    </row>
    <row r="686" spans="2:7" x14ac:dyDescent="0.15">
      <c r="B686" s="19" t="str">
        <f t="shared" si="10"/>
        <v>__</v>
      </c>
      <c r="C686" s="18"/>
      <c r="D686" s="18"/>
      <c r="E686" s="18"/>
      <c r="F686" s="20"/>
      <c r="G686" s="21"/>
    </row>
    <row r="687" spans="2:7" x14ac:dyDescent="0.15">
      <c r="B687" s="19" t="str">
        <f t="shared" si="10"/>
        <v>__</v>
      </c>
      <c r="C687" s="18"/>
      <c r="D687" s="18"/>
      <c r="E687" s="18"/>
      <c r="F687" s="20"/>
      <c r="G687" s="21"/>
    </row>
    <row r="688" spans="2:7" x14ac:dyDescent="0.15">
      <c r="B688" s="19" t="str">
        <f t="shared" si="10"/>
        <v>__</v>
      </c>
      <c r="C688" s="18"/>
      <c r="D688" s="18"/>
      <c r="E688" s="18"/>
      <c r="F688" s="20"/>
      <c r="G688" s="21"/>
    </row>
    <row r="689" spans="2:7" x14ac:dyDescent="0.15">
      <c r="B689" s="19" t="str">
        <f t="shared" si="10"/>
        <v>__</v>
      </c>
      <c r="C689" s="18"/>
      <c r="D689" s="18"/>
      <c r="E689" s="18"/>
      <c r="F689" s="20"/>
      <c r="G689" s="21"/>
    </row>
    <row r="690" spans="2:7" x14ac:dyDescent="0.15">
      <c r="B690" s="19" t="str">
        <f t="shared" si="10"/>
        <v>__</v>
      </c>
      <c r="C690" s="18"/>
      <c r="D690" s="18"/>
      <c r="E690" s="18"/>
      <c r="F690" s="20"/>
      <c r="G690" s="21"/>
    </row>
    <row r="691" spans="2:7" x14ac:dyDescent="0.15">
      <c r="B691" s="19" t="str">
        <f t="shared" si="10"/>
        <v>__</v>
      </c>
      <c r="C691" s="18"/>
      <c r="D691" s="18"/>
      <c r="E691" s="18"/>
      <c r="F691" s="20"/>
      <c r="G691" s="21"/>
    </row>
    <row r="692" spans="2:7" x14ac:dyDescent="0.15">
      <c r="B692" s="19" t="str">
        <f t="shared" si="10"/>
        <v>__</v>
      </c>
      <c r="C692" s="18"/>
      <c r="D692" s="18"/>
      <c r="E692" s="18"/>
      <c r="F692" s="20"/>
      <c r="G692" s="21"/>
    </row>
    <row r="693" spans="2:7" x14ac:dyDescent="0.15">
      <c r="B693" s="19" t="str">
        <f t="shared" si="10"/>
        <v>__</v>
      </c>
      <c r="C693" s="18"/>
      <c r="D693" s="18"/>
      <c r="E693" s="18"/>
      <c r="F693" s="20"/>
      <c r="G693" s="21"/>
    </row>
    <row r="694" spans="2:7" x14ac:dyDescent="0.15">
      <c r="B694" s="19" t="str">
        <f t="shared" si="10"/>
        <v>__</v>
      </c>
      <c r="C694" s="18"/>
      <c r="D694" s="18"/>
      <c r="E694" s="18"/>
      <c r="F694" s="20"/>
      <c r="G694" s="21"/>
    </row>
    <row r="695" spans="2:7" x14ac:dyDescent="0.15">
      <c r="B695" s="19" t="str">
        <f t="shared" si="10"/>
        <v>__</v>
      </c>
      <c r="C695" s="18"/>
      <c r="D695" s="18"/>
      <c r="E695" s="18"/>
      <c r="F695" s="20"/>
      <c r="G695" s="21"/>
    </row>
    <row r="696" spans="2:7" x14ac:dyDescent="0.15">
      <c r="B696" s="19" t="str">
        <f t="shared" si="10"/>
        <v>__</v>
      </c>
      <c r="C696" s="18"/>
      <c r="D696" s="18"/>
      <c r="E696" s="18"/>
      <c r="F696" s="20"/>
      <c r="G696" s="21"/>
    </row>
    <row r="697" spans="2:7" x14ac:dyDescent="0.15">
      <c r="B697" s="19" t="str">
        <f t="shared" si="10"/>
        <v>__</v>
      </c>
      <c r="C697" s="18"/>
      <c r="D697" s="18"/>
      <c r="E697" s="18"/>
      <c r="F697" s="20"/>
      <c r="G697" s="21"/>
    </row>
    <row r="698" spans="2:7" x14ac:dyDescent="0.15">
      <c r="B698" s="19" t="str">
        <f t="shared" si="10"/>
        <v>__</v>
      </c>
      <c r="C698" s="18"/>
      <c r="D698" s="18"/>
      <c r="E698" s="18"/>
      <c r="F698" s="20"/>
      <c r="G698" s="21"/>
    </row>
    <row r="699" spans="2:7" x14ac:dyDescent="0.15">
      <c r="B699" s="19" t="str">
        <f t="shared" si="10"/>
        <v>__</v>
      </c>
      <c r="C699" s="18"/>
      <c r="D699" s="18"/>
      <c r="E699" s="18"/>
      <c r="F699" s="20"/>
      <c r="G699" s="21"/>
    </row>
    <row r="700" spans="2:7" x14ac:dyDescent="0.15">
      <c r="B700" s="19" t="str">
        <f t="shared" si="10"/>
        <v>__</v>
      </c>
      <c r="C700" s="18"/>
      <c r="D700" s="18"/>
      <c r="E700" s="18"/>
      <c r="F700" s="20"/>
      <c r="G700" s="21"/>
    </row>
    <row r="701" spans="2:7" x14ac:dyDescent="0.15">
      <c r="B701" s="19" t="str">
        <f t="shared" si="10"/>
        <v>__</v>
      </c>
      <c r="C701" s="18"/>
      <c r="D701" s="18"/>
      <c r="E701" s="18"/>
      <c r="F701" s="20"/>
      <c r="G701" s="21"/>
    </row>
    <row r="702" spans="2:7" x14ac:dyDescent="0.15">
      <c r="B702" s="19" t="str">
        <f t="shared" si="10"/>
        <v>__</v>
      </c>
      <c r="C702" s="18"/>
      <c r="D702" s="18"/>
      <c r="E702" s="18"/>
      <c r="F702" s="20"/>
      <c r="G702" s="21"/>
    </row>
    <row r="703" spans="2:7" x14ac:dyDescent="0.15">
      <c r="B703" s="19" t="str">
        <f t="shared" si="10"/>
        <v>__</v>
      </c>
      <c r="C703" s="18"/>
      <c r="D703" s="18"/>
      <c r="E703" s="18"/>
      <c r="F703" s="20"/>
      <c r="G703" s="21"/>
    </row>
    <row r="704" spans="2:7" x14ac:dyDescent="0.15">
      <c r="B704" s="19" t="str">
        <f t="shared" si="10"/>
        <v>__</v>
      </c>
      <c r="C704" s="18"/>
      <c r="D704" s="18"/>
      <c r="E704" s="18"/>
      <c r="F704" s="20"/>
      <c r="G704" s="21"/>
    </row>
    <row r="705" spans="2:7" x14ac:dyDescent="0.15">
      <c r="B705" s="19" t="str">
        <f t="shared" si="10"/>
        <v>__</v>
      </c>
      <c r="C705" s="18"/>
      <c r="D705" s="18"/>
      <c r="E705" s="18"/>
      <c r="F705" s="20"/>
      <c r="G705" s="21"/>
    </row>
    <row r="706" spans="2:7" x14ac:dyDescent="0.15">
      <c r="B706" s="19" t="str">
        <f t="shared" si="10"/>
        <v>__</v>
      </c>
      <c r="C706" s="18"/>
      <c r="D706" s="18"/>
      <c r="E706" s="18"/>
      <c r="F706" s="20"/>
      <c r="G706" s="21"/>
    </row>
    <row r="707" spans="2:7" x14ac:dyDescent="0.15">
      <c r="B707" s="19" t="str">
        <f t="shared" ref="B707:B747" si="11">C707&amp;"_"&amp;D707&amp;"_"&amp;E707</f>
        <v>__</v>
      </c>
      <c r="C707" s="18"/>
      <c r="D707" s="18"/>
      <c r="E707" s="18"/>
      <c r="F707" s="20"/>
      <c r="G707" s="21"/>
    </row>
    <row r="708" spans="2:7" x14ac:dyDescent="0.15">
      <c r="B708" s="19" t="str">
        <f t="shared" si="11"/>
        <v>__</v>
      </c>
      <c r="C708" s="18"/>
      <c r="D708" s="18"/>
      <c r="E708" s="18"/>
      <c r="F708" s="20"/>
      <c r="G708" s="21"/>
    </row>
    <row r="709" spans="2:7" x14ac:dyDescent="0.15">
      <c r="B709" s="19" t="str">
        <f t="shared" si="11"/>
        <v>__</v>
      </c>
      <c r="C709" s="18"/>
      <c r="D709" s="18"/>
      <c r="E709" s="18"/>
      <c r="F709" s="20"/>
      <c r="G709" s="21"/>
    </row>
    <row r="710" spans="2:7" x14ac:dyDescent="0.15">
      <c r="B710" s="19" t="str">
        <f t="shared" si="11"/>
        <v>__</v>
      </c>
      <c r="C710" s="18"/>
      <c r="D710" s="18"/>
      <c r="E710" s="18"/>
      <c r="F710" s="20"/>
      <c r="G710" s="21"/>
    </row>
    <row r="711" spans="2:7" x14ac:dyDescent="0.15">
      <c r="B711" s="19" t="str">
        <f t="shared" si="11"/>
        <v>__</v>
      </c>
      <c r="C711" s="18"/>
      <c r="D711" s="18"/>
      <c r="E711" s="18"/>
      <c r="F711" s="20"/>
      <c r="G711" s="21"/>
    </row>
    <row r="712" spans="2:7" x14ac:dyDescent="0.15">
      <c r="B712" s="19" t="str">
        <f t="shared" si="11"/>
        <v>__</v>
      </c>
      <c r="C712" s="18"/>
      <c r="D712" s="18"/>
      <c r="E712" s="18"/>
      <c r="F712" s="20"/>
      <c r="G712" s="21"/>
    </row>
    <row r="713" spans="2:7" x14ac:dyDescent="0.15">
      <c r="B713" s="19" t="str">
        <f t="shared" si="11"/>
        <v>__</v>
      </c>
      <c r="C713" s="18"/>
      <c r="D713" s="18"/>
      <c r="E713" s="18"/>
      <c r="F713" s="20"/>
      <c r="G713" s="21"/>
    </row>
    <row r="714" spans="2:7" x14ac:dyDescent="0.15">
      <c r="B714" s="19" t="str">
        <f t="shared" si="11"/>
        <v>__</v>
      </c>
      <c r="C714" s="18"/>
      <c r="D714" s="18"/>
      <c r="E714" s="18"/>
      <c r="F714" s="20"/>
      <c r="G714" s="21"/>
    </row>
    <row r="715" spans="2:7" x14ac:dyDescent="0.15">
      <c r="B715" s="19" t="str">
        <f t="shared" si="11"/>
        <v>__</v>
      </c>
      <c r="C715" s="18"/>
      <c r="D715" s="18"/>
      <c r="E715" s="18"/>
      <c r="F715" s="20"/>
      <c r="G715" s="21"/>
    </row>
    <row r="716" spans="2:7" x14ac:dyDescent="0.15">
      <c r="B716" s="19" t="str">
        <f t="shared" si="11"/>
        <v>__</v>
      </c>
      <c r="C716" s="18"/>
      <c r="D716" s="18"/>
      <c r="E716" s="18"/>
      <c r="F716" s="20"/>
      <c r="G716" s="21"/>
    </row>
    <row r="717" spans="2:7" x14ac:dyDescent="0.15">
      <c r="B717" s="19" t="str">
        <f t="shared" si="11"/>
        <v>__</v>
      </c>
      <c r="C717" s="18"/>
      <c r="D717" s="18"/>
      <c r="E717" s="18"/>
      <c r="F717" s="20"/>
      <c r="G717" s="21"/>
    </row>
    <row r="718" spans="2:7" x14ac:dyDescent="0.15">
      <c r="B718" s="19" t="str">
        <f t="shared" si="11"/>
        <v>__</v>
      </c>
      <c r="C718" s="18"/>
      <c r="D718" s="18"/>
      <c r="E718" s="18"/>
      <c r="F718" s="20"/>
      <c r="G718" s="21"/>
    </row>
    <row r="719" spans="2:7" x14ac:dyDescent="0.15">
      <c r="B719" s="19" t="str">
        <f t="shared" si="11"/>
        <v>__</v>
      </c>
      <c r="C719" s="18"/>
      <c r="D719" s="18"/>
      <c r="E719" s="18"/>
      <c r="F719" s="20"/>
      <c r="G719" s="21"/>
    </row>
    <row r="720" spans="2:7" x14ac:dyDescent="0.15">
      <c r="B720" s="19" t="str">
        <f t="shared" si="11"/>
        <v>__</v>
      </c>
      <c r="C720" s="18"/>
      <c r="D720" s="18"/>
      <c r="E720" s="18"/>
      <c r="F720" s="20"/>
      <c r="G720" s="21"/>
    </row>
    <row r="721" spans="2:7" x14ac:dyDescent="0.15">
      <c r="B721" s="19" t="str">
        <f t="shared" si="11"/>
        <v>__</v>
      </c>
      <c r="C721" s="18"/>
      <c r="D721" s="18"/>
      <c r="E721" s="18"/>
      <c r="F721" s="20"/>
      <c r="G721" s="21"/>
    </row>
    <row r="722" spans="2:7" x14ac:dyDescent="0.15">
      <c r="B722" s="19" t="str">
        <f t="shared" si="11"/>
        <v>__</v>
      </c>
      <c r="C722" s="18"/>
      <c r="D722" s="18"/>
      <c r="E722" s="18"/>
      <c r="F722" s="20"/>
      <c r="G722" s="21"/>
    </row>
    <row r="723" spans="2:7" x14ac:dyDescent="0.15">
      <c r="B723" s="19" t="str">
        <f t="shared" si="11"/>
        <v>__</v>
      </c>
      <c r="C723" s="18"/>
      <c r="D723" s="18"/>
      <c r="E723" s="18"/>
      <c r="F723" s="20"/>
      <c r="G723" s="21"/>
    </row>
    <row r="724" spans="2:7" x14ac:dyDescent="0.15">
      <c r="B724" s="19" t="str">
        <f t="shared" si="11"/>
        <v>__</v>
      </c>
      <c r="C724" s="18"/>
      <c r="D724" s="18"/>
      <c r="E724" s="18"/>
      <c r="F724" s="20"/>
      <c r="G724" s="21"/>
    </row>
    <row r="725" spans="2:7" x14ac:dyDescent="0.15">
      <c r="B725" s="19" t="str">
        <f t="shared" si="11"/>
        <v>__</v>
      </c>
      <c r="C725" s="18"/>
      <c r="D725" s="18"/>
      <c r="E725" s="18"/>
      <c r="F725" s="20"/>
      <c r="G725" s="21"/>
    </row>
    <row r="726" spans="2:7" x14ac:dyDescent="0.15">
      <c r="B726" s="19" t="str">
        <f t="shared" si="11"/>
        <v>__</v>
      </c>
      <c r="C726" s="18"/>
      <c r="D726" s="18"/>
      <c r="E726" s="18"/>
      <c r="F726" s="20"/>
      <c r="G726" s="21"/>
    </row>
    <row r="727" spans="2:7" x14ac:dyDescent="0.15">
      <c r="B727" s="19" t="str">
        <f t="shared" si="11"/>
        <v>__</v>
      </c>
      <c r="C727" s="18"/>
      <c r="D727" s="18"/>
      <c r="E727" s="18"/>
      <c r="F727" s="20"/>
      <c r="G727" s="21"/>
    </row>
    <row r="728" spans="2:7" x14ac:dyDescent="0.15">
      <c r="B728" s="19" t="str">
        <f t="shared" si="11"/>
        <v>__</v>
      </c>
      <c r="C728" s="18"/>
      <c r="D728" s="18"/>
      <c r="E728" s="18"/>
      <c r="F728" s="20"/>
      <c r="G728" s="21"/>
    </row>
    <row r="729" spans="2:7" x14ac:dyDescent="0.15">
      <c r="B729" s="19" t="str">
        <f t="shared" si="11"/>
        <v>__</v>
      </c>
      <c r="C729" s="18"/>
      <c r="D729" s="18"/>
      <c r="E729" s="18"/>
      <c r="F729" s="20"/>
      <c r="G729" s="21"/>
    </row>
    <row r="730" spans="2:7" x14ac:dyDescent="0.15">
      <c r="B730" s="19" t="str">
        <f t="shared" si="11"/>
        <v>__</v>
      </c>
      <c r="C730" s="18"/>
      <c r="D730" s="18"/>
      <c r="E730" s="18"/>
      <c r="F730" s="20"/>
      <c r="G730" s="21"/>
    </row>
    <row r="731" spans="2:7" x14ac:dyDescent="0.15">
      <c r="B731" s="19" t="str">
        <f t="shared" si="11"/>
        <v>__</v>
      </c>
      <c r="C731" s="18"/>
      <c r="D731" s="18"/>
      <c r="E731" s="18"/>
      <c r="F731" s="20"/>
      <c r="G731" s="21"/>
    </row>
    <row r="732" spans="2:7" x14ac:dyDescent="0.15">
      <c r="B732" s="19" t="str">
        <f t="shared" si="11"/>
        <v>__</v>
      </c>
      <c r="C732" s="18"/>
      <c r="D732" s="18"/>
      <c r="E732" s="18"/>
      <c r="F732" s="20"/>
      <c r="G732" s="21"/>
    </row>
    <row r="733" spans="2:7" x14ac:dyDescent="0.15">
      <c r="B733" s="19" t="str">
        <f t="shared" si="11"/>
        <v>__</v>
      </c>
      <c r="C733" s="18"/>
      <c r="D733" s="18"/>
      <c r="E733" s="18"/>
      <c r="F733" s="20"/>
      <c r="G733" s="21"/>
    </row>
    <row r="734" spans="2:7" x14ac:dyDescent="0.15">
      <c r="B734" s="19" t="str">
        <f t="shared" si="11"/>
        <v>__</v>
      </c>
      <c r="C734" s="18"/>
      <c r="D734" s="18"/>
      <c r="E734" s="18"/>
      <c r="F734" s="20"/>
      <c r="G734" s="21"/>
    </row>
    <row r="735" spans="2:7" x14ac:dyDescent="0.15">
      <c r="B735" s="19" t="str">
        <f t="shared" si="11"/>
        <v>__</v>
      </c>
      <c r="C735" s="18"/>
      <c r="D735" s="18"/>
      <c r="E735" s="18"/>
      <c r="F735" s="20"/>
      <c r="G735" s="21"/>
    </row>
    <row r="736" spans="2:7" x14ac:dyDescent="0.15">
      <c r="B736" s="19" t="str">
        <f t="shared" si="11"/>
        <v>__</v>
      </c>
      <c r="C736" s="18"/>
      <c r="D736" s="18"/>
      <c r="E736" s="18"/>
      <c r="F736" s="20"/>
      <c r="G736" s="21"/>
    </row>
    <row r="737" spans="2:7" x14ac:dyDescent="0.15">
      <c r="B737" s="19" t="str">
        <f t="shared" si="11"/>
        <v>__</v>
      </c>
      <c r="C737" s="18"/>
      <c r="D737" s="18"/>
      <c r="E737" s="18"/>
      <c r="F737" s="20"/>
      <c r="G737" s="21"/>
    </row>
    <row r="738" spans="2:7" x14ac:dyDescent="0.15">
      <c r="B738" s="19" t="str">
        <f t="shared" si="11"/>
        <v>__</v>
      </c>
      <c r="C738" s="18"/>
      <c r="D738" s="18"/>
      <c r="E738" s="18"/>
      <c r="F738" s="20"/>
      <c r="G738" s="21"/>
    </row>
    <row r="739" spans="2:7" x14ac:dyDescent="0.15">
      <c r="B739" s="19" t="str">
        <f t="shared" si="11"/>
        <v>__</v>
      </c>
      <c r="C739" s="18"/>
      <c r="D739" s="18"/>
      <c r="E739" s="18"/>
      <c r="F739" s="20"/>
      <c r="G739" s="21"/>
    </row>
    <row r="740" spans="2:7" x14ac:dyDescent="0.15">
      <c r="B740" s="19" t="str">
        <f t="shared" si="11"/>
        <v>__</v>
      </c>
      <c r="C740" s="18"/>
      <c r="D740" s="18"/>
      <c r="E740" s="18"/>
      <c r="F740" s="20"/>
      <c r="G740" s="21"/>
    </row>
    <row r="741" spans="2:7" x14ac:dyDescent="0.15">
      <c r="B741" s="19" t="str">
        <f t="shared" si="11"/>
        <v>__</v>
      </c>
      <c r="C741" s="18"/>
      <c r="D741" s="18"/>
      <c r="E741" s="18"/>
      <c r="F741" s="20"/>
      <c r="G741" s="21"/>
    </row>
    <row r="742" spans="2:7" x14ac:dyDescent="0.15">
      <c r="B742" s="19" t="str">
        <f t="shared" si="11"/>
        <v>__</v>
      </c>
      <c r="C742" s="18"/>
      <c r="D742" s="18"/>
      <c r="E742" s="18"/>
      <c r="F742" s="20"/>
      <c r="G742" s="21"/>
    </row>
    <row r="743" spans="2:7" x14ac:dyDescent="0.15">
      <c r="B743" s="19" t="str">
        <f t="shared" si="11"/>
        <v>__</v>
      </c>
      <c r="C743" s="18"/>
      <c r="D743" s="18"/>
      <c r="E743" s="18"/>
      <c r="F743" s="20"/>
      <c r="G743" s="21"/>
    </row>
    <row r="744" spans="2:7" x14ac:dyDescent="0.15">
      <c r="B744" s="19" t="str">
        <f t="shared" si="11"/>
        <v>__</v>
      </c>
      <c r="C744" s="18"/>
      <c r="D744" s="18"/>
      <c r="E744" s="18"/>
      <c r="F744" s="20"/>
      <c r="G744" s="21"/>
    </row>
    <row r="745" spans="2:7" x14ac:dyDescent="0.15">
      <c r="B745" s="19" t="str">
        <f t="shared" si="11"/>
        <v>__</v>
      </c>
      <c r="C745" s="18"/>
      <c r="D745" s="18"/>
      <c r="E745" s="18"/>
      <c r="F745" s="20"/>
      <c r="G745" s="21"/>
    </row>
    <row r="746" spans="2:7" x14ac:dyDescent="0.15">
      <c r="B746" s="19" t="str">
        <f t="shared" si="11"/>
        <v>__</v>
      </c>
      <c r="C746" s="18"/>
      <c r="D746" s="18"/>
      <c r="E746" s="18"/>
      <c r="F746" s="20"/>
      <c r="G746" s="21"/>
    </row>
    <row r="747" spans="2:7" x14ac:dyDescent="0.15">
      <c r="B747" s="19" t="str">
        <f t="shared" si="11"/>
        <v>__</v>
      </c>
      <c r="C747" s="18"/>
      <c r="D747" s="18"/>
      <c r="E747" s="18"/>
      <c r="F747" s="20"/>
      <c r="G747" s="21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DG747"/>
  <sheetViews>
    <sheetView showGridLines="0" topLeftCell="A172" workbookViewId="0">
      <selection activeCell="H201" sqref="H201"/>
    </sheetView>
  </sheetViews>
  <sheetFormatPr defaultRowHeight="16.5" x14ac:dyDescent="0.15"/>
  <cols>
    <col min="1" max="16384" width="9" style="19"/>
  </cols>
  <sheetData>
    <row r="1" spans="2:111" x14ac:dyDescent="0.15">
      <c r="C1" s="18" t="s">
        <v>11</v>
      </c>
      <c r="D1" s="18" t="s">
        <v>12</v>
      </c>
      <c r="E1" s="18" t="s">
        <v>13</v>
      </c>
      <c r="F1" s="18">
        <v>1</v>
      </c>
      <c r="G1" s="18">
        <v>2</v>
      </c>
      <c r="H1" s="18">
        <v>3</v>
      </c>
      <c r="I1" s="18">
        <v>4</v>
      </c>
      <c r="J1" s="18">
        <v>5</v>
      </c>
      <c r="K1" s="18">
        <v>6</v>
      </c>
      <c r="L1" s="18">
        <v>7</v>
      </c>
      <c r="M1" s="18">
        <v>8</v>
      </c>
      <c r="N1" s="18">
        <v>9</v>
      </c>
      <c r="O1" s="18">
        <v>10</v>
      </c>
      <c r="P1" s="18">
        <v>11</v>
      </c>
      <c r="Q1" s="18">
        <v>12</v>
      </c>
      <c r="R1" s="18">
        <v>13</v>
      </c>
      <c r="S1" s="18">
        <v>14</v>
      </c>
      <c r="T1" s="18">
        <v>15</v>
      </c>
      <c r="U1" s="18">
        <v>16</v>
      </c>
      <c r="V1" s="18">
        <v>17</v>
      </c>
      <c r="W1" s="18">
        <v>18</v>
      </c>
      <c r="X1" s="18">
        <v>19</v>
      </c>
      <c r="Y1" s="18">
        <v>20</v>
      </c>
      <c r="Z1" s="18">
        <v>21</v>
      </c>
      <c r="AA1" s="18">
        <v>22</v>
      </c>
      <c r="AB1" s="18">
        <v>23</v>
      </c>
      <c r="AC1" s="18">
        <v>24</v>
      </c>
      <c r="AD1" s="18">
        <v>25</v>
      </c>
      <c r="AE1" s="18">
        <v>26</v>
      </c>
      <c r="AF1" s="18">
        <v>27</v>
      </c>
      <c r="AG1" s="18">
        <v>28</v>
      </c>
      <c r="AH1" s="18">
        <v>29</v>
      </c>
      <c r="AI1" s="18">
        <v>30</v>
      </c>
      <c r="AJ1" s="18">
        <v>31</v>
      </c>
      <c r="AK1" s="18">
        <v>32</v>
      </c>
      <c r="AL1" s="18">
        <v>33</v>
      </c>
      <c r="AM1" s="18">
        <v>34</v>
      </c>
      <c r="AN1" s="18">
        <v>35</v>
      </c>
      <c r="AO1" s="18">
        <v>36</v>
      </c>
      <c r="AP1" s="18">
        <v>37</v>
      </c>
      <c r="AQ1" s="18">
        <v>38</v>
      </c>
      <c r="AR1" s="18">
        <v>39</v>
      </c>
      <c r="AS1" s="18">
        <v>40</v>
      </c>
      <c r="AT1" s="18">
        <v>41</v>
      </c>
      <c r="AU1" s="18">
        <v>42</v>
      </c>
      <c r="AV1" s="18">
        <v>43</v>
      </c>
      <c r="AW1" s="18">
        <v>44</v>
      </c>
      <c r="AX1" s="18">
        <v>45</v>
      </c>
      <c r="AY1" s="18">
        <v>46</v>
      </c>
      <c r="AZ1" s="18">
        <v>47</v>
      </c>
      <c r="BA1" s="18">
        <v>48</v>
      </c>
      <c r="BB1" s="18">
        <v>49</v>
      </c>
      <c r="BC1" s="18">
        <v>50</v>
      </c>
      <c r="BD1" s="18">
        <v>51</v>
      </c>
      <c r="BE1" s="18">
        <v>52</v>
      </c>
      <c r="BF1" s="18">
        <v>53</v>
      </c>
      <c r="BG1" s="18">
        <v>54</v>
      </c>
      <c r="BH1" s="18">
        <v>55</v>
      </c>
      <c r="BI1" s="18">
        <v>56</v>
      </c>
      <c r="BJ1" s="18">
        <v>57</v>
      </c>
      <c r="BK1" s="18">
        <v>58</v>
      </c>
      <c r="BL1" s="18">
        <v>59</v>
      </c>
      <c r="BM1" s="18">
        <v>60</v>
      </c>
      <c r="BN1" s="18">
        <v>61</v>
      </c>
      <c r="BO1" s="18">
        <v>62</v>
      </c>
      <c r="BP1" s="18">
        <v>63</v>
      </c>
      <c r="BQ1" s="18">
        <v>64</v>
      </c>
      <c r="BR1" s="18">
        <v>65</v>
      </c>
      <c r="BS1" s="18">
        <v>66</v>
      </c>
      <c r="BT1" s="18">
        <v>67</v>
      </c>
      <c r="BU1" s="18">
        <v>68</v>
      </c>
      <c r="BV1" s="18">
        <v>69</v>
      </c>
      <c r="BW1" s="18">
        <v>70</v>
      </c>
      <c r="BX1" s="18">
        <v>71</v>
      </c>
      <c r="BY1" s="18">
        <v>72</v>
      </c>
      <c r="BZ1" s="18">
        <v>73</v>
      </c>
      <c r="CA1" s="18">
        <v>74</v>
      </c>
      <c r="CB1" s="18">
        <v>75</v>
      </c>
      <c r="CC1" s="18">
        <v>76</v>
      </c>
      <c r="CD1" s="18">
        <v>77</v>
      </c>
      <c r="CE1" s="18">
        <v>78</v>
      </c>
      <c r="CF1" s="18">
        <v>79</v>
      </c>
      <c r="CG1" s="18">
        <v>80</v>
      </c>
      <c r="CH1" s="18">
        <v>81</v>
      </c>
      <c r="CI1" s="18">
        <v>82</v>
      </c>
      <c r="CJ1" s="18">
        <v>83</v>
      </c>
      <c r="CK1" s="18">
        <v>84</v>
      </c>
      <c r="CL1" s="18">
        <v>85</v>
      </c>
      <c r="CM1" s="18">
        <v>86</v>
      </c>
      <c r="CN1" s="18">
        <v>87</v>
      </c>
      <c r="CO1" s="18">
        <v>88</v>
      </c>
      <c r="CP1" s="18">
        <v>89</v>
      </c>
      <c r="CQ1" s="18">
        <v>90</v>
      </c>
      <c r="CR1" s="18">
        <v>91</v>
      </c>
      <c r="CS1" s="18">
        <v>92</v>
      </c>
      <c r="CT1" s="18">
        <v>93</v>
      </c>
      <c r="CU1" s="18">
        <v>94</v>
      </c>
      <c r="CV1" s="18">
        <v>95</v>
      </c>
      <c r="CW1" s="18">
        <v>96</v>
      </c>
      <c r="CX1" s="18">
        <v>97</v>
      </c>
      <c r="CY1" s="18">
        <v>98</v>
      </c>
      <c r="CZ1" s="18">
        <v>99</v>
      </c>
      <c r="DA1" s="18">
        <v>100</v>
      </c>
      <c r="DB1" s="18">
        <v>101</v>
      </c>
      <c r="DC1" s="18">
        <v>102</v>
      </c>
      <c r="DD1" s="18">
        <v>103</v>
      </c>
      <c r="DE1" s="18">
        <v>104</v>
      </c>
      <c r="DF1" s="18">
        <v>105</v>
      </c>
      <c r="DG1" s="18">
        <v>106</v>
      </c>
    </row>
    <row r="2" spans="2:111" x14ac:dyDescent="0.15">
      <c r="B2" s="19" t="str">
        <f>C2&amp;"_"&amp;D2&amp;"_"&amp;E2</f>
        <v>1_男_0</v>
      </c>
      <c r="C2" s="18">
        <v>1</v>
      </c>
      <c r="D2" s="18" t="s">
        <v>9</v>
      </c>
      <c r="E2" s="18">
        <v>0</v>
      </c>
      <c r="F2" s="19">
        <v>17891.900000000001</v>
      </c>
      <c r="G2" s="19">
        <v>18779.7</v>
      </c>
      <c r="H2" s="19">
        <v>19713.900000000001</v>
      </c>
      <c r="I2" s="19">
        <v>20696</v>
      </c>
      <c r="J2" s="19">
        <v>20728.2</v>
      </c>
      <c r="K2" s="19">
        <v>20762.3</v>
      </c>
      <c r="L2" s="19">
        <v>20798.3</v>
      </c>
      <c r="M2" s="19">
        <v>20836.2</v>
      </c>
      <c r="N2" s="19">
        <v>20876</v>
      </c>
      <c r="O2" s="19">
        <v>20917.8</v>
      </c>
      <c r="P2" s="19">
        <v>20961.599999999999</v>
      </c>
      <c r="Q2" s="19">
        <v>21007.4</v>
      </c>
      <c r="R2" s="19">
        <v>21055.200000000001</v>
      </c>
      <c r="S2" s="19">
        <v>21105.3</v>
      </c>
      <c r="T2" s="19">
        <v>21157.7</v>
      </c>
      <c r="U2" s="19">
        <v>21212.400000000001</v>
      </c>
      <c r="V2" s="19">
        <v>21269.7</v>
      </c>
      <c r="W2" s="19">
        <v>21329.7</v>
      </c>
      <c r="X2" s="19">
        <v>21392.6</v>
      </c>
      <c r="Y2" s="19">
        <v>21458.5</v>
      </c>
      <c r="Z2" s="19">
        <v>21527.5</v>
      </c>
      <c r="AA2" s="19">
        <v>21599.8</v>
      </c>
      <c r="AB2" s="19">
        <v>21675.599999999999</v>
      </c>
      <c r="AC2" s="19">
        <v>21755.1</v>
      </c>
      <c r="AD2" s="19">
        <v>21838.3</v>
      </c>
      <c r="AE2" s="19">
        <v>21925.599999999999</v>
      </c>
      <c r="AF2" s="19">
        <v>22017</v>
      </c>
      <c r="AG2" s="19">
        <v>22112.7</v>
      </c>
      <c r="AH2" s="19">
        <v>22213</v>
      </c>
      <c r="AI2" s="19">
        <v>22318.1</v>
      </c>
      <c r="AJ2" s="19">
        <v>22428.1</v>
      </c>
      <c r="AK2" s="19">
        <v>22543.200000000001</v>
      </c>
      <c r="AL2" s="19">
        <v>22663.8</v>
      </c>
      <c r="AM2" s="19">
        <v>22790</v>
      </c>
      <c r="AN2" s="19">
        <v>22922.1</v>
      </c>
      <c r="AO2" s="19">
        <v>23060.3</v>
      </c>
      <c r="AP2" s="19">
        <v>23204.9</v>
      </c>
      <c r="AQ2" s="19">
        <v>23356.1</v>
      </c>
      <c r="AR2" s="19">
        <v>23514.400000000001</v>
      </c>
      <c r="AS2" s="19">
        <v>23680</v>
      </c>
      <c r="AT2" s="19">
        <v>23853.200000000001</v>
      </c>
      <c r="AU2" s="19">
        <v>24034.400000000001</v>
      </c>
      <c r="AV2" s="19">
        <v>24223.9</v>
      </c>
      <c r="AW2" s="19">
        <v>24422.1</v>
      </c>
      <c r="AX2" s="19">
        <v>24629.5</v>
      </c>
      <c r="AY2" s="19">
        <v>24846.5</v>
      </c>
      <c r="AZ2" s="19">
        <v>25073.599999999999</v>
      </c>
      <c r="BA2" s="19">
        <v>25311.200000000001</v>
      </c>
      <c r="BB2" s="19">
        <v>25560</v>
      </c>
      <c r="BC2" s="19">
        <v>25820.5</v>
      </c>
      <c r="BD2" s="19">
        <v>26093.3</v>
      </c>
      <c r="BE2" s="19">
        <v>26379.1</v>
      </c>
      <c r="BF2" s="19">
        <v>26678.7</v>
      </c>
      <c r="BG2" s="19">
        <v>26992.9</v>
      </c>
      <c r="BH2" s="19">
        <v>27322.5</v>
      </c>
      <c r="BI2" s="19">
        <v>27668.5</v>
      </c>
      <c r="BJ2" s="19">
        <v>28031.9</v>
      </c>
      <c r="BK2" s="19">
        <v>28413.7</v>
      </c>
      <c r="BL2" s="19">
        <v>28815.3</v>
      </c>
      <c r="BM2" s="19">
        <v>28238</v>
      </c>
      <c r="BN2" s="19">
        <v>0</v>
      </c>
      <c r="BO2" s="19">
        <v>0</v>
      </c>
      <c r="BP2" s="19">
        <v>0</v>
      </c>
      <c r="BQ2" s="19">
        <v>0</v>
      </c>
      <c r="BR2" s="19">
        <v>0</v>
      </c>
      <c r="BS2" s="19">
        <v>0</v>
      </c>
      <c r="BT2" s="19">
        <v>0</v>
      </c>
      <c r="BU2" s="19">
        <v>0</v>
      </c>
      <c r="BV2" s="19">
        <v>0</v>
      </c>
      <c r="BW2" s="19">
        <v>0</v>
      </c>
      <c r="BX2" s="19">
        <v>0</v>
      </c>
      <c r="BY2" s="19">
        <v>0</v>
      </c>
      <c r="BZ2" s="19">
        <v>0</v>
      </c>
      <c r="CA2" s="19">
        <v>0</v>
      </c>
      <c r="CB2" s="19">
        <v>0</v>
      </c>
      <c r="CC2" s="19">
        <v>0</v>
      </c>
      <c r="CD2" s="19">
        <v>0</v>
      </c>
      <c r="CE2" s="19">
        <v>0</v>
      </c>
      <c r="CF2" s="19">
        <v>0</v>
      </c>
      <c r="CG2" s="19">
        <v>0</v>
      </c>
      <c r="CH2" s="19">
        <v>0</v>
      </c>
      <c r="CI2" s="19">
        <v>0</v>
      </c>
      <c r="CJ2" s="19">
        <v>0</v>
      </c>
      <c r="CK2" s="19">
        <v>0</v>
      </c>
      <c r="CL2" s="19">
        <v>0</v>
      </c>
      <c r="CM2" s="19">
        <v>0</v>
      </c>
      <c r="CN2" s="19">
        <v>0</v>
      </c>
      <c r="CO2" s="19">
        <v>0</v>
      </c>
      <c r="CP2" s="19">
        <v>0</v>
      </c>
      <c r="CQ2" s="19">
        <v>0</v>
      </c>
      <c r="CR2" s="19">
        <v>0</v>
      </c>
      <c r="CS2" s="19">
        <v>0</v>
      </c>
      <c r="CT2" s="19">
        <v>0</v>
      </c>
      <c r="CU2" s="19">
        <v>0</v>
      </c>
      <c r="CV2" s="19">
        <v>0</v>
      </c>
      <c r="CW2" s="19">
        <v>0</v>
      </c>
      <c r="CX2" s="19">
        <v>0</v>
      </c>
      <c r="CY2" s="19">
        <v>0</v>
      </c>
      <c r="CZ2" s="19">
        <v>0</v>
      </c>
      <c r="DA2" s="19">
        <v>0</v>
      </c>
      <c r="DB2" s="19">
        <v>0</v>
      </c>
      <c r="DC2" s="19">
        <v>0</v>
      </c>
      <c r="DD2" s="19">
        <v>0</v>
      </c>
      <c r="DE2" s="19">
        <v>0</v>
      </c>
      <c r="DF2" s="19">
        <v>0</v>
      </c>
      <c r="DG2" s="19">
        <v>0</v>
      </c>
    </row>
    <row r="3" spans="2:111" x14ac:dyDescent="0.15">
      <c r="B3" s="19" t="str">
        <f t="shared" ref="B3:B66" si="0">C3&amp;"_"&amp;D3&amp;"_"&amp;E3</f>
        <v>1_男_1</v>
      </c>
      <c r="C3" s="18">
        <v>1</v>
      </c>
      <c r="D3" s="18" t="s">
        <v>9</v>
      </c>
      <c r="E3" s="18">
        <v>1</v>
      </c>
      <c r="F3" s="19">
        <v>17916.7</v>
      </c>
      <c r="G3" s="19">
        <v>18807.400000000001</v>
      </c>
      <c r="H3" s="19">
        <v>19744</v>
      </c>
      <c r="I3" s="19">
        <v>20728.3</v>
      </c>
      <c r="J3" s="19">
        <v>20762.400000000001</v>
      </c>
      <c r="K3" s="19">
        <v>20798.400000000001</v>
      </c>
      <c r="L3" s="19">
        <v>20836.3</v>
      </c>
      <c r="M3" s="19">
        <v>20876.2</v>
      </c>
      <c r="N3" s="19">
        <v>20918</v>
      </c>
      <c r="O3" s="19">
        <v>20961.7</v>
      </c>
      <c r="P3" s="19">
        <v>21007.5</v>
      </c>
      <c r="Q3" s="19">
        <v>21055.4</v>
      </c>
      <c r="R3" s="19">
        <v>21105.5</v>
      </c>
      <c r="S3" s="19">
        <v>21157.8</v>
      </c>
      <c r="T3" s="19">
        <v>21212.6</v>
      </c>
      <c r="U3" s="19">
        <v>21269.9</v>
      </c>
      <c r="V3" s="19">
        <v>21329.9</v>
      </c>
      <c r="W3" s="19">
        <v>21392.799999999999</v>
      </c>
      <c r="X3" s="19">
        <v>21458.7</v>
      </c>
      <c r="Y3" s="19">
        <v>21527.7</v>
      </c>
      <c r="Z3" s="19">
        <v>21600</v>
      </c>
      <c r="AA3" s="19">
        <v>21675.9</v>
      </c>
      <c r="AB3" s="19">
        <v>21755.3</v>
      </c>
      <c r="AC3" s="19">
        <v>21838.6</v>
      </c>
      <c r="AD3" s="19">
        <v>21925.8</v>
      </c>
      <c r="AE3" s="19">
        <v>22017.200000000001</v>
      </c>
      <c r="AF3" s="19">
        <v>22113</v>
      </c>
      <c r="AG3" s="19">
        <v>22213.3</v>
      </c>
      <c r="AH3" s="19">
        <v>22318.400000000001</v>
      </c>
      <c r="AI3" s="19">
        <v>22428.400000000001</v>
      </c>
      <c r="AJ3" s="19">
        <v>22543.5</v>
      </c>
      <c r="AK3" s="19">
        <v>22664.1</v>
      </c>
      <c r="AL3" s="19">
        <v>22790.3</v>
      </c>
      <c r="AM3" s="19">
        <v>22922.400000000001</v>
      </c>
      <c r="AN3" s="19">
        <v>23060.6</v>
      </c>
      <c r="AO3" s="19">
        <v>23205.200000000001</v>
      </c>
      <c r="AP3" s="19">
        <v>23356.5</v>
      </c>
      <c r="AQ3" s="19">
        <v>23514.799999999999</v>
      </c>
      <c r="AR3" s="19">
        <v>23680.400000000001</v>
      </c>
      <c r="AS3" s="19">
        <v>23853.599999999999</v>
      </c>
      <c r="AT3" s="19">
        <v>24034.7</v>
      </c>
      <c r="AU3" s="19">
        <v>24224.3</v>
      </c>
      <c r="AV3" s="19">
        <v>24422.5</v>
      </c>
      <c r="AW3" s="19">
        <v>24629.9</v>
      </c>
      <c r="AX3" s="19">
        <v>24846.9</v>
      </c>
      <c r="AY3" s="19">
        <v>25074</v>
      </c>
      <c r="AZ3" s="19">
        <v>25311.599999999999</v>
      </c>
      <c r="BA3" s="19">
        <v>25560.400000000001</v>
      </c>
      <c r="BB3" s="19">
        <v>25820.799999999999</v>
      </c>
      <c r="BC3" s="19">
        <v>26093.599999999999</v>
      </c>
      <c r="BD3" s="19">
        <v>26379.4</v>
      </c>
      <c r="BE3" s="19">
        <v>26679</v>
      </c>
      <c r="BF3" s="19">
        <v>26993.200000000001</v>
      </c>
      <c r="BG3" s="19">
        <v>27322.7</v>
      </c>
      <c r="BH3" s="19">
        <v>27668.7</v>
      </c>
      <c r="BI3" s="19">
        <v>28032</v>
      </c>
      <c r="BJ3" s="19">
        <v>28413.9</v>
      </c>
      <c r="BK3" s="19">
        <v>28815.4</v>
      </c>
      <c r="BL3" s="19">
        <v>28238</v>
      </c>
      <c r="BM3" s="19">
        <v>0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19">
        <v>0</v>
      </c>
      <c r="BX3" s="19">
        <v>0</v>
      </c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0</v>
      </c>
      <c r="CK3" s="19">
        <v>0</v>
      </c>
      <c r="CL3" s="19">
        <v>0</v>
      </c>
      <c r="CM3" s="19">
        <v>0</v>
      </c>
      <c r="CN3" s="19">
        <v>0</v>
      </c>
      <c r="CO3" s="19">
        <v>0</v>
      </c>
      <c r="CP3" s="19">
        <v>0</v>
      </c>
      <c r="CQ3" s="19">
        <v>0</v>
      </c>
      <c r="CR3" s="19">
        <v>0</v>
      </c>
      <c r="CS3" s="19">
        <v>0</v>
      </c>
      <c r="CT3" s="19">
        <v>0</v>
      </c>
      <c r="CU3" s="19">
        <v>0</v>
      </c>
      <c r="CV3" s="19">
        <v>0</v>
      </c>
      <c r="CW3" s="19">
        <v>0</v>
      </c>
      <c r="CX3" s="19">
        <v>0</v>
      </c>
      <c r="CY3" s="19">
        <v>0</v>
      </c>
      <c r="CZ3" s="19">
        <v>0</v>
      </c>
      <c r="DA3" s="19">
        <v>0</v>
      </c>
      <c r="DB3" s="19">
        <v>0</v>
      </c>
      <c r="DC3" s="19">
        <v>0</v>
      </c>
      <c r="DD3" s="19">
        <v>0</v>
      </c>
      <c r="DE3" s="19">
        <v>0</v>
      </c>
      <c r="DF3" s="19">
        <v>0</v>
      </c>
      <c r="DG3" s="19">
        <v>0</v>
      </c>
    </row>
    <row r="4" spans="2:111" x14ac:dyDescent="0.15">
      <c r="B4" s="19" t="str">
        <f t="shared" si="0"/>
        <v>1_男_2</v>
      </c>
      <c r="C4" s="18">
        <v>1</v>
      </c>
      <c r="D4" s="18" t="s">
        <v>9</v>
      </c>
      <c r="E4" s="18">
        <v>2</v>
      </c>
      <c r="F4" s="19">
        <v>17944.3</v>
      </c>
      <c r="G4" s="19">
        <v>18837.5</v>
      </c>
      <c r="H4" s="19">
        <v>19776.2</v>
      </c>
      <c r="I4" s="19">
        <v>20762.5</v>
      </c>
      <c r="J4" s="19">
        <v>20798.5</v>
      </c>
      <c r="K4" s="19">
        <v>20836.5</v>
      </c>
      <c r="L4" s="19">
        <v>20876.3</v>
      </c>
      <c r="M4" s="19">
        <v>20918.099999999999</v>
      </c>
      <c r="N4" s="19">
        <v>20961.900000000001</v>
      </c>
      <c r="O4" s="19">
        <v>21007.7</v>
      </c>
      <c r="P4" s="19">
        <v>21055.599999999999</v>
      </c>
      <c r="Q4" s="19">
        <v>21105.7</v>
      </c>
      <c r="R4" s="19">
        <v>21158</v>
      </c>
      <c r="S4" s="19">
        <v>21212.799999999999</v>
      </c>
      <c r="T4" s="19">
        <v>21270.1</v>
      </c>
      <c r="U4" s="19">
        <v>21330.2</v>
      </c>
      <c r="V4" s="19">
        <v>21393</v>
      </c>
      <c r="W4" s="19">
        <v>21458.9</v>
      </c>
      <c r="X4" s="19">
        <v>21527.9</v>
      </c>
      <c r="Y4" s="19">
        <v>21600.3</v>
      </c>
      <c r="Z4" s="19">
        <v>21676.1</v>
      </c>
      <c r="AA4" s="19">
        <v>21755.599999999999</v>
      </c>
      <c r="AB4" s="19">
        <v>21838.799999999999</v>
      </c>
      <c r="AC4" s="19">
        <v>21926.1</v>
      </c>
      <c r="AD4" s="19">
        <v>22017.5</v>
      </c>
      <c r="AE4" s="19">
        <v>22113.3</v>
      </c>
      <c r="AF4" s="19">
        <v>22213.599999999999</v>
      </c>
      <c r="AG4" s="19">
        <v>22318.7</v>
      </c>
      <c r="AH4" s="19">
        <v>22428.7</v>
      </c>
      <c r="AI4" s="19">
        <v>22543.9</v>
      </c>
      <c r="AJ4" s="19">
        <v>22664.400000000001</v>
      </c>
      <c r="AK4" s="19">
        <v>22790.6</v>
      </c>
      <c r="AL4" s="19">
        <v>22922.7</v>
      </c>
      <c r="AM4" s="19">
        <v>23060.9</v>
      </c>
      <c r="AN4" s="19">
        <v>23205.599999999999</v>
      </c>
      <c r="AO4" s="19">
        <v>23356.9</v>
      </c>
      <c r="AP4" s="19">
        <v>23515.200000000001</v>
      </c>
      <c r="AQ4" s="19">
        <v>23680.7</v>
      </c>
      <c r="AR4" s="19">
        <v>23853.9</v>
      </c>
      <c r="AS4" s="19">
        <v>24035.1</v>
      </c>
      <c r="AT4" s="19">
        <v>24224.7</v>
      </c>
      <c r="AU4" s="19">
        <v>24422.9</v>
      </c>
      <c r="AV4" s="19">
        <v>24630.3</v>
      </c>
      <c r="AW4" s="19">
        <v>24847.3</v>
      </c>
      <c r="AX4" s="19">
        <v>25074.400000000001</v>
      </c>
      <c r="AY4" s="19">
        <v>25312</v>
      </c>
      <c r="AZ4" s="19">
        <v>25560.7</v>
      </c>
      <c r="BA4" s="19">
        <v>25821.200000000001</v>
      </c>
      <c r="BB4" s="19">
        <v>26094</v>
      </c>
      <c r="BC4" s="19">
        <v>26379.8</v>
      </c>
      <c r="BD4" s="19">
        <v>26679.3</v>
      </c>
      <c r="BE4" s="19">
        <v>26993.4</v>
      </c>
      <c r="BF4" s="19">
        <v>27323</v>
      </c>
      <c r="BG4" s="19">
        <v>27668.9</v>
      </c>
      <c r="BH4" s="19">
        <v>28032.2</v>
      </c>
      <c r="BI4" s="19">
        <v>28414</v>
      </c>
      <c r="BJ4" s="19">
        <v>28815.5</v>
      </c>
      <c r="BK4" s="19">
        <v>28238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</row>
    <row r="5" spans="2:111" x14ac:dyDescent="0.15">
      <c r="B5" s="19" t="str">
        <f t="shared" si="0"/>
        <v>1_男_3</v>
      </c>
      <c r="C5" s="18">
        <v>1</v>
      </c>
      <c r="D5" s="18" t="s">
        <v>9</v>
      </c>
      <c r="E5" s="18">
        <v>3</v>
      </c>
      <c r="F5" s="19">
        <v>17974.3</v>
      </c>
      <c r="G5" s="19">
        <v>18869.7</v>
      </c>
      <c r="H5" s="19">
        <v>19810.5</v>
      </c>
      <c r="I5" s="19">
        <v>20798.7</v>
      </c>
      <c r="J5" s="19">
        <v>20836.599999999999</v>
      </c>
      <c r="K5" s="19">
        <v>20876.5</v>
      </c>
      <c r="L5" s="19">
        <v>20918.3</v>
      </c>
      <c r="M5" s="19">
        <v>20962.099999999999</v>
      </c>
      <c r="N5" s="19">
        <v>21007.9</v>
      </c>
      <c r="O5" s="19">
        <v>21055.8</v>
      </c>
      <c r="P5" s="19">
        <v>21105.9</v>
      </c>
      <c r="Q5" s="19">
        <v>21158.2</v>
      </c>
      <c r="R5" s="19">
        <v>21213</v>
      </c>
      <c r="S5" s="19">
        <v>21270.3</v>
      </c>
      <c r="T5" s="19">
        <v>21330.400000000001</v>
      </c>
      <c r="U5" s="19">
        <v>21393.3</v>
      </c>
      <c r="V5" s="19">
        <v>21459.1</v>
      </c>
      <c r="W5" s="19">
        <v>21528.2</v>
      </c>
      <c r="X5" s="19">
        <v>21600.5</v>
      </c>
      <c r="Y5" s="19">
        <v>21676.400000000001</v>
      </c>
      <c r="Z5" s="19">
        <v>21755.8</v>
      </c>
      <c r="AA5" s="19">
        <v>21839.1</v>
      </c>
      <c r="AB5" s="19">
        <v>21926.400000000001</v>
      </c>
      <c r="AC5" s="19">
        <v>22017.8</v>
      </c>
      <c r="AD5" s="19">
        <v>22113.599999999999</v>
      </c>
      <c r="AE5" s="19">
        <v>22213.9</v>
      </c>
      <c r="AF5" s="19">
        <v>22319</v>
      </c>
      <c r="AG5" s="19">
        <v>22429</v>
      </c>
      <c r="AH5" s="19">
        <v>22544.2</v>
      </c>
      <c r="AI5" s="19">
        <v>22664.799999999999</v>
      </c>
      <c r="AJ5" s="19">
        <v>22791</v>
      </c>
      <c r="AK5" s="19">
        <v>22923.1</v>
      </c>
      <c r="AL5" s="19">
        <v>23061.3</v>
      </c>
      <c r="AM5" s="19">
        <v>23205.9</v>
      </c>
      <c r="AN5" s="19">
        <v>23357.200000000001</v>
      </c>
      <c r="AO5" s="19">
        <v>23515.5</v>
      </c>
      <c r="AP5" s="19">
        <v>23681.1</v>
      </c>
      <c r="AQ5" s="19">
        <v>23854.3</v>
      </c>
      <c r="AR5" s="19">
        <v>24035.5</v>
      </c>
      <c r="AS5" s="19">
        <v>24225.1</v>
      </c>
      <c r="AT5" s="19">
        <v>24423.3</v>
      </c>
      <c r="AU5" s="19">
        <v>24630.7</v>
      </c>
      <c r="AV5" s="19">
        <v>24847.7</v>
      </c>
      <c r="AW5" s="19">
        <v>25074.799999999999</v>
      </c>
      <c r="AX5" s="19">
        <v>25312.400000000001</v>
      </c>
      <c r="AY5" s="19">
        <v>25561.1</v>
      </c>
      <c r="AZ5" s="19">
        <v>25821.599999999999</v>
      </c>
      <c r="BA5" s="19">
        <v>26094.3</v>
      </c>
      <c r="BB5" s="19">
        <v>26380.1</v>
      </c>
      <c r="BC5" s="19">
        <v>26679.599999999999</v>
      </c>
      <c r="BD5" s="19">
        <v>26993.7</v>
      </c>
      <c r="BE5" s="19">
        <v>27323.200000000001</v>
      </c>
      <c r="BF5" s="19">
        <v>27669.1</v>
      </c>
      <c r="BG5" s="19">
        <v>28032.400000000001</v>
      </c>
      <c r="BH5" s="19">
        <v>28414.1</v>
      </c>
      <c r="BI5" s="19">
        <v>28815.5</v>
      </c>
      <c r="BJ5" s="19">
        <v>28238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</row>
    <row r="6" spans="2:111" x14ac:dyDescent="0.15">
      <c r="B6" s="19" t="str">
        <f t="shared" si="0"/>
        <v>1_男_4</v>
      </c>
      <c r="C6" s="18">
        <v>1</v>
      </c>
      <c r="D6" s="18" t="s">
        <v>9</v>
      </c>
      <c r="E6" s="18">
        <v>4</v>
      </c>
      <c r="F6" s="19">
        <v>18006.5</v>
      </c>
      <c r="G6" s="19">
        <v>18903.900000000001</v>
      </c>
      <c r="H6" s="19">
        <v>19846.599999999999</v>
      </c>
      <c r="I6" s="19">
        <v>20836.8</v>
      </c>
      <c r="J6" s="19">
        <v>20876.7</v>
      </c>
      <c r="K6" s="19">
        <v>20918.5</v>
      </c>
      <c r="L6" s="19">
        <v>20962.3</v>
      </c>
      <c r="M6" s="19">
        <v>21008.1</v>
      </c>
      <c r="N6" s="19">
        <v>21056</v>
      </c>
      <c r="O6" s="19">
        <v>21106.1</v>
      </c>
      <c r="P6" s="19">
        <v>21158.400000000001</v>
      </c>
      <c r="Q6" s="19">
        <v>21213.200000000001</v>
      </c>
      <c r="R6" s="19">
        <v>21270.6</v>
      </c>
      <c r="S6" s="19">
        <v>21330.6</v>
      </c>
      <c r="T6" s="19">
        <v>21393.5</v>
      </c>
      <c r="U6" s="19">
        <v>21459.4</v>
      </c>
      <c r="V6" s="19">
        <v>21528.400000000001</v>
      </c>
      <c r="W6" s="19">
        <v>21600.799999999999</v>
      </c>
      <c r="X6" s="19">
        <v>21676.6</v>
      </c>
      <c r="Y6" s="19">
        <v>21756.1</v>
      </c>
      <c r="Z6" s="19">
        <v>21839.4</v>
      </c>
      <c r="AA6" s="19">
        <v>21926.7</v>
      </c>
      <c r="AB6" s="19">
        <v>22018.1</v>
      </c>
      <c r="AC6" s="19">
        <v>22113.9</v>
      </c>
      <c r="AD6" s="19">
        <v>22214.2</v>
      </c>
      <c r="AE6" s="19">
        <v>22319.3</v>
      </c>
      <c r="AF6" s="19">
        <v>22429.3</v>
      </c>
      <c r="AG6" s="19">
        <v>22544.5</v>
      </c>
      <c r="AH6" s="19">
        <v>22665.1</v>
      </c>
      <c r="AI6" s="19">
        <v>22791.4</v>
      </c>
      <c r="AJ6" s="19">
        <v>22923.5</v>
      </c>
      <c r="AK6" s="19">
        <v>23061.7</v>
      </c>
      <c r="AL6" s="19">
        <v>23206.3</v>
      </c>
      <c r="AM6" s="19">
        <v>23357.599999999999</v>
      </c>
      <c r="AN6" s="19">
        <v>23515.9</v>
      </c>
      <c r="AO6" s="19">
        <v>23681.5</v>
      </c>
      <c r="AP6" s="19">
        <v>23854.799999999999</v>
      </c>
      <c r="AQ6" s="19">
        <v>24036</v>
      </c>
      <c r="AR6" s="19">
        <v>24225.5</v>
      </c>
      <c r="AS6" s="19">
        <v>24423.7</v>
      </c>
      <c r="AT6" s="19">
        <v>24631.1</v>
      </c>
      <c r="AU6" s="19">
        <v>24848.1</v>
      </c>
      <c r="AV6" s="19">
        <v>25075.200000000001</v>
      </c>
      <c r="AW6" s="19">
        <v>25312.799999999999</v>
      </c>
      <c r="AX6" s="19">
        <v>25561.5</v>
      </c>
      <c r="AY6" s="19">
        <v>25821.9</v>
      </c>
      <c r="AZ6" s="19">
        <v>26094.7</v>
      </c>
      <c r="BA6" s="19">
        <v>26380.5</v>
      </c>
      <c r="BB6" s="19">
        <v>26680</v>
      </c>
      <c r="BC6" s="19">
        <v>26994</v>
      </c>
      <c r="BD6" s="19">
        <v>27323.5</v>
      </c>
      <c r="BE6" s="19">
        <v>27669.3</v>
      </c>
      <c r="BF6" s="19">
        <v>28032.5</v>
      </c>
      <c r="BG6" s="19">
        <v>28414.2</v>
      </c>
      <c r="BH6" s="19">
        <v>28815.599999999999</v>
      </c>
      <c r="BI6" s="19">
        <v>28238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</row>
    <row r="7" spans="2:111" x14ac:dyDescent="0.15">
      <c r="B7" s="19" t="str">
        <f t="shared" si="0"/>
        <v>1_男_5</v>
      </c>
      <c r="C7" s="18">
        <v>1</v>
      </c>
      <c r="D7" s="18" t="s">
        <v>9</v>
      </c>
      <c r="E7" s="18">
        <v>5</v>
      </c>
      <c r="F7" s="19">
        <v>18040.7</v>
      </c>
      <c r="G7" s="19">
        <v>18940.099999999999</v>
      </c>
      <c r="H7" s="19">
        <v>19884.8</v>
      </c>
      <c r="I7" s="19">
        <v>20876.900000000001</v>
      </c>
      <c r="J7" s="19">
        <v>20918.7</v>
      </c>
      <c r="K7" s="19">
        <v>20962.400000000001</v>
      </c>
      <c r="L7" s="19">
        <v>21008.3</v>
      </c>
      <c r="M7" s="19">
        <v>21056.2</v>
      </c>
      <c r="N7" s="19">
        <v>21106.3</v>
      </c>
      <c r="O7" s="19">
        <v>21158.7</v>
      </c>
      <c r="P7" s="19">
        <v>21213.4</v>
      </c>
      <c r="Q7" s="19">
        <v>21270.799999999999</v>
      </c>
      <c r="R7" s="19">
        <v>21330.799999999999</v>
      </c>
      <c r="S7" s="19">
        <v>21393.7</v>
      </c>
      <c r="T7" s="19">
        <v>21459.599999999999</v>
      </c>
      <c r="U7" s="19">
        <v>21528.7</v>
      </c>
      <c r="V7" s="19">
        <v>21601.1</v>
      </c>
      <c r="W7" s="19">
        <v>21676.9</v>
      </c>
      <c r="X7" s="19">
        <v>21756.400000000001</v>
      </c>
      <c r="Y7" s="19">
        <v>21839.7</v>
      </c>
      <c r="Z7" s="19">
        <v>21927</v>
      </c>
      <c r="AA7" s="19">
        <v>22018.400000000001</v>
      </c>
      <c r="AB7" s="19">
        <v>22114.2</v>
      </c>
      <c r="AC7" s="19">
        <v>22214.6</v>
      </c>
      <c r="AD7" s="19">
        <v>22319.7</v>
      </c>
      <c r="AE7" s="19">
        <v>22429.7</v>
      </c>
      <c r="AF7" s="19">
        <v>22544.9</v>
      </c>
      <c r="AG7" s="19">
        <v>22665.5</v>
      </c>
      <c r="AH7" s="19">
        <v>22791.7</v>
      </c>
      <c r="AI7" s="19">
        <v>22923.9</v>
      </c>
      <c r="AJ7" s="19">
        <v>23062.1</v>
      </c>
      <c r="AK7" s="19">
        <v>23206.7</v>
      </c>
      <c r="AL7" s="19">
        <v>23358.1</v>
      </c>
      <c r="AM7" s="19">
        <v>23516.400000000001</v>
      </c>
      <c r="AN7" s="19">
        <v>23682</v>
      </c>
      <c r="AO7" s="19">
        <v>23855.200000000001</v>
      </c>
      <c r="AP7" s="19">
        <v>24036.400000000001</v>
      </c>
      <c r="AQ7" s="19">
        <v>24225.9</v>
      </c>
      <c r="AR7" s="19">
        <v>24424.2</v>
      </c>
      <c r="AS7" s="19">
        <v>24631.599999999999</v>
      </c>
      <c r="AT7" s="19">
        <v>24848.6</v>
      </c>
      <c r="AU7" s="19">
        <v>25075.599999999999</v>
      </c>
      <c r="AV7" s="19">
        <v>25313.200000000001</v>
      </c>
      <c r="AW7" s="19">
        <v>25561.9</v>
      </c>
      <c r="AX7" s="19">
        <v>25822.3</v>
      </c>
      <c r="AY7" s="19">
        <v>26095.1</v>
      </c>
      <c r="AZ7" s="19">
        <v>26380.799999999999</v>
      </c>
      <c r="BA7" s="19">
        <v>26680.3</v>
      </c>
      <c r="BB7" s="19">
        <v>26994.3</v>
      </c>
      <c r="BC7" s="19">
        <v>27323.8</v>
      </c>
      <c r="BD7" s="19">
        <v>27669.599999999999</v>
      </c>
      <c r="BE7" s="19">
        <v>28032.7</v>
      </c>
      <c r="BF7" s="19">
        <v>28414.400000000001</v>
      </c>
      <c r="BG7" s="19">
        <v>28815.7</v>
      </c>
      <c r="BH7" s="19">
        <v>28238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</row>
    <row r="8" spans="2:111" x14ac:dyDescent="0.15">
      <c r="B8" s="19" t="str">
        <f t="shared" si="0"/>
        <v>1_男_6</v>
      </c>
      <c r="C8" s="18">
        <v>1</v>
      </c>
      <c r="D8" s="18" t="s">
        <v>9</v>
      </c>
      <c r="E8" s="18">
        <v>6</v>
      </c>
      <c r="F8" s="19">
        <v>18076.900000000001</v>
      </c>
      <c r="G8" s="19">
        <v>18978.2</v>
      </c>
      <c r="H8" s="19">
        <v>19924.8</v>
      </c>
      <c r="I8" s="19">
        <v>20918.8</v>
      </c>
      <c r="J8" s="19">
        <v>20962.599999999999</v>
      </c>
      <c r="K8" s="19">
        <v>21008.5</v>
      </c>
      <c r="L8" s="19">
        <v>21056.400000000001</v>
      </c>
      <c r="M8" s="19">
        <v>21106.5</v>
      </c>
      <c r="N8" s="19">
        <v>21158.9</v>
      </c>
      <c r="O8" s="19">
        <v>21213.7</v>
      </c>
      <c r="P8" s="19">
        <v>21271</v>
      </c>
      <c r="Q8" s="19">
        <v>21331.1</v>
      </c>
      <c r="R8" s="19">
        <v>21394</v>
      </c>
      <c r="S8" s="19">
        <v>21459.9</v>
      </c>
      <c r="T8" s="19">
        <v>21529</v>
      </c>
      <c r="U8" s="19">
        <v>21601.3</v>
      </c>
      <c r="V8" s="19">
        <v>21677.200000000001</v>
      </c>
      <c r="W8" s="19">
        <v>21756.7</v>
      </c>
      <c r="X8" s="19">
        <v>21840</v>
      </c>
      <c r="Y8" s="19">
        <v>21927.3</v>
      </c>
      <c r="Z8" s="19">
        <v>22018.7</v>
      </c>
      <c r="AA8" s="19">
        <v>22114.5</v>
      </c>
      <c r="AB8" s="19">
        <v>22214.9</v>
      </c>
      <c r="AC8" s="19">
        <v>22320</v>
      </c>
      <c r="AD8" s="19">
        <v>22430.1</v>
      </c>
      <c r="AE8" s="19">
        <v>22545.3</v>
      </c>
      <c r="AF8" s="19">
        <v>22665.9</v>
      </c>
      <c r="AG8" s="19">
        <v>22792.1</v>
      </c>
      <c r="AH8" s="19">
        <v>22924.3</v>
      </c>
      <c r="AI8" s="19">
        <v>23062.5</v>
      </c>
      <c r="AJ8" s="19">
        <v>23207.200000000001</v>
      </c>
      <c r="AK8" s="19">
        <v>23358.5</v>
      </c>
      <c r="AL8" s="19">
        <v>23516.799999999999</v>
      </c>
      <c r="AM8" s="19">
        <v>23682.400000000001</v>
      </c>
      <c r="AN8" s="19">
        <v>23855.599999999999</v>
      </c>
      <c r="AO8" s="19">
        <v>24036.799999999999</v>
      </c>
      <c r="AP8" s="19">
        <v>24226.400000000001</v>
      </c>
      <c r="AQ8" s="19">
        <v>24424.6</v>
      </c>
      <c r="AR8" s="19">
        <v>24632</v>
      </c>
      <c r="AS8" s="19">
        <v>24849</v>
      </c>
      <c r="AT8" s="19">
        <v>25076.1</v>
      </c>
      <c r="AU8" s="19">
        <v>25313.7</v>
      </c>
      <c r="AV8" s="19">
        <v>25562.400000000001</v>
      </c>
      <c r="AW8" s="19">
        <v>25822.799999999999</v>
      </c>
      <c r="AX8" s="19">
        <v>26095.5</v>
      </c>
      <c r="AY8" s="19">
        <v>26381.200000000001</v>
      </c>
      <c r="AZ8" s="19">
        <v>26680.7</v>
      </c>
      <c r="BA8" s="19">
        <v>26994.7</v>
      </c>
      <c r="BB8" s="19">
        <v>27324.1</v>
      </c>
      <c r="BC8" s="19">
        <v>27669.8</v>
      </c>
      <c r="BD8" s="19">
        <v>28032.9</v>
      </c>
      <c r="BE8" s="19">
        <v>28414.5</v>
      </c>
      <c r="BF8" s="19">
        <v>28815.8</v>
      </c>
      <c r="BG8" s="19">
        <v>28238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</row>
    <row r="9" spans="2:111" x14ac:dyDescent="0.15">
      <c r="B9" s="19" t="str">
        <f t="shared" si="0"/>
        <v>1_男_7</v>
      </c>
      <c r="C9" s="18">
        <v>1</v>
      </c>
      <c r="D9" s="18" t="s">
        <v>9</v>
      </c>
      <c r="E9" s="18">
        <v>7</v>
      </c>
      <c r="F9" s="19">
        <v>18115</v>
      </c>
      <c r="G9" s="19">
        <v>19018.3</v>
      </c>
      <c r="H9" s="19">
        <v>19966.8</v>
      </c>
      <c r="I9" s="19">
        <v>20962.8</v>
      </c>
      <c r="J9" s="19">
        <v>21008.7</v>
      </c>
      <c r="K9" s="19">
        <v>21056.6</v>
      </c>
      <c r="L9" s="19">
        <v>21106.7</v>
      </c>
      <c r="M9" s="19">
        <v>21159.1</v>
      </c>
      <c r="N9" s="19">
        <v>21213.9</v>
      </c>
      <c r="O9" s="19">
        <v>21271.3</v>
      </c>
      <c r="P9" s="19">
        <v>21331.3</v>
      </c>
      <c r="Q9" s="19">
        <v>21394.3</v>
      </c>
      <c r="R9" s="19">
        <v>21460.2</v>
      </c>
      <c r="S9" s="19">
        <v>21529.200000000001</v>
      </c>
      <c r="T9" s="19">
        <v>21601.599999999999</v>
      </c>
      <c r="U9" s="19">
        <v>21677.5</v>
      </c>
      <c r="V9" s="19">
        <v>21757</v>
      </c>
      <c r="W9" s="19">
        <v>21840.3</v>
      </c>
      <c r="X9" s="19">
        <v>21927.599999999999</v>
      </c>
      <c r="Y9" s="19">
        <v>22019.1</v>
      </c>
      <c r="Z9" s="19">
        <v>22114.9</v>
      </c>
      <c r="AA9" s="19">
        <v>22215.3</v>
      </c>
      <c r="AB9" s="19">
        <v>22320.400000000001</v>
      </c>
      <c r="AC9" s="19">
        <v>22430.400000000001</v>
      </c>
      <c r="AD9" s="19">
        <v>22545.7</v>
      </c>
      <c r="AE9" s="19">
        <v>22666.3</v>
      </c>
      <c r="AF9" s="19">
        <v>22792.5</v>
      </c>
      <c r="AG9" s="19">
        <v>22924.7</v>
      </c>
      <c r="AH9" s="19">
        <v>23062.9</v>
      </c>
      <c r="AI9" s="19">
        <v>23207.599999999999</v>
      </c>
      <c r="AJ9" s="19">
        <v>23358.9</v>
      </c>
      <c r="AK9" s="19">
        <v>23517.3</v>
      </c>
      <c r="AL9" s="19">
        <v>23682.9</v>
      </c>
      <c r="AM9" s="19">
        <v>23856.1</v>
      </c>
      <c r="AN9" s="19">
        <v>24037.3</v>
      </c>
      <c r="AO9" s="19">
        <v>24226.799999999999</v>
      </c>
      <c r="AP9" s="19">
        <v>24425.1</v>
      </c>
      <c r="AQ9" s="19">
        <v>24632.5</v>
      </c>
      <c r="AR9" s="19">
        <v>24849.5</v>
      </c>
      <c r="AS9" s="19">
        <v>25076.5</v>
      </c>
      <c r="AT9" s="19">
        <v>25314.1</v>
      </c>
      <c r="AU9" s="19">
        <v>25562.799999999999</v>
      </c>
      <c r="AV9" s="19">
        <v>25823.200000000001</v>
      </c>
      <c r="AW9" s="19">
        <v>26095.9</v>
      </c>
      <c r="AX9" s="19">
        <v>26381.599999999999</v>
      </c>
      <c r="AY9" s="19">
        <v>26681</v>
      </c>
      <c r="AZ9" s="19">
        <v>26995</v>
      </c>
      <c r="BA9" s="19">
        <v>27324.400000000001</v>
      </c>
      <c r="BB9" s="19">
        <v>27670.1</v>
      </c>
      <c r="BC9" s="19">
        <v>28033.1</v>
      </c>
      <c r="BD9" s="19">
        <v>28414.6</v>
      </c>
      <c r="BE9" s="19">
        <v>28815.8</v>
      </c>
      <c r="BF9" s="19">
        <v>28238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</row>
    <row r="10" spans="2:111" x14ac:dyDescent="0.15">
      <c r="B10" s="19" t="str">
        <f t="shared" si="0"/>
        <v>1_男_8</v>
      </c>
      <c r="C10" s="18">
        <v>1</v>
      </c>
      <c r="D10" s="18" t="s">
        <v>9</v>
      </c>
      <c r="E10" s="18">
        <v>8</v>
      </c>
      <c r="F10" s="19">
        <v>18155.2</v>
      </c>
      <c r="G10" s="19">
        <v>19060.400000000001</v>
      </c>
      <c r="H10" s="19">
        <v>20010.900000000001</v>
      </c>
      <c r="I10" s="19">
        <v>21008.9</v>
      </c>
      <c r="J10" s="19">
        <v>21056.799999999999</v>
      </c>
      <c r="K10" s="19">
        <v>21106.9</v>
      </c>
      <c r="L10" s="19">
        <v>21159.3</v>
      </c>
      <c r="M10" s="19">
        <v>21214.2</v>
      </c>
      <c r="N10" s="19">
        <v>21271.5</v>
      </c>
      <c r="O10" s="19">
        <v>21331.599999999999</v>
      </c>
      <c r="P10" s="19">
        <v>21394.5</v>
      </c>
      <c r="Q10" s="19">
        <v>21460.400000000001</v>
      </c>
      <c r="R10" s="19">
        <v>21529.5</v>
      </c>
      <c r="S10" s="19">
        <v>21601.9</v>
      </c>
      <c r="T10" s="19">
        <v>21677.8</v>
      </c>
      <c r="U10" s="19">
        <v>21757.3</v>
      </c>
      <c r="V10" s="19">
        <v>21840.6</v>
      </c>
      <c r="W10" s="19">
        <v>21927.9</v>
      </c>
      <c r="X10" s="19">
        <v>22019.4</v>
      </c>
      <c r="Y10" s="19">
        <v>22115.3</v>
      </c>
      <c r="Z10" s="19">
        <v>22215.599999999999</v>
      </c>
      <c r="AA10" s="19">
        <v>22320.799999999999</v>
      </c>
      <c r="AB10" s="19">
        <v>22430.799999999999</v>
      </c>
      <c r="AC10" s="19">
        <v>22546.1</v>
      </c>
      <c r="AD10" s="19">
        <v>22666.7</v>
      </c>
      <c r="AE10" s="19">
        <v>22793</v>
      </c>
      <c r="AF10" s="19">
        <v>22925.1</v>
      </c>
      <c r="AG10" s="19">
        <v>23063.4</v>
      </c>
      <c r="AH10" s="19">
        <v>23208</v>
      </c>
      <c r="AI10" s="19">
        <v>23359.4</v>
      </c>
      <c r="AJ10" s="19">
        <v>23517.7</v>
      </c>
      <c r="AK10" s="19">
        <v>23683.3</v>
      </c>
      <c r="AL10" s="19">
        <v>23856.6</v>
      </c>
      <c r="AM10" s="19">
        <v>24037.8</v>
      </c>
      <c r="AN10" s="19">
        <v>24227.3</v>
      </c>
      <c r="AO10" s="19">
        <v>24425.599999999999</v>
      </c>
      <c r="AP10" s="19">
        <v>24633</v>
      </c>
      <c r="AQ10" s="19">
        <v>24850</v>
      </c>
      <c r="AR10" s="19">
        <v>25077</v>
      </c>
      <c r="AS10" s="19">
        <v>25314.6</v>
      </c>
      <c r="AT10" s="19">
        <v>25563.3</v>
      </c>
      <c r="AU10" s="19">
        <v>25823.599999999999</v>
      </c>
      <c r="AV10" s="19">
        <v>26096.3</v>
      </c>
      <c r="AW10" s="19">
        <v>26382</v>
      </c>
      <c r="AX10" s="19">
        <v>26681.4</v>
      </c>
      <c r="AY10" s="19">
        <v>26995.3</v>
      </c>
      <c r="AZ10" s="19">
        <v>27324.7</v>
      </c>
      <c r="BA10" s="19">
        <v>27670.3</v>
      </c>
      <c r="BB10" s="19">
        <v>28033.3</v>
      </c>
      <c r="BC10" s="19">
        <v>28414.799999999999</v>
      </c>
      <c r="BD10" s="19">
        <v>28815.9</v>
      </c>
      <c r="BE10" s="19">
        <v>28238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</row>
    <row r="11" spans="2:111" x14ac:dyDescent="0.15">
      <c r="B11" s="19" t="str">
        <f t="shared" si="0"/>
        <v>1_男_9</v>
      </c>
      <c r="C11" s="18">
        <v>1</v>
      </c>
      <c r="D11" s="18" t="s">
        <v>9</v>
      </c>
      <c r="E11" s="18">
        <v>9</v>
      </c>
      <c r="F11" s="19">
        <v>18197.3</v>
      </c>
      <c r="G11" s="19">
        <v>19104.400000000001</v>
      </c>
      <c r="H11" s="19">
        <v>20056.900000000001</v>
      </c>
      <c r="I11" s="19">
        <v>21057.1</v>
      </c>
      <c r="J11" s="19">
        <v>21107.200000000001</v>
      </c>
      <c r="K11" s="19">
        <v>21159.599999999999</v>
      </c>
      <c r="L11" s="19">
        <v>21214.400000000001</v>
      </c>
      <c r="M11" s="19">
        <v>21271.8</v>
      </c>
      <c r="N11" s="19">
        <v>21331.9</v>
      </c>
      <c r="O11" s="19">
        <v>21394.799999999999</v>
      </c>
      <c r="P11" s="19">
        <v>21460.7</v>
      </c>
      <c r="Q11" s="19">
        <v>21529.8</v>
      </c>
      <c r="R11" s="19">
        <v>21602.2</v>
      </c>
      <c r="S11" s="19">
        <v>21678.1</v>
      </c>
      <c r="T11" s="19">
        <v>21757.599999999999</v>
      </c>
      <c r="U11" s="19">
        <v>21841</v>
      </c>
      <c r="V11" s="19">
        <v>21928.3</v>
      </c>
      <c r="W11" s="19">
        <v>22019.8</v>
      </c>
      <c r="X11" s="19">
        <v>22115.599999999999</v>
      </c>
      <c r="Y11" s="19">
        <v>22216</v>
      </c>
      <c r="Z11" s="19">
        <v>22321.1</v>
      </c>
      <c r="AA11" s="19">
        <v>22431.200000000001</v>
      </c>
      <c r="AB11" s="19">
        <v>22546.5</v>
      </c>
      <c r="AC11" s="19">
        <v>22667.1</v>
      </c>
      <c r="AD11" s="19">
        <v>22793.4</v>
      </c>
      <c r="AE11" s="19">
        <v>22925.5</v>
      </c>
      <c r="AF11" s="19">
        <v>23063.8</v>
      </c>
      <c r="AG11" s="19">
        <v>23208.5</v>
      </c>
      <c r="AH11" s="19">
        <v>23359.9</v>
      </c>
      <c r="AI11" s="19">
        <v>23518.2</v>
      </c>
      <c r="AJ11" s="19">
        <v>23683.8</v>
      </c>
      <c r="AK11" s="19">
        <v>23857.1</v>
      </c>
      <c r="AL11" s="19">
        <v>24038.3</v>
      </c>
      <c r="AM11" s="19">
        <v>24227.8</v>
      </c>
      <c r="AN11" s="19">
        <v>24426.1</v>
      </c>
      <c r="AO11" s="19">
        <v>24633.5</v>
      </c>
      <c r="AP11" s="19">
        <v>24850.5</v>
      </c>
      <c r="AQ11" s="19">
        <v>25077.5</v>
      </c>
      <c r="AR11" s="19">
        <v>25315.1</v>
      </c>
      <c r="AS11" s="19">
        <v>25563.8</v>
      </c>
      <c r="AT11" s="19">
        <v>25824.1</v>
      </c>
      <c r="AU11" s="19">
        <v>26096.799999999999</v>
      </c>
      <c r="AV11" s="19">
        <v>26382.400000000001</v>
      </c>
      <c r="AW11" s="19">
        <v>26681.8</v>
      </c>
      <c r="AX11" s="19">
        <v>26995.7</v>
      </c>
      <c r="AY11" s="19">
        <v>27325</v>
      </c>
      <c r="AZ11" s="19">
        <v>27670.6</v>
      </c>
      <c r="BA11" s="19">
        <v>28033.599999999999</v>
      </c>
      <c r="BB11" s="19">
        <v>28415</v>
      </c>
      <c r="BC11" s="19">
        <v>28816</v>
      </c>
      <c r="BD11" s="19">
        <v>28238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</row>
    <row r="12" spans="2:111" x14ac:dyDescent="0.15">
      <c r="B12" s="19" t="str">
        <f t="shared" si="0"/>
        <v>1_男_10</v>
      </c>
      <c r="C12" s="18">
        <v>1</v>
      </c>
      <c r="D12" s="18" t="s">
        <v>9</v>
      </c>
      <c r="E12" s="18">
        <v>10</v>
      </c>
      <c r="F12" s="19">
        <v>18241.400000000001</v>
      </c>
      <c r="G12" s="19">
        <v>19150.599999999999</v>
      </c>
      <c r="H12" s="19">
        <v>20105.099999999999</v>
      </c>
      <c r="I12" s="19">
        <v>21107.4</v>
      </c>
      <c r="J12" s="19">
        <v>21159.8</v>
      </c>
      <c r="K12" s="19">
        <v>21214.7</v>
      </c>
      <c r="L12" s="19">
        <v>21272.1</v>
      </c>
      <c r="M12" s="19">
        <v>21332.2</v>
      </c>
      <c r="N12" s="19">
        <v>21395.1</v>
      </c>
      <c r="O12" s="19">
        <v>21461</v>
      </c>
      <c r="P12" s="19">
        <v>21530.1</v>
      </c>
      <c r="Q12" s="19">
        <v>21602.5</v>
      </c>
      <c r="R12" s="19">
        <v>21678.400000000001</v>
      </c>
      <c r="S12" s="19">
        <v>21758</v>
      </c>
      <c r="T12" s="19">
        <v>21841.3</v>
      </c>
      <c r="U12" s="19">
        <v>21928.6</v>
      </c>
      <c r="V12" s="19">
        <v>22020.2</v>
      </c>
      <c r="W12" s="19">
        <v>22116</v>
      </c>
      <c r="X12" s="19">
        <v>22216.400000000001</v>
      </c>
      <c r="Y12" s="19">
        <v>22321.5</v>
      </c>
      <c r="Z12" s="19">
        <v>22431.599999999999</v>
      </c>
      <c r="AA12" s="19">
        <v>22546.9</v>
      </c>
      <c r="AB12" s="19">
        <v>22667.599999999999</v>
      </c>
      <c r="AC12" s="19">
        <v>22793.9</v>
      </c>
      <c r="AD12" s="19">
        <v>22926</v>
      </c>
      <c r="AE12" s="19">
        <v>23064.3</v>
      </c>
      <c r="AF12" s="19">
        <v>23209</v>
      </c>
      <c r="AG12" s="19">
        <v>23360.400000000001</v>
      </c>
      <c r="AH12" s="19">
        <v>23518.7</v>
      </c>
      <c r="AI12" s="19">
        <v>23684.3</v>
      </c>
      <c r="AJ12" s="19">
        <v>23857.599999999999</v>
      </c>
      <c r="AK12" s="19">
        <v>24038.799999999999</v>
      </c>
      <c r="AL12" s="19">
        <v>24228.400000000001</v>
      </c>
      <c r="AM12" s="19">
        <v>24426.6</v>
      </c>
      <c r="AN12" s="19">
        <v>24634</v>
      </c>
      <c r="AO12" s="19">
        <v>24851</v>
      </c>
      <c r="AP12" s="19">
        <v>25078</v>
      </c>
      <c r="AQ12" s="19">
        <v>25315.599999999999</v>
      </c>
      <c r="AR12" s="19">
        <v>25564.2</v>
      </c>
      <c r="AS12" s="19">
        <v>25824.6</v>
      </c>
      <c r="AT12" s="19">
        <v>26097.200000000001</v>
      </c>
      <c r="AU12" s="19">
        <v>26382.9</v>
      </c>
      <c r="AV12" s="19">
        <v>26682.2</v>
      </c>
      <c r="AW12" s="19">
        <v>26996.1</v>
      </c>
      <c r="AX12" s="19">
        <v>27325.3</v>
      </c>
      <c r="AY12" s="19">
        <v>27670.9</v>
      </c>
      <c r="AZ12" s="19">
        <v>28033.8</v>
      </c>
      <c r="BA12" s="19">
        <v>28415.1</v>
      </c>
      <c r="BB12" s="19">
        <v>28816.1</v>
      </c>
      <c r="BC12" s="19">
        <v>28238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</row>
    <row r="13" spans="2:111" x14ac:dyDescent="0.15">
      <c r="B13" s="19" t="str">
        <f t="shared" si="0"/>
        <v>1_男_11</v>
      </c>
      <c r="C13" s="18">
        <v>1</v>
      </c>
      <c r="D13" s="18" t="s">
        <v>9</v>
      </c>
      <c r="E13" s="18">
        <v>11</v>
      </c>
      <c r="F13" s="19">
        <v>18287.599999999999</v>
      </c>
      <c r="G13" s="19">
        <v>19198.8</v>
      </c>
      <c r="H13" s="19">
        <v>20155.599999999999</v>
      </c>
      <c r="I13" s="19">
        <v>21160.1</v>
      </c>
      <c r="J13" s="19">
        <v>21215</v>
      </c>
      <c r="K13" s="19">
        <v>21272.400000000001</v>
      </c>
      <c r="L13" s="19">
        <v>21332.5</v>
      </c>
      <c r="M13" s="19">
        <v>21395.4</v>
      </c>
      <c r="N13" s="19">
        <v>21461.3</v>
      </c>
      <c r="O13" s="19">
        <v>21530.5</v>
      </c>
      <c r="P13" s="19">
        <v>21602.9</v>
      </c>
      <c r="Q13" s="19">
        <v>21678.799999999999</v>
      </c>
      <c r="R13" s="19">
        <v>21758.3</v>
      </c>
      <c r="S13" s="19">
        <v>21841.7</v>
      </c>
      <c r="T13" s="19">
        <v>21929</v>
      </c>
      <c r="U13" s="19">
        <v>22020.5</v>
      </c>
      <c r="V13" s="19">
        <v>22116.400000000001</v>
      </c>
      <c r="W13" s="19">
        <v>22216.799999999999</v>
      </c>
      <c r="X13" s="19">
        <v>22322</v>
      </c>
      <c r="Y13" s="19">
        <v>22432.1</v>
      </c>
      <c r="Z13" s="19">
        <v>22547.4</v>
      </c>
      <c r="AA13" s="19">
        <v>22668</v>
      </c>
      <c r="AB13" s="19">
        <v>22794.3</v>
      </c>
      <c r="AC13" s="19">
        <v>22926.5</v>
      </c>
      <c r="AD13" s="19">
        <v>23064.799999999999</v>
      </c>
      <c r="AE13" s="19">
        <v>23209.5</v>
      </c>
      <c r="AF13" s="19">
        <v>23360.9</v>
      </c>
      <c r="AG13" s="19">
        <v>23519.200000000001</v>
      </c>
      <c r="AH13" s="19">
        <v>23684.9</v>
      </c>
      <c r="AI13" s="19">
        <v>23858.1</v>
      </c>
      <c r="AJ13" s="19">
        <v>24039.3</v>
      </c>
      <c r="AK13" s="19">
        <v>24228.9</v>
      </c>
      <c r="AL13" s="19">
        <v>24427.200000000001</v>
      </c>
      <c r="AM13" s="19">
        <v>24634.6</v>
      </c>
      <c r="AN13" s="19">
        <v>24851.5</v>
      </c>
      <c r="AO13" s="19">
        <v>25078.5</v>
      </c>
      <c r="AP13" s="19">
        <v>25316.1</v>
      </c>
      <c r="AQ13" s="19">
        <v>25564.799999999999</v>
      </c>
      <c r="AR13" s="19">
        <v>25825.1</v>
      </c>
      <c r="AS13" s="19">
        <v>26097.7</v>
      </c>
      <c r="AT13" s="19">
        <v>26383.3</v>
      </c>
      <c r="AU13" s="19">
        <v>26682.6</v>
      </c>
      <c r="AV13" s="19">
        <v>26996.5</v>
      </c>
      <c r="AW13" s="19">
        <v>27325.7</v>
      </c>
      <c r="AX13" s="19">
        <v>27671.200000000001</v>
      </c>
      <c r="AY13" s="19">
        <v>28034</v>
      </c>
      <c r="AZ13" s="19">
        <v>28415.3</v>
      </c>
      <c r="BA13" s="19">
        <v>28816.2</v>
      </c>
      <c r="BB13" s="19">
        <v>28238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</row>
    <row r="14" spans="2:111" x14ac:dyDescent="0.15">
      <c r="B14" s="19" t="str">
        <f t="shared" si="0"/>
        <v>1_男_12</v>
      </c>
      <c r="C14" s="18">
        <v>1</v>
      </c>
      <c r="D14" s="18" t="s">
        <v>9</v>
      </c>
      <c r="E14" s="18">
        <v>12</v>
      </c>
      <c r="F14" s="19">
        <v>18335.900000000001</v>
      </c>
      <c r="G14" s="19">
        <v>19249.3</v>
      </c>
      <c r="H14" s="19">
        <v>20208.3</v>
      </c>
      <c r="I14" s="19">
        <v>21215.200000000001</v>
      </c>
      <c r="J14" s="19">
        <v>21272.6</v>
      </c>
      <c r="K14" s="19">
        <v>21332.799999999999</v>
      </c>
      <c r="L14" s="19">
        <v>21395.7</v>
      </c>
      <c r="M14" s="19">
        <v>21461.7</v>
      </c>
      <c r="N14" s="19">
        <v>21530.799999999999</v>
      </c>
      <c r="O14" s="19">
        <v>21603.200000000001</v>
      </c>
      <c r="P14" s="19">
        <v>21679.1</v>
      </c>
      <c r="Q14" s="19">
        <v>21758.7</v>
      </c>
      <c r="R14" s="19">
        <v>21842.1</v>
      </c>
      <c r="S14" s="19">
        <v>21929.4</v>
      </c>
      <c r="T14" s="19">
        <v>22020.9</v>
      </c>
      <c r="U14" s="19">
        <v>22116.799999999999</v>
      </c>
      <c r="V14" s="19">
        <v>22217.200000000001</v>
      </c>
      <c r="W14" s="19">
        <v>22322.400000000001</v>
      </c>
      <c r="X14" s="19">
        <v>22432.5</v>
      </c>
      <c r="Y14" s="19">
        <v>22547.8</v>
      </c>
      <c r="Z14" s="19">
        <v>22668.5</v>
      </c>
      <c r="AA14" s="19">
        <v>22794.799999999999</v>
      </c>
      <c r="AB14" s="19">
        <v>22927</v>
      </c>
      <c r="AC14" s="19">
        <v>23065.3</v>
      </c>
      <c r="AD14" s="19">
        <v>23210</v>
      </c>
      <c r="AE14" s="19">
        <v>23361.4</v>
      </c>
      <c r="AF14" s="19">
        <v>23519.8</v>
      </c>
      <c r="AG14" s="19">
        <v>23685.4</v>
      </c>
      <c r="AH14" s="19">
        <v>23858.7</v>
      </c>
      <c r="AI14" s="19">
        <v>24039.9</v>
      </c>
      <c r="AJ14" s="19">
        <v>24229.5</v>
      </c>
      <c r="AK14" s="19">
        <v>24427.7</v>
      </c>
      <c r="AL14" s="19">
        <v>24635.1</v>
      </c>
      <c r="AM14" s="19">
        <v>24852.1</v>
      </c>
      <c r="AN14" s="19">
        <v>25079.1</v>
      </c>
      <c r="AO14" s="19">
        <v>25316.7</v>
      </c>
      <c r="AP14" s="19">
        <v>25565.3</v>
      </c>
      <c r="AQ14" s="19">
        <v>25825.599999999999</v>
      </c>
      <c r="AR14" s="19">
        <v>26098.2</v>
      </c>
      <c r="AS14" s="19">
        <v>26383.8</v>
      </c>
      <c r="AT14" s="19">
        <v>26683.1</v>
      </c>
      <c r="AU14" s="19">
        <v>26996.9</v>
      </c>
      <c r="AV14" s="19">
        <v>27326</v>
      </c>
      <c r="AW14" s="19">
        <v>27671.5</v>
      </c>
      <c r="AX14" s="19">
        <v>28034.3</v>
      </c>
      <c r="AY14" s="19">
        <v>28415.4</v>
      </c>
      <c r="AZ14" s="19">
        <v>28816.3</v>
      </c>
      <c r="BA14" s="19">
        <v>28238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</row>
    <row r="15" spans="2:111" x14ac:dyDescent="0.15">
      <c r="B15" s="19" t="str">
        <f t="shared" si="0"/>
        <v>1_男_13</v>
      </c>
      <c r="C15" s="18">
        <v>1</v>
      </c>
      <c r="D15" s="18" t="s">
        <v>9</v>
      </c>
      <c r="E15" s="18">
        <v>13</v>
      </c>
      <c r="F15" s="19">
        <v>18386.400000000001</v>
      </c>
      <c r="G15" s="19">
        <v>19302</v>
      </c>
      <c r="H15" s="19">
        <v>20263.400000000001</v>
      </c>
      <c r="I15" s="19">
        <v>21272.9</v>
      </c>
      <c r="J15" s="19">
        <v>21333.1</v>
      </c>
      <c r="K15" s="19">
        <v>21396</v>
      </c>
      <c r="L15" s="19">
        <v>21462</v>
      </c>
      <c r="M15" s="19">
        <v>21531.1</v>
      </c>
      <c r="N15" s="19">
        <v>21603.599999999999</v>
      </c>
      <c r="O15" s="19">
        <v>21679.5</v>
      </c>
      <c r="P15" s="19">
        <v>21759.1</v>
      </c>
      <c r="Q15" s="19">
        <v>21842.400000000001</v>
      </c>
      <c r="R15" s="19">
        <v>21929.8</v>
      </c>
      <c r="S15" s="19">
        <v>22021.3</v>
      </c>
      <c r="T15" s="19">
        <v>22117.200000000001</v>
      </c>
      <c r="U15" s="19">
        <v>22217.7</v>
      </c>
      <c r="V15" s="19">
        <v>22322.9</v>
      </c>
      <c r="W15" s="19">
        <v>22433</v>
      </c>
      <c r="X15" s="19">
        <v>22548.3</v>
      </c>
      <c r="Y15" s="19">
        <v>22669</v>
      </c>
      <c r="Z15" s="19">
        <v>22795.3</v>
      </c>
      <c r="AA15" s="19">
        <v>22927.5</v>
      </c>
      <c r="AB15" s="19">
        <v>23065.8</v>
      </c>
      <c r="AC15" s="19">
        <v>23210.5</v>
      </c>
      <c r="AD15" s="19">
        <v>23361.9</v>
      </c>
      <c r="AE15" s="19">
        <v>23520.3</v>
      </c>
      <c r="AF15" s="19">
        <v>23686</v>
      </c>
      <c r="AG15" s="19">
        <v>23859.200000000001</v>
      </c>
      <c r="AH15" s="19">
        <v>24040.5</v>
      </c>
      <c r="AI15" s="19">
        <v>24230</v>
      </c>
      <c r="AJ15" s="19">
        <v>24428.3</v>
      </c>
      <c r="AK15" s="19">
        <v>24635.7</v>
      </c>
      <c r="AL15" s="19">
        <v>24852.7</v>
      </c>
      <c r="AM15" s="19">
        <v>25079.7</v>
      </c>
      <c r="AN15" s="19">
        <v>25317.200000000001</v>
      </c>
      <c r="AO15" s="19">
        <v>25565.8</v>
      </c>
      <c r="AP15" s="19">
        <v>25826.1</v>
      </c>
      <c r="AQ15" s="19">
        <v>26098.7</v>
      </c>
      <c r="AR15" s="19">
        <v>26384.3</v>
      </c>
      <c r="AS15" s="19">
        <v>26683.5</v>
      </c>
      <c r="AT15" s="19">
        <v>26997.3</v>
      </c>
      <c r="AU15" s="19">
        <v>27326.400000000001</v>
      </c>
      <c r="AV15" s="19">
        <v>27671.8</v>
      </c>
      <c r="AW15" s="19">
        <v>28034.5</v>
      </c>
      <c r="AX15" s="19">
        <v>28415.599999999999</v>
      </c>
      <c r="AY15" s="19">
        <v>28816.400000000001</v>
      </c>
      <c r="AZ15" s="19">
        <v>28238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</row>
    <row r="16" spans="2:111" x14ac:dyDescent="0.15">
      <c r="B16" s="19" t="str">
        <f t="shared" si="0"/>
        <v>1_男_14</v>
      </c>
      <c r="C16" s="18">
        <v>1</v>
      </c>
      <c r="D16" s="18" t="s">
        <v>9</v>
      </c>
      <c r="E16" s="18">
        <v>14</v>
      </c>
      <c r="F16" s="19">
        <v>18439.3</v>
      </c>
      <c r="G16" s="19">
        <v>19357.3</v>
      </c>
      <c r="H16" s="19">
        <v>20321.2</v>
      </c>
      <c r="I16" s="19">
        <v>21333.4</v>
      </c>
      <c r="J16" s="19">
        <v>21396.400000000001</v>
      </c>
      <c r="K16" s="19">
        <v>21462.3</v>
      </c>
      <c r="L16" s="19">
        <v>21531.5</v>
      </c>
      <c r="M16" s="19">
        <v>21603.9</v>
      </c>
      <c r="N16" s="19">
        <v>21679.9</v>
      </c>
      <c r="O16" s="19">
        <v>21759.5</v>
      </c>
      <c r="P16" s="19">
        <v>21842.799999999999</v>
      </c>
      <c r="Q16" s="19">
        <v>21930.2</v>
      </c>
      <c r="R16" s="19">
        <v>22021.8</v>
      </c>
      <c r="S16" s="19">
        <v>22117.7</v>
      </c>
      <c r="T16" s="19">
        <v>22218.1</v>
      </c>
      <c r="U16" s="19">
        <v>22323.3</v>
      </c>
      <c r="V16" s="19">
        <v>22433.5</v>
      </c>
      <c r="W16" s="19">
        <v>22548.799999999999</v>
      </c>
      <c r="X16" s="19">
        <v>22669.5</v>
      </c>
      <c r="Y16" s="19">
        <v>22795.8</v>
      </c>
      <c r="Z16" s="19">
        <v>22928</v>
      </c>
      <c r="AA16" s="19">
        <v>23066.400000000001</v>
      </c>
      <c r="AB16" s="19">
        <v>23211.1</v>
      </c>
      <c r="AC16" s="19">
        <v>23362.5</v>
      </c>
      <c r="AD16" s="19">
        <v>23520.9</v>
      </c>
      <c r="AE16" s="19">
        <v>23686.5</v>
      </c>
      <c r="AF16" s="19">
        <v>23859.8</v>
      </c>
      <c r="AG16" s="19">
        <v>24041.1</v>
      </c>
      <c r="AH16" s="19">
        <v>24230.6</v>
      </c>
      <c r="AI16" s="19">
        <v>24428.9</v>
      </c>
      <c r="AJ16" s="19">
        <v>24636.3</v>
      </c>
      <c r="AK16" s="19">
        <v>24853.3</v>
      </c>
      <c r="AL16" s="19">
        <v>25080.3</v>
      </c>
      <c r="AM16" s="19">
        <v>25317.8</v>
      </c>
      <c r="AN16" s="19">
        <v>25566.400000000001</v>
      </c>
      <c r="AO16" s="19">
        <v>25826.7</v>
      </c>
      <c r="AP16" s="19">
        <v>26099.200000000001</v>
      </c>
      <c r="AQ16" s="19">
        <v>26384.799999999999</v>
      </c>
      <c r="AR16" s="19">
        <v>26684</v>
      </c>
      <c r="AS16" s="19">
        <v>26997.7</v>
      </c>
      <c r="AT16" s="19">
        <v>27326.799999999999</v>
      </c>
      <c r="AU16" s="19">
        <v>27672.1</v>
      </c>
      <c r="AV16" s="19">
        <v>28034.799999999999</v>
      </c>
      <c r="AW16" s="19">
        <v>28415.8</v>
      </c>
      <c r="AX16" s="19">
        <v>28816.400000000001</v>
      </c>
      <c r="AY16" s="19">
        <v>28238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</row>
    <row r="17" spans="2:111" x14ac:dyDescent="0.15">
      <c r="B17" s="19" t="str">
        <f t="shared" si="0"/>
        <v>1_男_15</v>
      </c>
      <c r="C17" s="18">
        <v>1</v>
      </c>
      <c r="D17" s="18" t="s">
        <v>9</v>
      </c>
      <c r="E17" s="18">
        <v>15</v>
      </c>
      <c r="F17" s="19">
        <v>18494.599999999999</v>
      </c>
      <c r="G17" s="19">
        <v>19415.099999999999</v>
      </c>
      <c r="H17" s="19">
        <v>20381.7</v>
      </c>
      <c r="I17" s="19">
        <v>21396.7</v>
      </c>
      <c r="J17" s="19">
        <v>21462.7</v>
      </c>
      <c r="K17" s="19">
        <v>21531.8</v>
      </c>
      <c r="L17" s="19">
        <v>21604.3</v>
      </c>
      <c r="M17" s="19">
        <v>21680.3</v>
      </c>
      <c r="N17" s="19">
        <v>21759.9</v>
      </c>
      <c r="O17" s="19">
        <v>21843.3</v>
      </c>
      <c r="P17" s="19">
        <v>21930.6</v>
      </c>
      <c r="Q17" s="19">
        <v>22022.2</v>
      </c>
      <c r="R17" s="19">
        <v>22118.1</v>
      </c>
      <c r="S17" s="19">
        <v>22218.6</v>
      </c>
      <c r="T17" s="19">
        <v>22323.8</v>
      </c>
      <c r="U17" s="19">
        <v>22433.9</v>
      </c>
      <c r="V17" s="19">
        <v>22549.3</v>
      </c>
      <c r="W17" s="19">
        <v>22670</v>
      </c>
      <c r="X17" s="19">
        <v>22796.3</v>
      </c>
      <c r="Y17" s="19">
        <v>22928.6</v>
      </c>
      <c r="Z17" s="19">
        <v>23066.9</v>
      </c>
      <c r="AA17" s="19">
        <v>23211.599999999999</v>
      </c>
      <c r="AB17" s="19">
        <v>23363.1</v>
      </c>
      <c r="AC17" s="19">
        <v>23521.5</v>
      </c>
      <c r="AD17" s="19">
        <v>23687.1</v>
      </c>
      <c r="AE17" s="19">
        <v>23860.400000000001</v>
      </c>
      <c r="AF17" s="19">
        <v>24041.7</v>
      </c>
      <c r="AG17" s="19">
        <v>24231.200000000001</v>
      </c>
      <c r="AH17" s="19">
        <v>24429.5</v>
      </c>
      <c r="AI17" s="19">
        <v>24636.9</v>
      </c>
      <c r="AJ17" s="19">
        <v>24853.9</v>
      </c>
      <c r="AK17" s="19">
        <v>25080.9</v>
      </c>
      <c r="AL17" s="19">
        <v>25318.400000000001</v>
      </c>
      <c r="AM17" s="19">
        <v>25567</v>
      </c>
      <c r="AN17" s="19">
        <v>25827.200000000001</v>
      </c>
      <c r="AO17" s="19">
        <v>26099.8</v>
      </c>
      <c r="AP17" s="19">
        <v>26385.3</v>
      </c>
      <c r="AQ17" s="19">
        <v>26684.5</v>
      </c>
      <c r="AR17" s="19">
        <v>26998.1</v>
      </c>
      <c r="AS17" s="19">
        <v>27327.200000000001</v>
      </c>
      <c r="AT17" s="19">
        <v>27672.400000000001</v>
      </c>
      <c r="AU17" s="19">
        <v>28035</v>
      </c>
      <c r="AV17" s="19">
        <v>28416</v>
      </c>
      <c r="AW17" s="19">
        <v>28816.6</v>
      </c>
      <c r="AX17" s="19">
        <v>28238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</row>
    <row r="18" spans="2:111" x14ac:dyDescent="0.15">
      <c r="B18" s="19" t="str">
        <f t="shared" si="0"/>
        <v>1_男_16</v>
      </c>
      <c r="C18" s="18">
        <v>1</v>
      </c>
      <c r="D18" s="18" t="s">
        <v>9</v>
      </c>
      <c r="E18" s="18">
        <v>16</v>
      </c>
      <c r="F18" s="19">
        <v>18552.400000000001</v>
      </c>
      <c r="G18" s="19">
        <v>19475.599999999999</v>
      </c>
      <c r="H18" s="19">
        <v>20445</v>
      </c>
      <c r="I18" s="19">
        <v>21463.1</v>
      </c>
      <c r="J18" s="19">
        <v>21532.2</v>
      </c>
      <c r="K18" s="19">
        <v>21604.7</v>
      </c>
      <c r="L18" s="19">
        <v>21680.7</v>
      </c>
      <c r="M18" s="19">
        <v>21760.3</v>
      </c>
      <c r="N18" s="19">
        <v>21843.7</v>
      </c>
      <c r="O18" s="19">
        <v>21931.1</v>
      </c>
      <c r="P18" s="19">
        <v>22022.7</v>
      </c>
      <c r="Q18" s="19">
        <v>22118.6</v>
      </c>
      <c r="R18" s="19">
        <v>22219.1</v>
      </c>
      <c r="S18" s="19">
        <v>22324.3</v>
      </c>
      <c r="T18" s="19">
        <v>22434.5</v>
      </c>
      <c r="U18" s="19">
        <v>22549.8</v>
      </c>
      <c r="V18" s="19">
        <v>22670.5</v>
      </c>
      <c r="W18" s="19">
        <v>22796.9</v>
      </c>
      <c r="X18" s="19">
        <v>22929.1</v>
      </c>
      <c r="Y18" s="19">
        <v>23067.5</v>
      </c>
      <c r="Z18" s="19">
        <v>23212.2</v>
      </c>
      <c r="AA18" s="19">
        <v>23363.7</v>
      </c>
      <c r="AB18" s="19">
        <v>23522.1</v>
      </c>
      <c r="AC18" s="19">
        <v>23687.8</v>
      </c>
      <c r="AD18" s="19">
        <v>23861.1</v>
      </c>
      <c r="AE18" s="19">
        <v>24042.3</v>
      </c>
      <c r="AF18" s="19">
        <v>24231.9</v>
      </c>
      <c r="AG18" s="19">
        <v>24430.2</v>
      </c>
      <c r="AH18" s="19">
        <v>24637.599999999999</v>
      </c>
      <c r="AI18" s="19">
        <v>24854.5</v>
      </c>
      <c r="AJ18" s="19">
        <v>25081.5</v>
      </c>
      <c r="AK18" s="19">
        <v>25319</v>
      </c>
      <c r="AL18" s="19">
        <v>25567.599999999999</v>
      </c>
      <c r="AM18" s="19">
        <v>25827.8</v>
      </c>
      <c r="AN18" s="19">
        <v>26100.3</v>
      </c>
      <c r="AO18" s="19">
        <v>26385.8</v>
      </c>
      <c r="AP18" s="19">
        <v>26685</v>
      </c>
      <c r="AQ18" s="19">
        <v>26998.6</v>
      </c>
      <c r="AR18" s="19">
        <v>27327.599999999999</v>
      </c>
      <c r="AS18" s="19">
        <v>27672.799999999999</v>
      </c>
      <c r="AT18" s="19">
        <v>28035.3</v>
      </c>
      <c r="AU18" s="19">
        <v>28416.2</v>
      </c>
      <c r="AV18" s="19">
        <v>28816.7</v>
      </c>
      <c r="AW18" s="19">
        <v>28238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</row>
    <row r="19" spans="2:111" x14ac:dyDescent="0.15">
      <c r="B19" s="19" t="str">
        <f t="shared" si="0"/>
        <v>1_男_17</v>
      </c>
      <c r="C19" s="18">
        <v>1</v>
      </c>
      <c r="D19" s="18" t="s">
        <v>9</v>
      </c>
      <c r="E19" s="18">
        <v>17</v>
      </c>
      <c r="F19" s="19">
        <v>18613</v>
      </c>
      <c r="G19" s="19">
        <v>19539</v>
      </c>
      <c r="H19" s="19">
        <v>20511.400000000001</v>
      </c>
      <c r="I19" s="19">
        <v>21532.6</v>
      </c>
      <c r="J19" s="19">
        <v>21605.1</v>
      </c>
      <c r="K19" s="19">
        <v>21681.1</v>
      </c>
      <c r="L19" s="19">
        <v>21760.7</v>
      </c>
      <c r="M19" s="19">
        <v>21844.1</v>
      </c>
      <c r="N19" s="19">
        <v>21931.5</v>
      </c>
      <c r="O19" s="19">
        <v>22023.1</v>
      </c>
      <c r="P19" s="19">
        <v>22119.1</v>
      </c>
      <c r="Q19" s="19">
        <v>22219.599999999999</v>
      </c>
      <c r="R19" s="19">
        <v>22324.799999999999</v>
      </c>
      <c r="S19" s="19">
        <v>22435</v>
      </c>
      <c r="T19" s="19">
        <v>22550.3</v>
      </c>
      <c r="U19" s="19">
        <v>22671.1</v>
      </c>
      <c r="V19" s="19">
        <v>22797.5</v>
      </c>
      <c r="W19" s="19">
        <v>22929.7</v>
      </c>
      <c r="X19" s="19">
        <v>23068.1</v>
      </c>
      <c r="Y19" s="19">
        <v>23212.799999999999</v>
      </c>
      <c r="Z19" s="19">
        <v>23364.3</v>
      </c>
      <c r="AA19" s="19">
        <v>23522.7</v>
      </c>
      <c r="AB19" s="19">
        <v>23688.400000000001</v>
      </c>
      <c r="AC19" s="19">
        <v>23861.7</v>
      </c>
      <c r="AD19" s="19">
        <v>24043</v>
      </c>
      <c r="AE19" s="19">
        <v>24232.5</v>
      </c>
      <c r="AF19" s="19">
        <v>24430.799999999999</v>
      </c>
      <c r="AG19" s="19">
        <v>24638.2</v>
      </c>
      <c r="AH19" s="19">
        <v>24855.200000000001</v>
      </c>
      <c r="AI19" s="19">
        <v>25082.1</v>
      </c>
      <c r="AJ19" s="19">
        <v>25319.599999999999</v>
      </c>
      <c r="AK19" s="19">
        <v>25568.2</v>
      </c>
      <c r="AL19" s="19">
        <v>25828.400000000001</v>
      </c>
      <c r="AM19" s="19">
        <v>26100.9</v>
      </c>
      <c r="AN19" s="19">
        <v>26386.400000000001</v>
      </c>
      <c r="AO19" s="19">
        <v>26685.5</v>
      </c>
      <c r="AP19" s="19">
        <v>26999.1</v>
      </c>
      <c r="AQ19" s="19">
        <v>27328</v>
      </c>
      <c r="AR19" s="19">
        <v>27673.1</v>
      </c>
      <c r="AS19" s="19">
        <v>28035.599999999999</v>
      </c>
      <c r="AT19" s="19">
        <v>28416.400000000001</v>
      </c>
      <c r="AU19" s="19">
        <v>28816.799999999999</v>
      </c>
      <c r="AV19" s="19">
        <v>28238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</row>
    <row r="20" spans="2:111" x14ac:dyDescent="0.15">
      <c r="B20" s="19" t="str">
        <f t="shared" si="0"/>
        <v>1_男_18</v>
      </c>
      <c r="C20" s="18">
        <v>1</v>
      </c>
      <c r="D20" s="18" t="s">
        <v>9</v>
      </c>
      <c r="E20" s="18">
        <v>18</v>
      </c>
      <c r="F20" s="19">
        <v>18676.5</v>
      </c>
      <c r="G20" s="19">
        <v>19605.400000000001</v>
      </c>
      <c r="H20" s="19">
        <v>20581</v>
      </c>
      <c r="I20" s="19">
        <v>21605.5</v>
      </c>
      <c r="J20" s="19">
        <v>21681.5</v>
      </c>
      <c r="K20" s="19">
        <v>21761.1</v>
      </c>
      <c r="L20" s="19">
        <v>21844.6</v>
      </c>
      <c r="M20" s="19">
        <v>21932</v>
      </c>
      <c r="N20" s="19">
        <v>22023.599999999999</v>
      </c>
      <c r="O20" s="19">
        <v>22119.599999999999</v>
      </c>
      <c r="P20" s="19">
        <v>22220.1</v>
      </c>
      <c r="Q20" s="19">
        <v>22325.3</v>
      </c>
      <c r="R20" s="19">
        <v>22435.5</v>
      </c>
      <c r="S20" s="19">
        <v>22550.9</v>
      </c>
      <c r="T20" s="19">
        <v>22671.7</v>
      </c>
      <c r="U20" s="19">
        <v>22798</v>
      </c>
      <c r="V20" s="19">
        <v>22930.3</v>
      </c>
      <c r="W20" s="19">
        <v>23068.7</v>
      </c>
      <c r="X20" s="19">
        <v>23213.5</v>
      </c>
      <c r="Y20" s="19">
        <v>23364.9</v>
      </c>
      <c r="Z20" s="19">
        <v>23523.3</v>
      </c>
      <c r="AA20" s="19">
        <v>23689.1</v>
      </c>
      <c r="AB20" s="19">
        <v>23862.400000000001</v>
      </c>
      <c r="AC20" s="19">
        <v>24043.599999999999</v>
      </c>
      <c r="AD20" s="19">
        <v>24233.200000000001</v>
      </c>
      <c r="AE20" s="19">
        <v>24431.5</v>
      </c>
      <c r="AF20" s="19">
        <v>24638.9</v>
      </c>
      <c r="AG20" s="19">
        <v>24855.8</v>
      </c>
      <c r="AH20" s="19">
        <v>25082.799999999999</v>
      </c>
      <c r="AI20" s="19">
        <v>25320.3</v>
      </c>
      <c r="AJ20" s="19">
        <v>25568.9</v>
      </c>
      <c r="AK20" s="19">
        <v>25829.1</v>
      </c>
      <c r="AL20" s="19">
        <v>26101.5</v>
      </c>
      <c r="AM20" s="19">
        <v>26386.9</v>
      </c>
      <c r="AN20" s="19">
        <v>26686</v>
      </c>
      <c r="AO20" s="19">
        <v>26999.5</v>
      </c>
      <c r="AP20" s="19">
        <v>27328.400000000001</v>
      </c>
      <c r="AQ20" s="19">
        <v>27673.5</v>
      </c>
      <c r="AR20" s="19">
        <v>28035.9</v>
      </c>
      <c r="AS20" s="19">
        <v>28416.6</v>
      </c>
      <c r="AT20" s="19">
        <v>28816.9</v>
      </c>
      <c r="AU20" s="19">
        <v>28238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</row>
    <row r="21" spans="2:111" x14ac:dyDescent="0.15">
      <c r="B21" s="19" t="str">
        <f t="shared" si="0"/>
        <v>1_男_19</v>
      </c>
      <c r="C21" s="18">
        <v>1</v>
      </c>
      <c r="D21" s="18" t="s">
        <v>9</v>
      </c>
      <c r="E21" s="18">
        <v>19</v>
      </c>
      <c r="F21" s="19">
        <v>18743</v>
      </c>
      <c r="G21" s="19">
        <v>19675.099999999999</v>
      </c>
      <c r="H21" s="19">
        <v>20653.900000000001</v>
      </c>
      <c r="I21" s="19">
        <v>21681.9</v>
      </c>
      <c r="J21" s="19">
        <v>21761.599999999999</v>
      </c>
      <c r="K21" s="19">
        <v>21845</v>
      </c>
      <c r="L21" s="19">
        <v>21932.5</v>
      </c>
      <c r="M21" s="19">
        <v>22024.1</v>
      </c>
      <c r="N21" s="19">
        <v>22120.1</v>
      </c>
      <c r="O21" s="19">
        <v>22220.6</v>
      </c>
      <c r="P21" s="19">
        <v>22325.9</v>
      </c>
      <c r="Q21" s="19">
        <v>22436.1</v>
      </c>
      <c r="R21" s="19">
        <v>22551.5</v>
      </c>
      <c r="S21" s="19">
        <v>22672.3</v>
      </c>
      <c r="T21" s="19">
        <v>22798.6</v>
      </c>
      <c r="U21" s="19">
        <v>22930.9</v>
      </c>
      <c r="V21" s="19">
        <v>23069.3</v>
      </c>
      <c r="W21" s="19">
        <v>23214.1</v>
      </c>
      <c r="X21" s="19">
        <v>23365.599999999999</v>
      </c>
      <c r="Y21" s="19">
        <v>23524</v>
      </c>
      <c r="Z21" s="19">
        <v>23689.7</v>
      </c>
      <c r="AA21" s="19">
        <v>23863.1</v>
      </c>
      <c r="AB21" s="19">
        <v>24044.3</v>
      </c>
      <c r="AC21" s="19">
        <v>24233.9</v>
      </c>
      <c r="AD21" s="19">
        <v>24432.2</v>
      </c>
      <c r="AE21" s="19">
        <v>24639.599999999999</v>
      </c>
      <c r="AF21" s="19">
        <v>24856.5</v>
      </c>
      <c r="AG21" s="19">
        <v>25083.5</v>
      </c>
      <c r="AH21" s="19">
        <v>25321</v>
      </c>
      <c r="AI21" s="19">
        <v>25569.5</v>
      </c>
      <c r="AJ21" s="19">
        <v>25829.7</v>
      </c>
      <c r="AK21" s="19">
        <v>26102.1</v>
      </c>
      <c r="AL21" s="19">
        <v>26387.5</v>
      </c>
      <c r="AM21" s="19">
        <v>26686.5</v>
      </c>
      <c r="AN21" s="19">
        <v>27000</v>
      </c>
      <c r="AO21" s="19">
        <v>27328.799999999999</v>
      </c>
      <c r="AP21" s="19">
        <v>27673.9</v>
      </c>
      <c r="AQ21" s="19">
        <v>28036.2</v>
      </c>
      <c r="AR21" s="19">
        <v>28416.799999999999</v>
      </c>
      <c r="AS21" s="19">
        <v>28817</v>
      </c>
      <c r="AT21" s="19">
        <v>28238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</row>
    <row r="22" spans="2:111" x14ac:dyDescent="0.15">
      <c r="B22" s="19" t="str">
        <f t="shared" si="0"/>
        <v>1_男_20</v>
      </c>
      <c r="C22" s="18">
        <v>1</v>
      </c>
      <c r="D22" s="18" t="s">
        <v>9</v>
      </c>
      <c r="E22" s="18">
        <v>20</v>
      </c>
      <c r="F22" s="19">
        <v>18812.7</v>
      </c>
      <c r="G22" s="19">
        <v>19748.099999999999</v>
      </c>
      <c r="H22" s="19">
        <v>20730.400000000001</v>
      </c>
      <c r="I22" s="19">
        <v>21762.1</v>
      </c>
      <c r="J22" s="19">
        <v>21845.5</v>
      </c>
      <c r="K22" s="19">
        <v>21933</v>
      </c>
      <c r="L22" s="19">
        <v>22024.6</v>
      </c>
      <c r="M22" s="19">
        <v>22120.6</v>
      </c>
      <c r="N22" s="19">
        <v>22221.1</v>
      </c>
      <c r="O22" s="19">
        <v>22326.400000000001</v>
      </c>
      <c r="P22" s="19">
        <v>22436.7</v>
      </c>
      <c r="Q22" s="19">
        <v>22552.1</v>
      </c>
      <c r="R22" s="19">
        <v>22672.9</v>
      </c>
      <c r="S22" s="19">
        <v>22799.3</v>
      </c>
      <c r="T22" s="19">
        <v>22931.599999999999</v>
      </c>
      <c r="U22" s="19">
        <v>23070</v>
      </c>
      <c r="V22" s="19">
        <v>23214.799999999999</v>
      </c>
      <c r="W22" s="19">
        <v>23366.3</v>
      </c>
      <c r="X22" s="19">
        <v>23524.7</v>
      </c>
      <c r="Y22" s="19">
        <v>23690.400000000001</v>
      </c>
      <c r="Z22" s="19">
        <v>23863.8</v>
      </c>
      <c r="AA22" s="19">
        <v>24045</v>
      </c>
      <c r="AB22" s="19">
        <v>24234.6</v>
      </c>
      <c r="AC22" s="19">
        <v>24432.9</v>
      </c>
      <c r="AD22" s="19">
        <v>24640.3</v>
      </c>
      <c r="AE22" s="19">
        <v>24857.3</v>
      </c>
      <c r="AF22" s="19">
        <v>25084.2</v>
      </c>
      <c r="AG22" s="19">
        <v>25321.7</v>
      </c>
      <c r="AH22" s="19">
        <v>25570.2</v>
      </c>
      <c r="AI22" s="19">
        <v>25830.400000000001</v>
      </c>
      <c r="AJ22" s="19">
        <v>26102.799999999999</v>
      </c>
      <c r="AK22" s="19">
        <v>26388.1</v>
      </c>
      <c r="AL22" s="19">
        <v>26687.1</v>
      </c>
      <c r="AM22" s="19">
        <v>27000.6</v>
      </c>
      <c r="AN22" s="19">
        <v>27329.3</v>
      </c>
      <c r="AO22" s="19">
        <v>27674.3</v>
      </c>
      <c r="AP22" s="19">
        <v>28036.5</v>
      </c>
      <c r="AQ22" s="19">
        <v>28417</v>
      </c>
      <c r="AR22" s="19">
        <v>28817.1</v>
      </c>
      <c r="AS22" s="19">
        <v>28238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</row>
    <row r="23" spans="2:111" x14ac:dyDescent="0.15">
      <c r="B23" s="19" t="str">
        <f t="shared" si="0"/>
        <v>1_男_21</v>
      </c>
      <c r="C23" s="18">
        <v>1</v>
      </c>
      <c r="D23" s="18" t="s">
        <v>9</v>
      </c>
      <c r="E23" s="18">
        <v>21</v>
      </c>
      <c r="F23" s="19">
        <v>18885.8</v>
      </c>
      <c r="G23" s="19">
        <v>19824.599999999999</v>
      </c>
      <c r="H23" s="19">
        <v>20810.599999999999</v>
      </c>
      <c r="I23" s="19">
        <v>21846</v>
      </c>
      <c r="J23" s="19">
        <v>21933.5</v>
      </c>
      <c r="K23" s="19">
        <v>22025.200000000001</v>
      </c>
      <c r="L23" s="19">
        <v>22121.200000000001</v>
      </c>
      <c r="M23" s="19">
        <v>22221.7</v>
      </c>
      <c r="N23" s="19">
        <v>22327</v>
      </c>
      <c r="O23" s="19">
        <v>22437.3</v>
      </c>
      <c r="P23" s="19">
        <v>22552.7</v>
      </c>
      <c r="Q23" s="19">
        <v>22673.5</v>
      </c>
      <c r="R23" s="19">
        <v>22799.9</v>
      </c>
      <c r="S23" s="19">
        <v>22932.2</v>
      </c>
      <c r="T23" s="19">
        <v>23070.7</v>
      </c>
      <c r="U23" s="19">
        <v>23215.5</v>
      </c>
      <c r="V23" s="19">
        <v>23367</v>
      </c>
      <c r="W23" s="19">
        <v>23525.4</v>
      </c>
      <c r="X23" s="19">
        <v>23691.200000000001</v>
      </c>
      <c r="Y23" s="19">
        <v>23864.5</v>
      </c>
      <c r="Z23" s="19">
        <v>24045.8</v>
      </c>
      <c r="AA23" s="19">
        <v>24235.4</v>
      </c>
      <c r="AB23" s="19">
        <v>24433.7</v>
      </c>
      <c r="AC23" s="19">
        <v>24641.1</v>
      </c>
      <c r="AD23" s="19">
        <v>24858</v>
      </c>
      <c r="AE23" s="19">
        <v>25085</v>
      </c>
      <c r="AF23" s="19">
        <v>25322.400000000001</v>
      </c>
      <c r="AG23" s="19">
        <v>25570.9</v>
      </c>
      <c r="AH23" s="19">
        <v>25831.1</v>
      </c>
      <c r="AI23" s="19">
        <v>26103.4</v>
      </c>
      <c r="AJ23" s="19">
        <v>26388.7</v>
      </c>
      <c r="AK23" s="19">
        <v>26687.7</v>
      </c>
      <c r="AL23" s="19">
        <v>27001.1</v>
      </c>
      <c r="AM23" s="19">
        <v>27329.8</v>
      </c>
      <c r="AN23" s="19">
        <v>27674.7</v>
      </c>
      <c r="AO23" s="19">
        <v>28036.799999999999</v>
      </c>
      <c r="AP23" s="19">
        <v>28417.3</v>
      </c>
      <c r="AQ23" s="19">
        <v>28817.200000000001</v>
      </c>
      <c r="AR23" s="19">
        <v>28238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</row>
    <row r="24" spans="2:111" x14ac:dyDescent="0.15">
      <c r="B24" s="19" t="str">
        <f t="shared" si="0"/>
        <v>1_男_22</v>
      </c>
      <c r="C24" s="18">
        <v>1</v>
      </c>
      <c r="D24" s="18" t="s">
        <v>9</v>
      </c>
      <c r="E24" s="18">
        <v>22</v>
      </c>
      <c r="F24" s="19">
        <v>18962.400000000001</v>
      </c>
      <c r="G24" s="19">
        <v>19904.8</v>
      </c>
      <c r="H24" s="19">
        <v>20894.599999999999</v>
      </c>
      <c r="I24" s="19">
        <v>21934</v>
      </c>
      <c r="J24" s="19">
        <v>22025.7</v>
      </c>
      <c r="K24" s="19">
        <v>22121.7</v>
      </c>
      <c r="L24" s="19">
        <v>22222.3</v>
      </c>
      <c r="M24" s="19">
        <v>22327.599999999999</v>
      </c>
      <c r="N24" s="19">
        <v>22437.9</v>
      </c>
      <c r="O24" s="19">
        <v>22553.3</v>
      </c>
      <c r="P24" s="19">
        <v>22674.1</v>
      </c>
      <c r="Q24" s="19">
        <v>22800.6</v>
      </c>
      <c r="R24" s="19">
        <v>22932.9</v>
      </c>
      <c r="S24" s="19">
        <v>23071.3</v>
      </c>
      <c r="T24" s="19">
        <v>23216.2</v>
      </c>
      <c r="U24" s="19">
        <v>23367.7</v>
      </c>
      <c r="V24" s="19">
        <v>23526.2</v>
      </c>
      <c r="W24" s="19">
        <v>23691.9</v>
      </c>
      <c r="X24" s="19">
        <v>23865.3</v>
      </c>
      <c r="Y24" s="19">
        <v>24046.6</v>
      </c>
      <c r="Z24" s="19">
        <v>24236.2</v>
      </c>
      <c r="AA24" s="19">
        <v>24434.5</v>
      </c>
      <c r="AB24" s="19">
        <v>24641.8</v>
      </c>
      <c r="AC24" s="19">
        <v>24858.799999999999</v>
      </c>
      <c r="AD24" s="19">
        <v>25085.7</v>
      </c>
      <c r="AE24" s="19">
        <v>25323.200000000001</v>
      </c>
      <c r="AF24" s="19">
        <v>25571.7</v>
      </c>
      <c r="AG24" s="19">
        <v>25831.8</v>
      </c>
      <c r="AH24" s="19">
        <v>26104.1</v>
      </c>
      <c r="AI24" s="19">
        <v>26389.4</v>
      </c>
      <c r="AJ24" s="19">
        <v>26688.3</v>
      </c>
      <c r="AK24" s="19">
        <v>27001.599999999999</v>
      </c>
      <c r="AL24" s="19">
        <v>27330.3</v>
      </c>
      <c r="AM24" s="19">
        <v>27675.1</v>
      </c>
      <c r="AN24" s="19">
        <v>28037.200000000001</v>
      </c>
      <c r="AO24" s="19">
        <v>28417.5</v>
      </c>
      <c r="AP24" s="19">
        <v>28817.4</v>
      </c>
      <c r="AQ24" s="19">
        <v>28238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</row>
    <row r="25" spans="2:111" x14ac:dyDescent="0.15">
      <c r="B25" s="19" t="str">
        <f t="shared" si="0"/>
        <v>1_男_23</v>
      </c>
      <c r="C25" s="18">
        <v>1</v>
      </c>
      <c r="D25" s="18" t="s">
        <v>9</v>
      </c>
      <c r="E25" s="18">
        <v>23</v>
      </c>
      <c r="F25" s="19">
        <v>19042.7</v>
      </c>
      <c r="G25" s="19">
        <v>19988.900000000001</v>
      </c>
      <c r="H25" s="19">
        <v>20982.7</v>
      </c>
      <c r="I25" s="19">
        <v>22026.3</v>
      </c>
      <c r="J25" s="19">
        <v>22122.3</v>
      </c>
      <c r="K25" s="19">
        <v>22222.9</v>
      </c>
      <c r="L25" s="19">
        <v>22328.2</v>
      </c>
      <c r="M25" s="19">
        <v>22438.5</v>
      </c>
      <c r="N25" s="19">
        <v>22554</v>
      </c>
      <c r="O25" s="19">
        <v>22674.799999999999</v>
      </c>
      <c r="P25" s="19">
        <v>22801.3</v>
      </c>
      <c r="Q25" s="19">
        <v>22933.599999999999</v>
      </c>
      <c r="R25" s="19">
        <v>23072.1</v>
      </c>
      <c r="S25" s="19">
        <v>23216.9</v>
      </c>
      <c r="T25" s="19">
        <v>23368.400000000001</v>
      </c>
      <c r="U25" s="19">
        <v>23526.9</v>
      </c>
      <c r="V25" s="19">
        <v>23692.7</v>
      </c>
      <c r="W25" s="19">
        <v>23866</v>
      </c>
      <c r="X25" s="19">
        <v>24047.3</v>
      </c>
      <c r="Y25" s="19">
        <v>24237</v>
      </c>
      <c r="Z25" s="19">
        <v>24435.3</v>
      </c>
      <c r="AA25" s="19">
        <v>24642.6</v>
      </c>
      <c r="AB25" s="19">
        <v>24859.599999999999</v>
      </c>
      <c r="AC25" s="19">
        <v>25086.5</v>
      </c>
      <c r="AD25" s="19">
        <v>25323.9</v>
      </c>
      <c r="AE25" s="19">
        <v>25572.400000000001</v>
      </c>
      <c r="AF25" s="19">
        <v>25832.5</v>
      </c>
      <c r="AG25" s="19">
        <v>26104.799999999999</v>
      </c>
      <c r="AH25" s="19">
        <v>26390.1</v>
      </c>
      <c r="AI25" s="19">
        <v>26688.9</v>
      </c>
      <c r="AJ25" s="19">
        <v>27002.2</v>
      </c>
      <c r="AK25" s="19">
        <v>27330.799999999999</v>
      </c>
      <c r="AL25" s="19">
        <v>27675.5</v>
      </c>
      <c r="AM25" s="19">
        <v>28037.5</v>
      </c>
      <c r="AN25" s="19">
        <v>28417.7</v>
      </c>
      <c r="AO25" s="19">
        <v>28817.5</v>
      </c>
      <c r="AP25" s="19">
        <v>28238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</row>
    <row r="26" spans="2:111" x14ac:dyDescent="0.15">
      <c r="B26" s="19" t="str">
        <f t="shared" si="0"/>
        <v>1_男_24</v>
      </c>
      <c r="C26" s="18">
        <v>1</v>
      </c>
      <c r="D26" s="18" t="s">
        <v>9</v>
      </c>
      <c r="E26" s="18">
        <v>24</v>
      </c>
      <c r="F26" s="19">
        <v>19126.900000000001</v>
      </c>
      <c r="G26" s="19">
        <v>20077.099999999999</v>
      </c>
      <c r="H26" s="19">
        <v>21075</v>
      </c>
      <c r="I26" s="19">
        <v>22122.9</v>
      </c>
      <c r="J26" s="19">
        <v>22223.5</v>
      </c>
      <c r="K26" s="19">
        <v>22328.9</v>
      </c>
      <c r="L26" s="19">
        <v>22439.200000000001</v>
      </c>
      <c r="M26" s="19">
        <v>22554.6</v>
      </c>
      <c r="N26" s="19">
        <v>22675.5</v>
      </c>
      <c r="O26" s="19">
        <v>22802</v>
      </c>
      <c r="P26" s="19">
        <v>22934.3</v>
      </c>
      <c r="Q26" s="19">
        <v>23072.799999999999</v>
      </c>
      <c r="R26" s="19">
        <v>23217.7</v>
      </c>
      <c r="S26" s="19">
        <v>23369.200000000001</v>
      </c>
      <c r="T26" s="19">
        <v>23527.7</v>
      </c>
      <c r="U26" s="19">
        <v>23693.5</v>
      </c>
      <c r="V26" s="19">
        <v>23866.9</v>
      </c>
      <c r="W26" s="19">
        <v>24048.2</v>
      </c>
      <c r="X26" s="19">
        <v>24237.8</v>
      </c>
      <c r="Y26" s="19">
        <v>24436.1</v>
      </c>
      <c r="Z26" s="19">
        <v>24643.5</v>
      </c>
      <c r="AA26" s="19">
        <v>24860.400000000001</v>
      </c>
      <c r="AB26" s="19">
        <v>25087.3</v>
      </c>
      <c r="AC26" s="19">
        <v>25324.7</v>
      </c>
      <c r="AD26" s="19">
        <v>25573.200000000001</v>
      </c>
      <c r="AE26" s="19">
        <v>25833.3</v>
      </c>
      <c r="AF26" s="19">
        <v>26105.599999999999</v>
      </c>
      <c r="AG26" s="19">
        <v>26390.7</v>
      </c>
      <c r="AH26" s="19">
        <v>26689.599999999999</v>
      </c>
      <c r="AI26" s="19">
        <v>27002.799999999999</v>
      </c>
      <c r="AJ26" s="19">
        <v>27331.3</v>
      </c>
      <c r="AK26" s="19">
        <v>27676</v>
      </c>
      <c r="AL26" s="19">
        <v>28037.9</v>
      </c>
      <c r="AM26" s="19">
        <v>28418</v>
      </c>
      <c r="AN26" s="19">
        <v>28817.599999999999</v>
      </c>
      <c r="AO26" s="19">
        <v>28238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</row>
    <row r="27" spans="2:111" x14ac:dyDescent="0.15">
      <c r="B27" s="19" t="str">
        <f t="shared" si="0"/>
        <v>1_男_25</v>
      </c>
      <c r="C27" s="18">
        <v>1</v>
      </c>
      <c r="D27" s="18" t="s">
        <v>9</v>
      </c>
      <c r="E27" s="18">
        <v>25</v>
      </c>
      <c r="F27" s="19">
        <v>19215.099999999999</v>
      </c>
      <c r="G27" s="19">
        <v>20169.5</v>
      </c>
      <c r="H27" s="19">
        <v>21171.7</v>
      </c>
      <c r="I27" s="19">
        <v>22224.2</v>
      </c>
      <c r="J27" s="19">
        <v>22329.5</v>
      </c>
      <c r="K27" s="19">
        <v>22439.9</v>
      </c>
      <c r="L27" s="19">
        <v>22555.3</v>
      </c>
      <c r="M27" s="19">
        <v>22676.2</v>
      </c>
      <c r="N27" s="19">
        <v>22802.7</v>
      </c>
      <c r="O27" s="19">
        <v>22935.1</v>
      </c>
      <c r="P27" s="19">
        <v>23073.599999999999</v>
      </c>
      <c r="Q27" s="19">
        <v>23218.5</v>
      </c>
      <c r="R27" s="19">
        <v>23370</v>
      </c>
      <c r="S27" s="19">
        <v>23528.5</v>
      </c>
      <c r="T27" s="19">
        <v>23694.3</v>
      </c>
      <c r="U27" s="19">
        <v>23867.7</v>
      </c>
      <c r="V27" s="19">
        <v>24049</v>
      </c>
      <c r="W27" s="19">
        <v>24238.6</v>
      </c>
      <c r="X27" s="19">
        <v>24436.9</v>
      </c>
      <c r="Y27" s="19">
        <v>24644.3</v>
      </c>
      <c r="Z27" s="19">
        <v>24861.200000000001</v>
      </c>
      <c r="AA27" s="19">
        <v>25088.2</v>
      </c>
      <c r="AB27" s="19">
        <v>25325.599999999999</v>
      </c>
      <c r="AC27" s="19">
        <v>25574</v>
      </c>
      <c r="AD27" s="19">
        <v>25834</v>
      </c>
      <c r="AE27" s="19">
        <v>26106.3</v>
      </c>
      <c r="AF27" s="19">
        <v>26391.5</v>
      </c>
      <c r="AG27" s="19">
        <v>26690.2</v>
      </c>
      <c r="AH27" s="19">
        <v>27003.4</v>
      </c>
      <c r="AI27" s="19">
        <v>27331.8</v>
      </c>
      <c r="AJ27" s="19">
        <v>27676.400000000001</v>
      </c>
      <c r="AK27" s="19">
        <v>28038.2</v>
      </c>
      <c r="AL27" s="19">
        <v>28418.3</v>
      </c>
      <c r="AM27" s="19">
        <v>28817.8</v>
      </c>
      <c r="AN27" s="19">
        <v>28238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</row>
    <row r="28" spans="2:111" x14ac:dyDescent="0.15">
      <c r="B28" s="19" t="str">
        <f t="shared" si="0"/>
        <v>1_男_26</v>
      </c>
      <c r="C28" s="18">
        <v>1</v>
      </c>
      <c r="D28" s="18" t="s">
        <v>9</v>
      </c>
      <c r="E28" s="18">
        <v>26</v>
      </c>
      <c r="F28" s="19">
        <v>19307.599999999999</v>
      </c>
      <c r="G28" s="19">
        <v>20266.3</v>
      </c>
      <c r="H28" s="19">
        <v>21273</v>
      </c>
      <c r="I28" s="19">
        <v>22330.2</v>
      </c>
      <c r="J28" s="19">
        <v>22440.6</v>
      </c>
      <c r="K28" s="19">
        <v>22556.1</v>
      </c>
      <c r="L28" s="19">
        <v>22677</v>
      </c>
      <c r="M28" s="19">
        <v>22803.5</v>
      </c>
      <c r="N28" s="19">
        <v>22935.9</v>
      </c>
      <c r="O28" s="19">
        <v>23074.400000000001</v>
      </c>
      <c r="P28" s="19">
        <v>23219.3</v>
      </c>
      <c r="Q28" s="19">
        <v>23370.799999999999</v>
      </c>
      <c r="R28" s="19">
        <v>23529.4</v>
      </c>
      <c r="S28" s="19">
        <v>23695.200000000001</v>
      </c>
      <c r="T28" s="19">
        <v>23868.6</v>
      </c>
      <c r="U28" s="19">
        <v>24049.9</v>
      </c>
      <c r="V28" s="19">
        <v>24239.5</v>
      </c>
      <c r="W28" s="19">
        <v>24437.8</v>
      </c>
      <c r="X28" s="19">
        <v>24645.200000000001</v>
      </c>
      <c r="Y28" s="19">
        <v>24862.1</v>
      </c>
      <c r="Z28" s="19">
        <v>25089</v>
      </c>
      <c r="AA28" s="19">
        <v>25326.400000000001</v>
      </c>
      <c r="AB28" s="19">
        <v>25574.799999999999</v>
      </c>
      <c r="AC28" s="19">
        <v>25834.9</v>
      </c>
      <c r="AD28" s="19">
        <v>26107.1</v>
      </c>
      <c r="AE28" s="19">
        <v>26392.2</v>
      </c>
      <c r="AF28" s="19">
        <v>26690.9</v>
      </c>
      <c r="AG28" s="19">
        <v>27004</v>
      </c>
      <c r="AH28" s="19">
        <v>27332.400000000001</v>
      </c>
      <c r="AI28" s="19">
        <v>27676.9</v>
      </c>
      <c r="AJ28" s="19">
        <v>28038.6</v>
      </c>
      <c r="AK28" s="19">
        <v>28418.5</v>
      </c>
      <c r="AL28" s="19">
        <v>28817.9</v>
      </c>
      <c r="AM28" s="19">
        <v>28238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</row>
    <row r="29" spans="2:111" x14ac:dyDescent="0.15">
      <c r="B29" s="19" t="str">
        <f t="shared" si="0"/>
        <v>1_男_27</v>
      </c>
      <c r="C29" s="18">
        <v>1</v>
      </c>
      <c r="D29" s="18" t="s">
        <v>9</v>
      </c>
      <c r="E29" s="18">
        <v>27</v>
      </c>
      <c r="F29" s="19">
        <v>19404.599999999999</v>
      </c>
      <c r="G29" s="19">
        <v>20367.7</v>
      </c>
      <c r="H29" s="19">
        <v>21379.1</v>
      </c>
      <c r="I29" s="19">
        <v>22441.3</v>
      </c>
      <c r="J29" s="19">
        <v>22556.799999999999</v>
      </c>
      <c r="K29" s="19">
        <v>22677.7</v>
      </c>
      <c r="L29" s="19">
        <v>22804.3</v>
      </c>
      <c r="M29" s="19">
        <v>22936.7</v>
      </c>
      <c r="N29" s="19">
        <v>23075.200000000001</v>
      </c>
      <c r="O29" s="19">
        <v>23220.1</v>
      </c>
      <c r="P29" s="19">
        <v>23371.7</v>
      </c>
      <c r="Q29" s="19">
        <v>23530.2</v>
      </c>
      <c r="R29" s="19">
        <v>23696.1</v>
      </c>
      <c r="S29" s="19">
        <v>23869.5</v>
      </c>
      <c r="T29" s="19">
        <v>24050.799999999999</v>
      </c>
      <c r="U29" s="19">
        <v>24240.400000000001</v>
      </c>
      <c r="V29" s="19">
        <v>24438.7</v>
      </c>
      <c r="W29" s="19">
        <v>24646.1</v>
      </c>
      <c r="X29" s="19">
        <v>24863</v>
      </c>
      <c r="Y29" s="19">
        <v>25089.9</v>
      </c>
      <c r="Z29" s="19">
        <v>25327.3</v>
      </c>
      <c r="AA29" s="19">
        <v>25575.7</v>
      </c>
      <c r="AB29" s="19">
        <v>25835.7</v>
      </c>
      <c r="AC29" s="19">
        <v>26107.9</v>
      </c>
      <c r="AD29" s="19">
        <v>26393</v>
      </c>
      <c r="AE29" s="19">
        <v>26691.599999999999</v>
      </c>
      <c r="AF29" s="19">
        <v>27004.7</v>
      </c>
      <c r="AG29" s="19">
        <v>27333</v>
      </c>
      <c r="AH29" s="19">
        <v>27677.4</v>
      </c>
      <c r="AI29" s="19">
        <v>28039</v>
      </c>
      <c r="AJ29" s="19">
        <v>28418.799999999999</v>
      </c>
      <c r="AK29" s="19">
        <v>28818.1</v>
      </c>
      <c r="AL29" s="19">
        <v>28238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</row>
    <row r="30" spans="2:111" x14ac:dyDescent="0.15">
      <c r="B30" s="19" t="str">
        <f t="shared" si="0"/>
        <v>1_男_28</v>
      </c>
      <c r="C30" s="18">
        <v>1</v>
      </c>
      <c r="D30" s="18" t="s">
        <v>9</v>
      </c>
      <c r="E30" s="18">
        <v>28</v>
      </c>
      <c r="F30" s="19">
        <v>19506.099999999999</v>
      </c>
      <c r="G30" s="19">
        <v>20473.900000000001</v>
      </c>
      <c r="H30" s="19">
        <v>21490.3</v>
      </c>
      <c r="I30" s="19">
        <v>22557.599999999999</v>
      </c>
      <c r="J30" s="19">
        <v>22678.5</v>
      </c>
      <c r="K30" s="19">
        <v>22805.1</v>
      </c>
      <c r="L30" s="19">
        <v>22937.5</v>
      </c>
      <c r="M30" s="19">
        <v>23076.1</v>
      </c>
      <c r="N30" s="19">
        <v>23221</v>
      </c>
      <c r="O30" s="19">
        <v>23372.6</v>
      </c>
      <c r="P30" s="19">
        <v>23531.200000000001</v>
      </c>
      <c r="Q30" s="19">
        <v>23697</v>
      </c>
      <c r="R30" s="19">
        <v>23870.400000000001</v>
      </c>
      <c r="S30" s="19">
        <v>24051.7</v>
      </c>
      <c r="T30" s="19">
        <v>24241.4</v>
      </c>
      <c r="U30" s="19">
        <v>24439.7</v>
      </c>
      <c r="V30" s="19">
        <v>24647.1</v>
      </c>
      <c r="W30" s="19">
        <v>24864</v>
      </c>
      <c r="X30" s="19">
        <v>25090.9</v>
      </c>
      <c r="Y30" s="19">
        <v>25328.2</v>
      </c>
      <c r="Z30" s="19">
        <v>25576.6</v>
      </c>
      <c r="AA30" s="19">
        <v>25836.6</v>
      </c>
      <c r="AB30" s="19">
        <v>26108.7</v>
      </c>
      <c r="AC30" s="19">
        <v>26393.7</v>
      </c>
      <c r="AD30" s="19">
        <v>26692.400000000001</v>
      </c>
      <c r="AE30" s="19">
        <v>27005.4</v>
      </c>
      <c r="AF30" s="19">
        <v>27333.599999999999</v>
      </c>
      <c r="AG30" s="19">
        <v>27677.9</v>
      </c>
      <c r="AH30" s="19">
        <v>28039.4</v>
      </c>
      <c r="AI30" s="19">
        <v>28419.1</v>
      </c>
      <c r="AJ30" s="19">
        <v>28818.2</v>
      </c>
      <c r="AK30" s="19">
        <v>28238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</row>
    <row r="31" spans="2:111" x14ac:dyDescent="0.15">
      <c r="B31" s="19" t="str">
        <f t="shared" si="0"/>
        <v>1_男_29</v>
      </c>
      <c r="C31" s="18">
        <v>1</v>
      </c>
      <c r="D31" s="18" t="s">
        <v>9</v>
      </c>
      <c r="E31" s="18">
        <v>29</v>
      </c>
      <c r="F31" s="19">
        <v>19612.5</v>
      </c>
      <c r="G31" s="19">
        <v>20585.2</v>
      </c>
      <c r="H31" s="19">
        <v>21606.7</v>
      </c>
      <c r="I31" s="19">
        <v>22679.4</v>
      </c>
      <c r="J31" s="19">
        <v>22805.9</v>
      </c>
      <c r="K31" s="19">
        <v>22938.400000000001</v>
      </c>
      <c r="L31" s="19">
        <v>23076.9</v>
      </c>
      <c r="M31" s="19">
        <v>23221.9</v>
      </c>
      <c r="N31" s="19">
        <v>23373.5</v>
      </c>
      <c r="O31" s="19">
        <v>23532.1</v>
      </c>
      <c r="P31" s="19">
        <v>23697.9</v>
      </c>
      <c r="Q31" s="19">
        <v>23871.4</v>
      </c>
      <c r="R31" s="19">
        <v>24052.7</v>
      </c>
      <c r="S31" s="19">
        <v>24242.400000000001</v>
      </c>
      <c r="T31" s="19">
        <v>24440.7</v>
      </c>
      <c r="U31" s="19">
        <v>24648.1</v>
      </c>
      <c r="V31" s="19">
        <v>24865</v>
      </c>
      <c r="W31" s="19">
        <v>25091.8</v>
      </c>
      <c r="X31" s="19">
        <v>25329.200000000001</v>
      </c>
      <c r="Y31" s="19">
        <v>25577.5</v>
      </c>
      <c r="Z31" s="19">
        <v>25837.5</v>
      </c>
      <c r="AA31" s="19">
        <v>26109.599999999999</v>
      </c>
      <c r="AB31" s="19">
        <v>26394.6</v>
      </c>
      <c r="AC31" s="19">
        <v>26693.1</v>
      </c>
      <c r="AD31" s="19">
        <v>27006</v>
      </c>
      <c r="AE31" s="19">
        <v>27334.2</v>
      </c>
      <c r="AF31" s="19">
        <v>27678.400000000001</v>
      </c>
      <c r="AG31" s="19">
        <v>28039.8</v>
      </c>
      <c r="AH31" s="19">
        <v>28419.4</v>
      </c>
      <c r="AI31" s="19">
        <v>28818.400000000001</v>
      </c>
      <c r="AJ31" s="19">
        <v>28238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</row>
    <row r="32" spans="2:111" x14ac:dyDescent="0.15">
      <c r="B32" s="19" t="str">
        <f t="shared" si="0"/>
        <v>1_男_30</v>
      </c>
      <c r="C32" s="18">
        <v>1</v>
      </c>
      <c r="D32" s="18" t="s">
        <v>9</v>
      </c>
      <c r="E32" s="18">
        <v>30</v>
      </c>
      <c r="F32" s="19">
        <v>19724</v>
      </c>
      <c r="G32" s="19">
        <v>20701.7</v>
      </c>
      <c r="H32" s="19">
        <v>21728.5</v>
      </c>
      <c r="I32" s="19">
        <v>22806.799999999999</v>
      </c>
      <c r="J32" s="19">
        <v>22939.3</v>
      </c>
      <c r="K32" s="19">
        <v>23077.9</v>
      </c>
      <c r="L32" s="19">
        <v>23222.799999999999</v>
      </c>
      <c r="M32" s="19">
        <v>23374.5</v>
      </c>
      <c r="N32" s="19">
        <v>23533.1</v>
      </c>
      <c r="O32" s="19">
        <v>23698.9</v>
      </c>
      <c r="P32" s="19">
        <v>23872.3</v>
      </c>
      <c r="Q32" s="19">
        <v>24053.7</v>
      </c>
      <c r="R32" s="19">
        <v>24243.4</v>
      </c>
      <c r="S32" s="19">
        <v>24441.7</v>
      </c>
      <c r="T32" s="19">
        <v>24649.1</v>
      </c>
      <c r="U32" s="19">
        <v>24866</v>
      </c>
      <c r="V32" s="19">
        <v>25092.799999999999</v>
      </c>
      <c r="W32" s="19">
        <v>25330.2</v>
      </c>
      <c r="X32" s="19">
        <v>25578.5</v>
      </c>
      <c r="Y32" s="19">
        <v>25838.400000000001</v>
      </c>
      <c r="Z32" s="19">
        <v>26110.5</v>
      </c>
      <c r="AA32" s="19">
        <v>26395.4</v>
      </c>
      <c r="AB32" s="19">
        <v>26693.9</v>
      </c>
      <c r="AC32" s="19">
        <v>27006.799999999999</v>
      </c>
      <c r="AD32" s="19">
        <v>27334.799999999999</v>
      </c>
      <c r="AE32" s="19">
        <v>27679</v>
      </c>
      <c r="AF32" s="19">
        <v>28040.3</v>
      </c>
      <c r="AG32" s="19">
        <v>28419.7</v>
      </c>
      <c r="AH32" s="19">
        <v>28818.5</v>
      </c>
      <c r="AI32" s="19">
        <v>28238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</row>
    <row r="33" spans="2:111" x14ac:dyDescent="0.15">
      <c r="B33" s="19" t="str">
        <f t="shared" si="0"/>
        <v>1_男_31</v>
      </c>
      <c r="C33" s="18">
        <v>1</v>
      </c>
      <c r="D33" s="18" t="s">
        <v>9</v>
      </c>
      <c r="E33" s="18">
        <v>31</v>
      </c>
      <c r="F33" s="19">
        <v>19840.7</v>
      </c>
      <c r="G33" s="19">
        <v>20823.8</v>
      </c>
      <c r="H33" s="19">
        <v>21856.1</v>
      </c>
      <c r="I33" s="19">
        <v>22940.2</v>
      </c>
      <c r="J33" s="19">
        <v>23078.799999999999</v>
      </c>
      <c r="K33" s="19">
        <v>23223.8</v>
      </c>
      <c r="L33" s="19">
        <v>23375.5</v>
      </c>
      <c r="M33" s="19">
        <v>23534.1</v>
      </c>
      <c r="N33" s="19">
        <v>23699.9</v>
      </c>
      <c r="O33" s="19">
        <v>23873.4</v>
      </c>
      <c r="P33" s="19">
        <v>24054.799999999999</v>
      </c>
      <c r="Q33" s="19">
        <v>24244.400000000001</v>
      </c>
      <c r="R33" s="19">
        <v>24442.7</v>
      </c>
      <c r="S33" s="19">
        <v>24650.1</v>
      </c>
      <c r="T33" s="19">
        <v>24867</v>
      </c>
      <c r="U33" s="19">
        <v>25093.9</v>
      </c>
      <c r="V33" s="19">
        <v>25331.200000000001</v>
      </c>
      <c r="W33" s="19">
        <v>25579.5</v>
      </c>
      <c r="X33" s="19">
        <v>25839.4</v>
      </c>
      <c r="Y33" s="19">
        <v>26111.4</v>
      </c>
      <c r="Z33" s="19">
        <v>26396.3</v>
      </c>
      <c r="AA33" s="19">
        <v>26694.7</v>
      </c>
      <c r="AB33" s="19">
        <v>27007.5</v>
      </c>
      <c r="AC33" s="19">
        <v>27335.5</v>
      </c>
      <c r="AD33" s="19">
        <v>27679.599999999999</v>
      </c>
      <c r="AE33" s="19">
        <v>28040.7</v>
      </c>
      <c r="AF33" s="19">
        <v>28420</v>
      </c>
      <c r="AG33" s="19">
        <v>28818.7</v>
      </c>
      <c r="AH33" s="19">
        <v>28238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</row>
    <row r="34" spans="2:111" x14ac:dyDescent="0.15">
      <c r="B34" s="19" t="str">
        <f t="shared" si="0"/>
        <v>1_男_32</v>
      </c>
      <c r="C34" s="18">
        <v>1</v>
      </c>
      <c r="D34" s="18" t="s">
        <v>9</v>
      </c>
      <c r="E34" s="18">
        <v>32</v>
      </c>
      <c r="F34" s="19">
        <v>19962.900000000001</v>
      </c>
      <c r="G34" s="19">
        <v>20951.5</v>
      </c>
      <c r="H34" s="19">
        <v>21989.599999999999</v>
      </c>
      <c r="I34" s="19">
        <v>23079.8</v>
      </c>
      <c r="J34" s="19">
        <v>23224.799999999999</v>
      </c>
      <c r="K34" s="19">
        <v>23376.5</v>
      </c>
      <c r="L34" s="19">
        <v>23535.1</v>
      </c>
      <c r="M34" s="19">
        <v>23701</v>
      </c>
      <c r="N34" s="19">
        <v>23874.400000000001</v>
      </c>
      <c r="O34" s="19">
        <v>24055.8</v>
      </c>
      <c r="P34" s="19">
        <v>24245.5</v>
      </c>
      <c r="Q34" s="19">
        <v>24443.8</v>
      </c>
      <c r="R34" s="19">
        <v>24651.200000000001</v>
      </c>
      <c r="S34" s="19">
        <v>24868.1</v>
      </c>
      <c r="T34" s="19">
        <v>25094.9</v>
      </c>
      <c r="U34" s="19">
        <v>25332.2</v>
      </c>
      <c r="V34" s="19">
        <v>25580.5</v>
      </c>
      <c r="W34" s="19">
        <v>25840.400000000001</v>
      </c>
      <c r="X34" s="19">
        <v>26112.400000000001</v>
      </c>
      <c r="Y34" s="19">
        <v>26397.200000000001</v>
      </c>
      <c r="Z34" s="19">
        <v>26695.599999999999</v>
      </c>
      <c r="AA34" s="19">
        <v>27008.3</v>
      </c>
      <c r="AB34" s="19">
        <v>27336.2</v>
      </c>
      <c r="AC34" s="19">
        <v>27680.1</v>
      </c>
      <c r="AD34" s="19">
        <v>28041.200000000001</v>
      </c>
      <c r="AE34" s="19">
        <v>28420.400000000001</v>
      </c>
      <c r="AF34" s="19">
        <v>28818.9</v>
      </c>
      <c r="AG34" s="19">
        <v>28238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</row>
    <row r="35" spans="2:111" x14ac:dyDescent="0.15">
      <c r="B35" s="19" t="str">
        <f t="shared" si="0"/>
        <v>1_男_33</v>
      </c>
      <c r="C35" s="18">
        <v>1</v>
      </c>
      <c r="D35" s="18" t="s">
        <v>9</v>
      </c>
      <c r="E35" s="18">
        <v>33</v>
      </c>
      <c r="F35" s="19">
        <v>20090.8</v>
      </c>
      <c r="G35" s="19">
        <v>21085.200000000001</v>
      </c>
      <c r="H35" s="19">
        <v>22129.3</v>
      </c>
      <c r="I35" s="19">
        <v>23225.8</v>
      </c>
      <c r="J35" s="19">
        <v>23377.5</v>
      </c>
      <c r="K35" s="19">
        <v>23536.2</v>
      </c>
      <c r="L35" s="19">
        <v>23702.1</v>
      </c>
      <c r="M35" s="19">
        <v>23875.5</v>
      </c>
      <c r="N35" s="19">
        <v>24056.9</v>
      </c>
      <c r="O35" s="19">
        <v>24246.6</v>
      </c>
      <c r="P35" s="19">
        <v>24444.9</v>
      </c>
      <c r="Q35" s="19">
        <v>24652.3</v>
      </c>
      <c r="R35" s="19">
        <v>24869.200000000001</v>
      </c>
      <c r="S35" s="19">
        <v>25096.1</v>
      </c>
      <c r="T35" s="19">
        <v>25333.3</v>
      </c>
      <c r="U35" s="19">
        <v>25581.599999999999</v>
      </c>
      <c r="V35" s="19">
        <v>25841.4</v>
      </c>
      <c r="W35" s="19">
        <v>26113.4</v>
      </c>
      <c r="X35" s="19">
        <v>26398.1</v>
      </c>
      <c r="Y35" s="19">
        <v>26696.5</v>
      </c>
      <c r="Z35" s="19">
        <v>27009.1</v>
      </c>
      <c r="AA35" s="19">
        <v>27336.9</v>
      </c>
      <c r="AB35" s="19">
        <v>27680.7</v>
      </c>
      <c r="AC35" s="19">
        <v>28041.7</v>
      </c>
      <c r="AD35" s="19">
        <v>28420.7</v>
      </c>
      <c r="AE35" s="19">
        <v>28819.1</v>
      </c>
      <c r="AF35" s="19">
        <v>28238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</row>
    <row r="36" spans="2:111" x14ac:dyDescent="0.15">
      <c r="B36" s="19" t="str">
        <f t="shared" si="0"/>
        <v>1_男_34</v>
      </c>
      <c r="C36" s="18">
        <v>1</v>
      </c>
      <c r="D36" s="18" t="s">
        <v>9</v>
      </c>
      <c r="E36" s="18">
        <v>34</v>
      </c>
      <c r="F36" s="19">
        <v>20224.7</v>
      </c>
      <c r="G36" s="19">
        <v>21225.1</v>
      </c>
      <c r="H36" s="19">
        <v>22275.5</v>
      </c>
      <c r="I36" s="19">
        <v>23378.6</v>
      </c>
      <c r="J36" s="19">
        <v>23537.3</v>
      </c>
      <c r="K36" s="19">
        <v>23703.200000000001</v>
      </c>
      <c r="L36" s="19">
        <v>23876.7</v>
      </c>
      <c r="M36" s="19">
        <v>24058.1</v>
      </c>
      <c r="N36" s="19">
        <v>24247.8</v>
      </c>
      <c r="O36" s="19">
        <v>24446.1</v>
      </c>
      <c r="P36" s="19">
        <v>24653.5</v>
      </c>
      <c r="Q36" s="19">
        <v>24870.400000000001</v>
      </c>
      <c r="R36" s="19">
        <v>25097.200000000001</v>
      </c>
      <c r="S36" s="19">
        <v>25334.5</v>
      </c>
      <c r="T36" s="19">
        <v>25582.7</v>
      </c>
      <c r="U36" s="19">
        <v>25842.5</v>
      </c>
      <c r="V36" s="19">
        <v>26114.400000000001</v>
      </c>
      <c r="W36" s="19">
        <v>26399.1</v>
      </c>
      <c r="X36" s="19">
        <v>26697.4</v>
      </c>
      <c r="Y36" s="19">
        <v>27009.9</v>
      </c>
      <c r="Z36" s="19">
        <v>27337.599999999999</v>
      </c>
      <c r="AA36" s="19">
        <v>27681.4</v>
      </c>
      <c r="AB36" s="19">
        <v>28042.2</v>
      </c>
      <c r="AC36" s="19">
        <v>28421.1</v>
      </c>
      <c r="AD36" s="19">
        <v>28819.3</v>
      </c>
      <c r="AE36" s="19">
        <v>28238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</row>
    <row r="37" spans="2:111" x14ac:dyDescent="0.15">
      <c r="B37" s="19" t="str">
        <f t="shared" si="0"/>
        <v>1_男_35</v>
      </c>
      <c r="C37" s="18">
        <v>1</v>
      </c>
      <c r="D37" s="18" t="s">
        <v>9</v>
      </c>
      <c r="E37" s="18">
        <v>35</v>
      </c>
      <c r="F37" s="19">
        <v>20364.900000000001</v>
      </c>
      <c r="G37" s="19">
        <v>21371.4</v>
      </c>
      <c r="H37" s="19">
        <v>22428.400000000001</v>
      </c>
      <c r="I37" s="19">
        <v>23538.400000000001</v>
      </c>
      <c r="J37" s="19">
        <v>23704.400000000001</v>
      </c>
      <c r="K37" s="19">
        <v>23877.9</v>
      </c>
      <c r="L37" s="19">
        <v>24059.3</v>
      </c>
      <c r="M37" s="19">
        <v>24249</v>
      </c>
      <c r="N37" s="19">
        <v>24447.3</v>
      </c>
      <c r="O37" s="19">
        <v>24654.7</v>
      </c>
      <c r="P37" s="19">
        <v>24871.599999999999</v>
      </c>
      <c r="Q37" s="19">
        <v>25098.400000000001</v>
      </c>
      <c r="R37" s="19">
        <v>25335.599999999999</v>
      </c>
      <c r="S37" s="19">
        <v>25583.8</v>
      </c>
      <c r="T37" s="19">
        <v>25843.599999999999</v>
      </c>
      <c r="U37" s="19">
        <v>26115.4</v>
      </c>
      <c r="V37" s="19">
        <v>26400.1</v>
      </c>
      <c r="W37" s="19">
        <v>26698.3</v>
      </c>
      <c r="X37" s="19">
        <v>27010.799999999999</v>
      </c>
      <c r="Y37" s="19">
        <v>27338.400000000001</v>
      </c>
      <c r="Z37" s="19">
        <v>27682</v>
      </c>
      <c r="AA37" s="19">
        <v>28042.7</v>
      </c>
      <c r="AB37" s="19">
        <v>28421.4</v>
      </c>
      <c r="AC37" s="19">
        <v>28819.5</v>
      </c>
      <c r="AD37" s="19">
        <v>28238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</row>
    <row r="38" spans="2:111" x14ac:dyDescent="0.15">
      <c r="B38" s="19" t="str">
        <f t="shared" si="0"/>
        <v>1_男_36</v>
      </c>
      <c r="C38" s="18">
        <v>1</v>
      </c>
      <c r="D38" s="18" t="s">
        <v>9</v>
      </c>
      <c r="E38" s="18">
        <v>36</v>
      </c>
      <c r="F38" s="19">
        <v>20511.599999999999</v>
      </c>
      <c r="G38" s="19">
        <v>21524.6</v>
      </c>
      <c r="H38" s="19">
        <v>22588.400000000001</v>
      </c>
      <c r="I38" s="19">
        <v>23705.599999999999</v>
      </c>
      <c r="J38" s="19">
        <v>23879.1</v>
      </c>
      <c r="K38" s="19">
        <v>24060.5</v>
      </c>
      <c r="L38" s="19">
        <v>24250.2</v>
      </c>
      <c r="M38" s="19">
        <v>24448.6</v>
      </c>
      <c r="N38" s="19">
        <v>24656</v>
      </c>
      <c r="O38" s="19">
        <v>24872.799999999999</v>
      </c>
      <c r="P38" s="19">
        <v>25099.599999999999</v>
      </c>
      <c r="Q38" s="19">
        <v>25336.799999999999</v>
      </c>
      <c r="R38" s="19">
        <v>25585</v>
      </c>
      <c r="S38" s="19">
        <v>25844.7</v>
      </c>
      <c r="T38" s="19">
        <v>26116.5</v>
      </c>
      <c r="U38" s="19">
        <v>26401.200000000001</v>
      </c>
      <c r="V38" s="19">
        <v>26699.3</v>
      </c>
      <c r="W38" s="19">
        <v>27011.7</v>
      </c>
      <c r="X38" s="19">
        <v>27339.200000000001</v>
      </c>
      <c r="Y38" s="19">
        <v>27682.7</v>
      </c>
      <c r="Z38" s="19">
        <v>28043.200000000001</v>
      </c>
      <c r="AA38" s="19">
        <v>28421.8</v>
      </c>
      <c r="AB38" s="19">
        <v>28819.7</v>
      </c>
      <c r="AC38" s="19">
        <v>28238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</row>
    <row r="39" spans="2:111" x14ac:dyDescent="0.15">
      <c r="B39" s="19" t="str">
        <f t="shared" si="0"/>
        <v>1_男_37</v>
      </c>
      <c r="C39" s="18">
        <v>1</v>
      </c>
      <c r="D39" s="18" t="s">
        <v>9</v>
      </c>
      <c r="E39" s="18">
        <v>37</v>
      </c>
      <c r="F39" s="19">
        <v>20665</v>
      </c>
      <c r="G39" s="19">
        <v>21684.799999999999</v>
      </c>
      <c r="H39" s="19">
        <v>22755.7</v>
      </c>
      <c r="I39" s="19">
        <v>23880.400000000001</v>
      </c>
      <c r="J39" s="19">
        <v>24061.8</v>
      </c>
      <c r="K39" s="19">
        <v>24251.5</v>
      </c>
      <c r="L39" s="19">
        <v>24449.9</v>
      </c>
      <c r="M39" s="19">
        <v>24657.3</v>
      </c>
      <c r="N39" s="19">
        <v>24874.1</v>
      </c>
      <c r="O39" s="19">
        <v>25100.9</v>
      </c>
      <c r="P39" s="19">
        <v>25338.1</v>
      </c>
      <c r="Q39" s="19">
        <v>25586.3</v>
      </c>
      <c r="R39" s="19">
        <v>25845.9</v>
      </c>
      <c r="S39" s="19">
        <v>26117.7</v>
      </c>
      <c r="T39" s="19">
        <v>26402.2</v>
      </c>
      <c r="U39" s="19">
        <v>26700.3</v>
      </c>
      <c r="V39" s="19">
        <v>27012.6</v>
      </c>
      <c r="W39" s="19">
        <v>27340</v>
      </c>
      <c r="X39" s="19">
        <v>27683.4</v>
      </c>
      <c r="Y39" s="19">
        <v>28043.8</v>
      </c>
      <c r="Z39" s="19">
        <v>28422.2</v>
      </c>
      <c r="AA39" s="19">
        <v>28819.9</v>
      </c>
      <c r="AB39" s="19">
        <v>28238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</row>
    <row r="40" spans="2:111" x14ac:dyDescent="0.15">
      <c r="B40" s="19" t="str">
        <f t="shared" si="0"/>
        <v>1_男_38</v>
      </c>
      <c r="C40" s="18">
        <v>1</v>
      </c>
      <c r="D40" s="18" t="s">
        <v>9</v>
      </c>
      <c r="E40" s="18">
        <v>38</v>
      </c>
      <c r="F40" s="19">
        <v>20825.5</v>
      </c>
      <c r="G40" s="19">
        <v>21852.400000000001</v>
      </c>
      <c r="H40" s="19">
        <v>22930.6</v>
      </c>
      <c r="I40" s="19">
        <v>24063.200000000001</v>
      </c>
      <c r="J40" s="19">
        <v>24252.9</v>
      </c>
      <c r="K40" s="19">
        <v>24451.200000000001</v>
      </c>
      <c r="L40" s="19">
        <v>24658.6</v>
      </c>
      <c r="M40" s="19">
        <v>24875.5</v>
      </c>
      <c r="N40" s="19">
        <v>25102.2</v>
      </c>
      <c r="O40" s="19">
        <v>25339.4</v>
      </c>
      <c r="P40" s="19">
        <v>25587.5</v>
      </c>
      <c r="Q40" s="19">
        <v>25847.200000000001</v>
      </c>
      <c r="R40" s="19">
        <v>26118.9</v>
      </c>
      <c r="S40" s="19">
        <v>26403.4</v>
      </c>
      <c r="T40" s="19">
        <v>26701.3</v>
      </c>
      <c r="U40" s="19">
        <v>27013.599999999999</v>
      </c>
      <c r="V40" s="19">
        <v>27340.799999999999</v>
      </c>
      <c r="W40" s="19">
        <v>27684.1</v>
      </c>
      <c r="X40" s="19">
        <v>28044.400000000001</v>
      </c>
      <c r="Y40" s="19">
        <v>28422.6</v>
      </c>
      <c r="Z40" s="19">
        <v>28820.1</v>
      </c>
      <c r="AA40" s="19">
        <v>28238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</row>
    <row r="41" spans="2:111" x14ac:dyDescent="0.15">
      <c r="B41" s="19" t="str">
        <f t="shared" si="0"/>
        <v>1_男_39</v>
      </c>
      <c r="C41" s="18">
        <v>1</v>
      </c>
      <c r="D41" s="18" t="s">
        <v>9</v>
      </c>
      <c r="E41" s="18">
        <v>39</v>
      </c>
      <c r="F41" s="19">
        <v>20993.4</v>
      </c>
      <c r="G41" s="19">
        <v>22027.599999999999</v>
      </c>
      <c r="H41" s="19">
        <v>23113.599999999999</v>
      </c>
      <c r="I41" s="19">
        <v>24254.3</v>
      </c>
      <c r="J41" s="19">
        <v>24452.6</v>
      </c>
      <c r="K41" s="19">
        <v>24660</v>
      </c>
      <c r="L41" s="19">
        <v>24876.9</v>
      </c>
      <c r="M41" s="19">
        <v>25103.599999999999</v>
      </c>
      <c r="N41" s="19">
        <v>25340.799999999999</v>
      </c>
      <c r="O41" s="19">
        <v>25588.9</v>
      </c>
      <c r="P41" s="19">
        <v>25848.400000000001</v>
      </c>
      <c r="Q41" s="19">
        <v>26120.1</v>
      </c>
      <c r="R41" s="19">
        <v>26404.5</v>
      </c>
      <c r="S41" s="19">
        <v>26702.400000000001</v>
      </c>
      <c r="T41" s="19">
        <v>27014.5</v>
      </c>
      <c r="U41" s="19">
        <v>27341.7</v>
      </c>
      <c r="V41" s="19">
        <v>27684.9</v>
      </c>
      <c r="W41" s="19">
        <v>28045</v>
      </c>
      <c r="X41" s="19">
        <v>28423.1</v>
      </c>
      <c r="Y41" s="19">
        <v>28820.3</v>
      </c>
      <c r="Z41" s="19">
        <v>28238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</row>
    <row r="42" spans="2:111" x14ac:dyDescent="0.15">
      <c r="B42" s="19" t="str">
        <f t="shared" si="0"/>
        <v>1_男_40</v>
      </c>
      <c r="C42" s="18">
        <v>1</v>
      </c>
      <c r="D42" s="18" t="s">
        <v>9</v>
      </c>
      <c r="E42" s="18">
        <v>40</v>
      </c>
      <c r="F42" s="19">
        <v>21169.1</v>
      </c>
      <c r="G42" s="19">
        <v>22210.799999999999</v>
      </c>
      <c r="H42" s="19">
        <v>23304.9</v>
      </c>
      <c r="I42" s="19">
        <v>24454.1</v>
      </c>
      <c r="J42" s="19">
        <v>24661.5</v>
      </c>
      <c r="K42" s="19">
        <v>24878.3</v>
      </c>
      <c r="L42" s="19">
        <v>25105</v>
      </c>
      <c r="M42" s="19">
        <v>25342.2</v>
      </c>
      <c r="N42" s="19">
        <v>25590.2</v>
      </c>
      <c r="O42" s="19">
        <v>25849.8</v>
      </c>
      <c r="P42" s="19">
        <v>26121.4</v>
      </c>
      <c r="Q42" s="19">
        <v>26405.7</v>
      </c>
      <c r="R42" s="19">
        <v>26703.599999999999</v>
      </c>
      <c r="S42" s="19">
        <v>27015.599999999999</v>
      </c>
      <c r="T42" s="19">
        <v>27342.6</v>
      </c>
      <c r="U42" s="19">
        <v>27685.7</v>
      </c>
      <c r="V42" s="19">
        <v>28045.599999999999</v>
      </c>
      <c r="W42" s="19">
        <v>28423.5</v>
      </c>
      <c r="X42" s="19">
        <v>28820.6</v>
      </c>
      <c r="Y42" s="19">
        <v>28238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</row>
    <row r="43" spans="2:111" x14ac:dyDescent="0.15">
      <c r="B43" s="19" t="str">
        <f t="shared" si="0"/>
        <v>1_男_41</v>
      </c>
      <c r="C43" s="18">
        <v>1</v>
      </c>
      <c r="D43" s="18" t="s">
        <v>9</v>
      </c>
      <c r="E43" s="18">
        <v>41</v>
      </c>
      <c r="F43" s="19">
        <v>21352.7</v>
      </c>
      <c r="G43" s="19">
        <v>22402.400000000001</v>
      </c>
      <c r="H43" s="19">
        <v>23504.9</v>
      </c>
      <c r="I43" s="19">
        <v>24663</v>
      </c>
      <c r="J43" s="19">
        <v>24879.8</v>
      </c>
      <c r="K43" s="19">
        <v>25106.5</v>
      </c>
      <c r="L43" s="19">
        <v>25343.599999999999</v>
      </c>
      <c r="M43" s="19">
        <v>25591.7</v>
      </c>
      <c r="N43" s="19">
        <v>25851.1</v>
      </c>
      <c r="O43" s="19">
        <v>26122.7</v>
      </c>
      <c r="P43" s="19">
        <v>26407</v>
      </c>
      <c r="Q43" s="19">
        <v>26704.7</v>
      </c>
      <c r="R43" s="19">
        <v>27016.6</v>
      </c>
      <c r="S43" s="19">
        <v>27343.599999999999</v>
      </c>
      <c r="T43" s="19">
        <v>27686.5</v>
      </c>
      <c r="U43" s="19">
        <v>28046.2</v>
      </c>
      <c r="V43" s="19">
        <v>28424</v>
      </c>
      <c r="W43" s="19">
        <v>28820.799999999999</v>
      </c>
      <c r="X43" s="19">
        <v>28238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</row>
    <row r="44" spans="2:111" x14ac:dyDescent="0.15">
      <c r="B44" s="19" t="str">
        <f t="shared" si="0"/>
        <v>1_男_42</v>
      </c>
      <c r="C44" s="18">
        <v>1</v>
      </c>
      <c r="D44" s="18" t="s">
        <v>9</v>
      </c>
      <c r="E44" s="18">
        <v>42</v>
      </c>
      <c r="F44" s="19">
        <v>21544.799999999999</v>
      </c>
      <c r="G44" s="19">
        <v>22602.799999999999</v>
      </c>
      <c r="H44" s="19">
        <v>23714</v>
      </c>
      <c r="I44" s="19">
        <v>24881.3</v>
      </c>
      <c r="J44" s="19">
        <v>25108.1</v>
      </c>
      <c r="K44" s="19">
        <v>25345.1</v>
      </c>
      <c r="L44" s="19">
        <v>25593.1</v>
      </c>
      <c r="M44" s="19">
        <v>25852.6</v>
      </c>
      <c r="N44" s="19">
        <v>26124.1</v>
      </c>
      <c r="O44" s="19">
        <v>26408.3</v>
      </c>
      <c r="P44" s="19">
        <v>26705.9</v>
      </c>
      <c r="Q44" s="19">
        <v>27017.8</v>
      </c>
      <c r="R44" s="19">
        <v>27344.6</v>
      </c>
      <c r="S44" s="19">
        <v>27687.3</v>
      </c>
      <c r="T44" s="19">
        <v>28046.9</v>
      </c>
      <c r="U44" s="19">
        <v>28424.400000000001</v>
      </c>
      <c r="V44" s="19">
        <v>28821.1</v>
      </c>
      <c r="W44" s="19">
        <v>28238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</row>
    <row r="45" spans="2:111" x14ac:dyDescent="0.15">
      <c r="B45" s="19" t="str">
        <f t="shared" si="0"/>
        <v>1_男_43</v>
      </c>
      <c r="C45" s="18">
        <v>1</v>
      </c>
      <c r="D45" s="18" t="s">
        <v>9</v>
      </c>
      <c r="E45" s="18">
        <v>43</v>
      </c>
      <c r="F45" s="19">
        <v>21745.599999999999</v>
      </c>
      <c r="G45" s="19">
        <v>22812.2</v>
      </c>
      <c r="H45" s="19">
        <v>23932.6</v>
      </c>
      <c r="I45" s="19">
        <v>25109.599999999999</v>
      </c>
      <c r="J45" s="19">
        <v>25346.7</v>
      </c>
      <c r="K45" s="19">
        <v>25594.7</v>
      </c>
      <c r="L45" s="19">
        <v>25854.1</v>
      </c>
      <c r="M45" s="19">
        <v>26125.5</v>
      </c>
      <c r="N45" s="19">
        <v>26409.7</v>
      </c>
      <c r="O45" s="19">
        <v>26707.200000000001</v>
      </c>
      <c r="P45" s="19">
        <v>27018.9</v>
      </c>
      <c r="Q45" s="19">
        <v>27345.599999999999</v>
      </c>
      <c r="R45" s="19">
        <v>27688.2</v>
      </c>
      <c r="S45" s="19">
        <v>28047.599999999999</v>
      </c>
      <c r="T45" s="19">
        <v>28424.9</v>
      </c>
      <c r="U45" s="19">
        <v>28821.3</v>
      </c>
      <c r="V45" s="19">
        <v>28238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</row>
    <row r="46" spans="2:111" x14ac:dyDescent="0.15">
      <c r="B46" s="19" t="str">
        <f t="shared" si="0"/>
        <v>1_男_44</v>
      </c>
      <c r="C46" s="18">
        <v>1</v>
      </c>
      <c r="D46" s="18" t="s">
        <v>9</v>
      </c>
      <c r="E46" s="18">
        <v>44</v>
      </c>
      <c r="F46" s="19">
        <v>21955.5</v>
      </c>
      <c r="G46" s="19">
        <v>23031.200000000001</v>
      </c>
      <c r="H46" s="19">
        <v>24161.1</v>
      </c>
      <c r="I46" s="19">
        <v>25348.3</v>
      </c>
      <c r="J46" s="19">
        <v>25596.3</v>
      </c>
      <c r="K46" s="19">
        <v>25855.599999999999</v>
      </c>
      <c r="L46" s="19">
        <v>26127</v>
      </c>
      <c r="M46" s="19">
        <v>26411.1</v>
      </c>
      <c r="N46" s="19">
        <v>26708.5</v>
      </c>
      <c r="O46" s="19">
        <v>27020.1</v>
      </c>
      <c r="P46" s="19">
        <v>27346.7</v>
      </c>
      <c r="Q46" s="19">
        <v>27689.1</v>
      </c>
      <c r="R46" s="19">
        <v>28048.3</v>
      </c>
      <c r="S46" s="19">
        <v>28425.5</v>
      </c>
      <c r="T46" s="19">
        <v>28821.599999999999</v>
      </c>
      <c r="U46" s="19">
        <v>28238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</row>
    <row r="47" spans="2:111" x14ac:dyDescent="0.15">
      <c r="B47" s="19" t="str">
        <f t="shared" si="0"/>
        <v>1_男_45</v>
      </c>
      <c r="C47" s="18">
        <v>1</v>
      </c>
      <c r="D47" s="18" t="s">
        <v>9</v>
      </c>
      <c r="E47" s="18">
        <v>45</v>
      </c>
      <c r="F47" s="19">
        <v>22175</v>
      </c>
      <c r="G47" s="19">
        <v>23260.1</v>
      </c>
      <c r="H47" s="19">
        <v>24400</v>
      </c>
      <c r="I47" s="19">
        <v>25597.9</v>
      </c>
      <c r="J47" s="19">
        <v>25857.200000000001</v>
      </c>
      <c r="K47" s="19">
        <v>26128.5</v>
      </c>
      <c r="L47" s="19">
        <v>26412.5</v>
      </c>
      <c r="M47" s="19">
        <v>26709.9</v>
      </c>
      <c r="N47" s="19">
        <v>27021.3</v>
      </c>
      <c r="O47" s="19">
        <v>27347.8</v>
      </c>
      <c r="P47" s="19">
        <v>27690</v>
      </c>
      <c r="Q47" s="19">
        <v>28049.1</v>
      </c>
      <c r="R47" s="19">
        <v>28426</v>
      </c>
      <c r="S47" s="19">
        <v>28821.9</v>
      </c>
      <c r="T47" s="19">
        <v>28238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</row>
    <row r="48" spans="2:111" x14ac:dyDescent="0.15">
      <c r="B48" s="19" t="str">
        <f t="shared" si="0"/>
        <v>1_男_46</v>
      </c>
      <c r="C48" s="18">
        <v>1</v>
      </c>
      <c r="D48" s="18" t="s">
        <v>9</v>
      </c>
      <c r="E48" s="18">
        <v>46</v>
      </c>
      <c r="F48" s="19">
        <v>22404.400000000001</v>
      </c>
      <c r="G48" s="19">
        <v>23499.4</v>
      </c>
      <c r="H48" s="19">
        <v>24649.8</v>
      </c>
      <c r="I48" s="19">
        <v>25858.9</v>
      </c>
      <c r="J48" s="19">
        <v>26130.1</v>
      </c>
      <c r="K48" s="19">
        <v>26414</v>
      </c>
      <c r="L48" s="19">
        <v>26711.3</v>
      </c>
      <c r="M48" s="19">
        <v>27022.6</v>
      </c>
      <c r="N48" s="19">
        <v>27348.9</v>
      </c>
      <c r="O48" s="19">
        <v>27691</v>
      </c>
      <c r="P48" s="19">
        <v>28049.9</v>
      </c>
      <c r="Q48" s="19">
        <v>28426.5</v>
      </c>
      <c r="R48" s="19">
        <v>28822.2</v>
      </c>
      <c r="S48" s="19">
        <v>28238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</row>
    <row r="49" spans="2:111" x14ac:dyDescent="0.15">
      <c r="B49" s="19" t="str">
        <f t="shared" si="0"/>
        <v>1_男_47</v>
      </c>
      <c r="C49" s="18">
        <v>1</v>
      </c>
      <c r="D49" s="18" t="s">
        <v>9</v>
      </c>
      <c r="E49" s="18">
        <v>47</v>
      </c>
      <c r="F49" s="19">
        <v>22644.3</v>
      </c>
      <c r="G49" s="19">
        <v>23749.599999999999</v>
      </c>
      <c r="H49" s="19">
        <v>24911</v>
      </c>
      <c r="I49" s="19">
        <v>26131.8</v>
      </c>
      <c r="J49" s="19">
        <v>26415.599999999999</v>
      </c>
      <c r="K49" s="19">
        <v>26712.7</v>
      </c>
      <c r="L49" s="19">
        <v>27024</v>
      </c>
      <c r="M49" s="19">
        <v>27350.1</v>
      </c>
      <c r="N49" s="19">
        <v>27692</v>
      </c>
      <c r="O49" s="19">
        <v>28050.7</v>
      </c>
      <c r="P49" s="19">
        <v>28427.1</v>
      </c>
      <c r="Q49" s="19">
        <v>28822.5</v>
      </c>
      <c r="R49" s="19">
        <v>28238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</row>
    <row r="50" spans="2:111" x14ac:dyDescent="0.15">
      <c r="B50" s="19" t="str">
        <f t="shared" si="0"/>
        <v>1_男_48</v>
      </c>
      <c r="C50" s="18">
        <v>1</v>
      </c>
      <c r="D50" s="18" t="s">
        <v>9</v>
      </c>
      <c r="E50" s="18">
        <v>48</v>
      </c>
      <c r="F50" s="19">
        <v>22895.1</v>
      </c>
      <c r="G50" s="19">
        <v>24011.200000000001</v>
      </c>
      <c r="H50" s="19">
        <v>25184.1</v>
      </c>
      <c r="I50" s="19">
        <v>26417.200000000001</v>
      </c>
      <c r="J50" s="19">
        <v>26714.2</v>
      </c>
      <c r="K50" s="19">
        <v>27025.3</v>
      </c>
      <c r="L50" s="19">
        <v>27351.3</v>
      </c>
      <c r="M50" s="19">
        <v>27693.1</v>
      </c>
      <c r="N50" s="19">
        <v>28051.5</v>
      </c>
      <c r="O50" s="19">
        <v>28427.7</v>
      </c>
      <c r="P50" s="19">
        <v>28822.799999999999</v>
      </c>
      <c r="Q50" s="19">
        <v>28238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</row>
    <row r="51" spans="2:111" x14ac:dyDescent="0.15">
      <c r="B51" s="19" t="str">
        <f t="shared" si="0"/>
        <v>1_男_49</v>
      </c>
      <c r="C51" s="18">
        <v>1</v>
      </c>
      <c r="D51" s="18" t="s">
        <v>9</v>
      </c>
      <c r="E51" s="18">
        <v>49</v>
      </c>
      <c r="F51" s="19">
        <v>23157.4</v>
      </c>
      <c r="G51" s="19">
        <v>24284.799999999999</v>
      </c>
      <c r="H51" s="19">
        <v>25469.8</v>
      </c>
      <c r="I51" s="19">
        <v>26715.8</v>
      </c>
      <c r="J51" s="19">
        <v>27026.799999999999</v>
      </c>
      <c r="K51" s="19">
        <v>27352.6</v>
      </c>
      <c r="L51" s="19">
        <v>27694.1</v>
      </c>
      <c r="M51" s="19">
        <v>28052.400000000001</v>
      </c>
      <c r="N51" s="19">
        <v>28428.3</v>
      </c>
      <c r="O51" s="19">
        <v>28823.1</v>
      </c>
      <c r="P51" s="19">
        <v>28238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</row>
    <row r="52" spans="2:111" x14ac:dyDescent="0.15">
      <c r="B52" s="19" t="str">
        <f t="shared" si="0"/>
        <v>1_男_50</v>
      </c>
      <c r="C52" s="18">
        <v>1</v>
      </c>
      <c r="D52" s="18" t="s">
        <v>9</v>
      </c>
      <c r="E52" s="18">
        <v>50</v>
      </c>
      <c r="F52" s="19">
        <v>23431.599999999999</v>
      </c>
      <c r="G52" s="19">
        <v>24570.9</v>
      </c>
      <c r="H52" s="19">
        <v>25768.6</v>
      </c>
      <c r="I52" s="19">
        <v>27028.3</v>
      </c>
      <c r="J52" s="19">
        <v>27353.9</v>
      </c>
      <c r="K52" s="19">
        <v>27695.3</v>
      </c>
      <c r="L52" s="19">
        <v>28053.3</v>
      </c>
      <c r="M52" s="19">
        <v>28429</v>
      </c>
      <c r="N52" s="19">
        <v>28823.5</v>
      </c>
      <c r="O52" s="19">
        <v>28238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</row>
    <row r="53" spans="2:111" x14ac:dyDescent="0.15">
      <c r="B53" s="19" t="str">
        <f t="shared" si="0"/>
        <v>3_男_0</v>
      </c>
      <c r="C53" s="18">
        <v>3</v>
      </c>
      <c r="D53" s="18" t="s">
        <v>9</v>
      </c>
      <c r="E53" s="18">
        <v>0</v>
      </c>
      <c r="F53" s="19">
        <v>5244.5</v>
      </c>
      <c r="G53" s="19">
        <v>11910.3</v>
      </c>
      <c r="H53" s="19">
        <v>19759.2</v>
      </c>
      <c r="I53" s="19">
        <v>20742.5</v>
      </c>
      <c r="J53" s="19">
        <v>20776</v>
      </c>
      <c r="K53" s="19">
        <v>20811.7</v>
      </c>
      <c r="L53" s="19">
        <v>20849.5</v>
      </c>
      <c r="M53" s="19">
        <v>20889.3</v>
      </c>
      <c r="N53" s="19">
        <v>20931.099999999999</v>
      </c>
      <c r="O53" s="19">
        <v>20974.9</v>
      </c>
      <c r="P53" s="19">
        <v>21020.7</v>
      </c>
      <c r="Q53" s="19">
        <v>21068.7</v>
      </c>
      <c r="R53" s="19">
        <v>21118.7</v>
      </c>
      <c r="S53" s="19">
        <v>21171</v>
      </c>
      <c r="T53" s="19">
        <v>21225.599999999999</v>
      </c>
      <c r="U53" s="19">
        <v>21282.6</v>
      </c>
      <c r="V53" s="19">
        <v>21342.2</v>
      </c>
      <c r="W53" s="19">
        <v>21404.6</v>
      </c>
      <c r="X53" s="19">
        <v>21469.9</v>
      </c>
      <c r="Y53" s="19">
        <v>21538.2</v>
      </c>
      <c r="Z53" s="19">
        <v>21609.7</v>
      </c>
      <c r="AA53" s="19">
        <v>21684.7</v>
      </c>
      <c r="AB53" s="19">
        <v>21763.1</v>
      </c>
      <c r="AC53" s="19">
        <v>21845.3</v>
      </c>
      <c r="AD53" s="19">
        <v>21931.4</v>
      </c>
      <c r="AE53" s="19">
        <v>22021.5</v>
      </c>
      <c r="AF53" s="19">
        <v>22115.8</v>
      </c>
      <c r="AG53" s="19">
        <v>22214.5</v>
      </c>
      <c r="AH53" s="19">
        <v>22317.8</v>
      </c>
      <c r="AI53" s="19">
        <v>22425.9</v>
      </c>
      <c r="AJ53" s="19">
        <v>22538.9</v>
      </c>
      <c r="AK53" s="19">
        <v>22657.1</v>
      </c>
      <c r="AL53" s="19">
        <v>22780.6</v>
      </c>
      <c r="AM53" s="19">
        <v>22909.7</v>
      </c>
      <c r="AN53" s="19">
        <v>23044.6</v>
      </c>
      <c r="AO53" s="19">
        <v>23185.599999999999</v>
      </c>
      <c r="AP53" s="19">
        <v>23332.799999999999</v>
      </c>
      <c r="AQ53" s="19">
        <v>23486.5</v>
      </c>
      <c r="AR53" s="19">
        <v>23647</v>
      </c>
      <c r="AS53" s="19">
        <v>23814.6</v>
      </c>
      <c r="AT53" s="19">
        <v>23989.5</v>
      </c>
      <c r="AU53" s="19">
        <v>24172</v>
      </c>
      <c r="AV53" s="19">
        <v>24362.5</v>
      </c>
      <c r="AW53" s="19">
        <v>24561.200000000001</v>
      </c>
      <c r="AX53" s="19">
        <v>24768.5</v>
      </c>
      <c r="AY53" s="19">
        <v>24984.799999999999</v>
      </c>
      <c r="AZ53" s="19">
        <v>25210.5</v>
      </c>
      <c r="BA53" s="19">
        <v>25445.9</v>
      </c>
      <c r="BB53" s="19">
        <v>25691.599999999999</v>
      </c>
      <c r="BC53" s="19">
        <v>25948</v>
      </c>
      <c r="BD53" s="19">
        <v>26215.7</v>
      </c>
      <c r="BE53" s="19">
        <v>26495.1</v>
      </c>
      <c r="BF53" s="19">
        <v>26786.799999999999</v>
      </c>
      <c r="BG53" s="19">
        <v>27091.7</v>
      </c>
      <c r="BH53" s="19">
        <v>27410.2</v>
      </c>
      <c r="BI53" s="19">
        <v>27743.3</v>
      </c>
      <c r="BJ53" s="19">
        <v>28091.7</v>
      </c>
      <c r="BK53" s="19">
        <v>28456.3</v>
      </c>
      <c r="BL53" s="19">
        <v>28838</v>
      </c>
      <c r="BM53" s="19">
        <v>28238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</row>
    <row r="54" spans="2:111" x14ac:dyDescent="0.15">
      <c r="B54" s="19" t="str">
        <f t="shared" si="0"/>
        <v>3_男_1</v>
      </c>
      <c r="C54" s="18">
        <v>3</v>
      </c>
      <c r="D54" s="18" t="s">
        <v>9</v>
      </c>
      <c r="E54" s="18">
        <v>1</v>
      </c>
      <c r="F54" s="19">
        <v>5252.8</v>
      </c>
      <c r="G54" s="19">
        <v>11929.2</v>
      </c>
      <c r="H54" s="19">
        <v>19790.5</v>
      </c>
      <c r="I54" s="19">
        <v>20776.2</v>
      </c>
      <c r="J54" s="19">
        <v>20811.900000000001</v>
      </c>
      <c r="K54" s="19">
        <v>20849.599999999999</v>
      </c>
      <c r="L54" s="19">
        <v>20889.400000000001</v>
      </c>
      <c r="M54" s="19">
        <v>20931.2</v>
      </c>
      <c r="N54" s="19">
        <v>20975.1</v>
      </c>
      <c r="O54" s="19">
        <v>21020.9</v>
      </c>
      <c r="P54" s="19">
        <v>21068.9</v>
      </c>
      <c r="Q54" s="19">
        <v>21118.9</v>
      </c>
      <c r="R54" s="19">
        <v>21171.200000000001</v>
      </c>
      <c r="S54" s="19">
        <v>21225.8</v>
      </c>
      <c r="T54" s="19">
        <v>21282.799999999999</v>
      </c>
      <c r="U54" s="19">
        <v>21342.400000000001</v>
      </c>
      <c r="V54" s="19">
        <v>21404.799999999999</v>
      </c>
      <c r="W54" s="19">
        <v>21470.1</v>
      </c>
      <c r="X54" s="19">
        <v>21538.400000000001</v>
      </c>
      <c r="Y54" s="19">
        <v>21610</v>
      </c>
      <c r="Z54" s="19">
        <v>21684.9</v>
      </c>
      <c r="AA54" s="19">
        <v>21763.4</v>
      </c>
      <c r="AB54" s="19">
        <v>21845.599999999999</v>
      </c>
      <c r="AC54" s="19">
        <v>21931.7</v>
      </c>
      <c r="AD54" s="19">
        <v>22021.8</v>
      </c>
      <c r="AE54" s="19">
        <v>22116.1</v>
      </c>
      <c r="AF54" s="19">
        <v>22214.799999999999</v>
      </c>
      <c r="AG54" s="19">
        <v>22318.1</v>
      </c>
      <c r="AH54" s="19">
        <v>22426.2</v>
      </c>
      <c r="AI54" s="19">
        <v>22539.200000000001</v>
      </c>
      <c r="AJ54" s="19">
        <v>22657.4</v>
      </c>
      <c r="AK54" s="19">
        <v>22781</v>
      </c>
      <c r="AL54" s="19">
        <v>22910.1</v>
      </c>
      <c r="AM54" s="19">
        <v>23045</v>
      </c>
      <c r="AN54" s="19">
        <v>23186</v>
      </c>
      <c r="AO54" s="19">
        <v>23333.200000000001</v>
      </c>
      <c r="AP54" s="19">
        <v>23486.9</v>
      </c>
      <c r="AQ54" s="19">
        <v>23647.5</v>
      </c>
      <c r="AR54" s="19">
        <v>23815</v>
      </c>
      <c r="AS54" s="19">
        <v>23989.9</v>
      </c>
      <c r="AT54" s="19">
        <v>24172.5</v>
      </c>
      <c r="AU54" s="19">
        <v>24362.9</v>
      </c>
      <c r="AV54" s="19">
        <v>24561.599999999999</v>
      </c>
      <c r="AW54" s="19">
        <v>24769</v>
      </c>
      <c r="AX54" s="19">
        <v>24985.3</v>
      </c>
      <c r="AY54" s="19">
        <v>25210.9</v>
      </c>
      <c r="AZ54" s="19">
        <v>25446.400000000001</v>
      </c>
      <c r="BA54" s="19">
        <v>25692</v>
      </c>
      <c r="BB54" s="19">
        <v>25948.400000000001</v>
      </c>
      <c r="BC54" s="19">
        <v>26216</v>
      </c>
      <c r="BD54" s="19">
        <v>26495.4</v>
      </c>
      <c r="BE54" s="19">
        <v>26787.200000000001</v>
      </c>
      <c r="BF54" s="19">
        <v>27092</v>
      </c>
      <c r="BG54" s="19">
        <v>27410.5</v>
      </c>
      <c r="BH54" s="19">
        <v>27743.5</v>
      </c>
      <c r="BI54" s="19">
        <v>28091.9</v>
      </c>
      <c r="BJ54" s="19">
        <v>28456.400000000001</v>
      </c>
      <c r="BK54" s="19">
        <v>28838.1</v>
      </c>
      <c r="BL54" s="19">
        <v>28238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</row>
    <row r="55" spans="2:111" x14ac:dyDescent="0.15">
      <c r="B55" s="19" t="str">
        <f t="shared" si="0"/>
        <v>3_男_2</v>
      </c>
      <c r="C55" s="18">
        <v>3</v>
      </c>
      <c r="D55" s="18" t="s">
        <v>9</v>
      </c>
      <c r="E55" s="18">
        <v>2</v>
      </c>
      <c r="F55" s="19">
        <v>5261.7</v>
      </c>
      <c r="G55" s="19">
        <v>11949.5</v>
      </c>
      <c r="H55" s="19">
        <v>19824.2</v>
      </c>
      <c r="I55" s="19">
        <v>20812</v>
      </c>
      <c r="J55" s="19">
        <v>20849.8</v>
      </c>
      <c r="K55" s="19">
        <v>20889.599999999999</v>
      </c>
      <c r="L55" s="19">
        <v>20931.400000000001</v>
      </c>
      <c r="M55" s="19">
        <v>20975.3</v>
      </c>
      <c r="N55" s="19">
        <v>21021.1</v>
      </c>
      <c r="O55" s="19">
        <v>21069.1</v>
      </c>
      <c r="P55" s="19">
        <v>21119.1</v>
      </c>
      <c r="Q55" s="19">
        <v>21171.4</v>
      </c>
      <c r="R55" s="19">
        <v>21226</v>
      </c>
      <c r="S55" s="19">
        <v>21283.1</v>
      </c>
      <c r="T55" s="19">
        <v>21342.7</v>
      </c>
      <c r="U55" s="19">
        <v>21405.1</v>
      </c>
      <c r="V55" s="19">
        <v>21470.400000000001</v>
      </c>
      <c r="W55" s="19">
        <v>21538.7</v>
      </c>
      <c r="X55" s="19">
        <v>21610.3</v>
      </c>
      <c r="Y55" s="19">
        <v>21685.200000000001</v>
      </c>
      <c r="Z55" s="19">
        <v>21763.7</v>
      </c>
      <c r="AA55" s="19">
        <v>21845.9</v>
      </c>
      <c r="AB55" s="19">
        <v>21932</v>
      </c>
      <c r="AC55" s="19">
        <v>22022.1</v>
      </c>
      <c r="AD55" s="19">
        <v>22116.5</v>
      </c>
      <c r="AE55" s="19">
        <v>22215.200000000001</v>
      </c>
      <c r="AF55" s="19">
        <v>22318.5</v>
      </c>
      <c r="AG55" s="19">
        <v>22426.6</v>
      </c>
      <c r="AH55" s="19">
        <v>22539.599999999999</v>
      </c>
      <c r="AI55" s="19">
        <v>22657.8</v>
      </c>
      <c r="AJ55" s="19">
        <v>22781.4</v>
      </c>
      <c r="AK55" s="19">
        <v>22910.5</v>
      </c>
      <c r="AL55" s="19">
        <v>23045.4</v>
      </c>
      <c r="AM55" s="19">
        <v>23186.400000000001</v>
      </c>
      <c r="AN55" s="19">
        <v>23333.599999999999</v>
      </c>
      <c r="AO55" s="19">
        <v>23487.4</v>
      </c>
      <c r="AP55" s="19">
        <v>23647.9</v>
      </c>
      <c r="AQ55" s="19">
        <v>23815.5</v>
      </c>
      <c r="AR55" s="19">
        <v>23990.400000000001</v>
      </c>
      <c r="AS55" s="19">
        <v>24172.9</v>
      </c>
      <c r="AT55" s="19">
        <v>24363.4</v>
      </c>
      <c r="AU55" s="19">
        <v>24562.1</v>
      </c>
      <c r="AV55" s="19">
        <v>24769.4</v>
      </c>
      <c r="AW55" s="19">
        <v>24985.7</v>
      </c>
      <c r="AX55" s="19">
        <v>25211.4</v>
      </c>
      <c r="AY55" s="19">
        <v>25446.799999999999</v>
      </c>
      <c r="AZ55" s="19">
        <v>25692.5</v>
      </c>
      <c r="BA55" s="19">
        <v>25948.9</v>
      </c>
      <c r="BB55" s="19">
        <v>26216.5</v>
      </c>
      <c r="BC55" s="19">
        <v>26495.8</v>
      </c>
      <c r="BD55" s="19">
        <v>26787.599999999999</v>
      </c>
      <c r="BE55" s="19">
        <v>27092.3</v>
      </c>
      <c r="BF55" s="19">
        <v>27410.799999999999</v>
      </c>
      <c r="BG55" s="19">
        <v>27743.8</v>
      </c>
      <c r="BH55" s="19">
        <v>28092.1</v>
      </c>
      <c r="BI55" s="19">
        <v>28456.6</v>
      </c>
      <c r="BJ55" s="19">
        <v>28838.2</v>
      </c>
      <c r="BK55" s="19">
        <v>28238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</row>
    <row r="56" spans="2:111" x14ac:dyDescent="0.15">
      <c r="B56" s="19" t="str">
        <f t="shared" si="0"/>
        <v>3_男_3</v>
      </c>
      <c r="C56" s="18">
        <v>3</v>
      </c>
      <c r="D56" s="18" t="s">
        <v>9</v>
      </c>
      <c r="E56" s="18">
        <v>3</v>
      </c>
      <c r="F56" s="19">
        <v>5271.2</v>
      </c>
      <c r="G56" s="19">
        <v>11971.2</v>
      </c>
      <c r="H56" s="19">
        <v>19860</v>
      </c>
      <c r="I56" s="19">
        <v>20850</v>
      </c>
      <c r="J56" s="19">
        <v>20889.8</v>
      </c>
      <c r="K56" s="19">
        <v>20931.599999999999</v>
      </c>
      <c r="L56" s="19">
        <v>20975.5</v>
      </c>
      <c r="M56" s="19">
        <v>21021.3</v>
      </c>
      <c r="N56" s="19">
        <v>21069.3</v>
      </c>
      <c r="O56" s="19">
        <v>21119.4</v>
      </c>
      <c r="P56" s="19">
        <v>21171.7</v>
      </c>
      <c r="Q56" s="19">
        <v>21226.3</v>
      </c>
      <c r="R56" s="19">
        <v>21283.3</v>
      </c>
      <c r="S56" s="19">
        <v>21343</v>
      </c>
      <c r="T56" s="19">
        <v>21405.4</v>
      </c>
      <c r="U56" s="19">
        <v>21470.7</v>
      </c>
      <c r="V56" s="19">
        <v>21539</v>
      </c>
      <c r="W56" s="19">
        <v>21610.6</v>
      </c>
      <c r="X56" s="19">
        <v>21685.599999999999</v>
      </c>
      <c r="Y56" s="19">
        <v>21764.1</v>
      </c>
      <c r="Z56" s="19">
        <v>21846.3</v>
      </c>
      <c r="AA56" s="19">
        <v>21932.3</v>
      </c>
      <c r="AB56" s="19">
        <v>22022.5</v>
      </c>
      <c r="AC56" s="19">
        <v>22116.799999999999</v>
      </c>
      <c r="AD56" s="19">
        <v>22215.599999999999</v>
      </c>
      <c r="AE56" s="19">
        <v>22318.9</v>
      </c>
      <c r="AF56" s="19">
        <v>22427</v>
      </c>
      <c r="AG56" s="19">
        <v>22540</v>
      </c>
      <c r="AH56" s="19">
        <v>22658.2</v>
      </c>
      <c r="AI56" s="19">
        <v>22781.8</v>
      </c>
      <c r="AJ56" s="19">
        <v>22910.9</v>
      </c>
      <c r="AK56" s="19">
        <v>23045.9</v>
      </c>
      <c r="AL56" s="19">
        <v>23186.9</v>
      </c>
      <c r="AM56" s="19">
        <v>23334.1</v>
      </c>
      <c r="AN56" s="19">
        <v>23487.9</v>
      </c>
      <c r="AO56" s="19">
        <v>23648.400000000001</v>
      </c>
      <c r="AP56" s="19">
        <v>23816</v>
      </c>
      <c r="AQ56" s="19">
        <v>23990.9</v>
      </c>
      <c r="AR56" s="19">
        <v>24173.4</v>
      </c>
      <c r="AS56" s="19">
        <v>24363.9</v>
      </c>
      <c r="AT56" s="19">
        <v>24562.6</v>
      </c>
      <c r="AU56" s="19">
        <v>24770</v>
      </c>
      <c r="AV56" s="19">
        <v>24986.3</v>
      </c>
      <c r="AW56" s="19">
        <v>25211.9</v>
      </c>
      <c r="AX56" s="19">
        <v>25447.3</v>
      </c>
      <c r="AY56" s="19">
        <v>25693</v>
      </c>
      <c r="AZ56" s="19">
        <v>25949.4</v>
      </c>
      <c r="BA56" s="19">
        <v>26216.9</v>
      </c>
      <c r="BB56" s="19">
        <v>26496.3</v>
      </c>
      <c r="BC56" s="19">
        <v>26788</v>
      </c>
      <c r="BD56" s="19">
        <v>27092.7</v>
      </c>
      <c r="BE56" s="19">
        <v>27411.1</v>
      </c>
      <c r="BF56" s="19">
        <v>27744.1</v>
      </c>
      <c r="BG56" s="19">
        <v>28092.3</v>
      </c>
      <c r="BH56" s="19">
        <v>28456.7</v>
      </c>
      <c r="BI56" s="19">
        <v>28838.3</v>
      </c>
      <c r="BJ56" s="19">
        <v>28238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</row>
    <row r="57" spans="2:111" x14ac:dyDescent="0.15">
      <c r="B57" s="19" t="str">
        <f t="shared" si="0"/>
        <v>3_男_4</v>
      </c>
      <c r="C57" s="18">
        <v>3</v>
      </c>
      <c r="D57" s="18" t="s">
        <v>9</v>
      </c>
      <c r="E57" s="18">
        <v>4</v>
      </c>
      <c r="F57" s="19">
        <v>5281.3</v>
      </c>
      <c r="G57" s="19">
        <v>11994.2</v>
      </c>
      <c r="H57" s="19">
        <v>19898</v>
      </c>
      <c r="I57" s="19">
        <v>20890</v>
      </c>
      <c r="J57" s="19">
        <v>20931.900000000001</v>
      </c>
      <c r="K57" s="19">
        <v>20975.7</v>
      </c>
      <c r="L57" s="19">
        <v>21021.599999999999</v>
      </c>
      <c r="M57" s="19">
        <v>21069.5</v>
      </c>
      <c r="N57" s="19">
        <v>21119.599999999999</v>
      </c>
      <c r="O57" s="19">
        <v>21171.9</v>
      </c>
      <c r="P57" s="19">
        <v>21226.5</v>
      </c>
      <c r="Q57" s="19">
        <v>21283.599999999999</v>
      </c>
      <c r="R57" s="19">
        <v>21343.3</v>
      </c>
      <c r="S57" s="19">
        <v>21405.7</v>
      </c>
      <c r="T57" s="19">
        <v>21471</v>
      </c>
      <c r="U57" s="19">
        <v>21539.3</v>
      </c>
      <c r="V57" s="19">
        <v>21610.9</v>
      </c>
      <c r="W57" s="19">
        <v>21685.9</v>
      </c>
      <c r="X57" s="19">
        <v>21764.400000000001</v>
      </c>
      <c r="Y57" s="19">
        <v>21846.6</v>
      </c>
      <c r="Z57" s="19">
        <v>21932.7</v>
      </c>
      <c r="AA57" s="19">
        <v>22022.9</v>
      </c>
      <c r="AB57" s="19">
        <v>22117.200000000001</v>
      </c>
      <c r="AC57" s="19">
        <v>22216</v>
      </c>
      <c r="AD57" s="19">
        <v>22319.3</v>
      </c>
      <c r="AE57" s="19">
        <v>22427.4</v>
      </c>
      <c r="AF57" s="19">
        <v>22540.5</v>
      </c>
      <c r="AG57" s="19">
        <v>22658.7</v>
      </c>
      <c r="AH57" s="19">
        <v>22782.3</v>
      </c>
      <c r="AI57" s="19">
        <v>22911.4</v>
      </c>
      <c r="AJ57" s="19">
        <v>23046.400000000001</v>
      </c>
      <c r="AK57" s="19">
        <v>23187.4</v>
      </c>
      <c r="AL57" s="19">
        <v>23334.6</v>
      </c>
      <c r="AM57" s="19">
        <v>23488.400000000001</v>
      </c>
      <c r="AN57" s="19">
        <v>23648.9</v>
      </c>
      <c r="AO57" s="19">
        <v>23816.5</v>
      </c>
      <c r="AP57" s="19">
        <v>23991.4</v>
      </c>
      <c r="AQ57" s="19">
        <v>24174</v>
      </c>
      <c r="AR57" s="19">
        <v>24364.5</v>
      </c>
      <c r="AS57" s="19">
        <v>24563.200000000001</v>
      </c>
      <c r="AT57" s="19">
        <v>24770.5</v>
      </c>
      <c r="AU57" s="19">
        <v>24986.799999999999</v>
      </c>
      <c r="AV57" s="19">
        <v>25212.5</v>
      </c>
      <c r="AW57" s="19">
        <v>25447.9</v>
      </c>
      <c r="AX57" s="19">
        <v>25693.5</v>
      </c>
      <c r="AY57" s="19">
        <v>25949.9</v>
      </c>
      <c r="AZ57" s="19">
        <v>26217.4</v>
      </c>
      <c r="BA57" s="19">
        <v>26496.7</v>
      </c>
      <c r="BB57" s="19">
        <v>26788.400000000001</v>
      </c>
      <c r="BC57" s="19">
        <v>27093.1</v>
      </c>
      <c r="BD57" s="19">
        <v>27411.5</v>
      </c>
      <c r="BE57" s="19">
        <v>27744.400000000001</v>
      </c>
      <c r="BF57" s="19">
        <v>28092.5</v>
      </c>
      <c r="BG57" s="19">
        <v>28456.9</v>
      </c>
      <c r="BH57" s="19">
        <v>28838.3</v>
      </c>
      <c r="BI57" s="19">
        <v>28238</v>
      </c>
      <c r="BJ57" s="19">
        <v>0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>
        <v>0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</row>
    <row r="58" spans="2:111" x14ac:dyDescent="0.15">
      <c r="B58" s="19" t="str">
        <f t="shared" si="0"/>
        <v>3_男_5</v>
      </c>
      <c r="C58" s="18">
        <v>3</v>
      </c>
      <c r="D58" s="18" t="s">
        <v>9</v>
      </c>
      <c r="E58" s="18">
        <v>5</v>
      </c>
      <c r="F58" s="19">
        <v>5292</v>
      </c>
      <c r="G58" s="19">
        <v>12018.3</v>
      </c>
      <c r="H58" s="19">
        <v>19938</v>
      </c>
      <c r="I58" s="19">
        <v>20932.099999999999</v>
      </c>
      <c r="J58" s="19">
        <v>20975.9</v>
      </c>
      <c r="K58" s="19">
        <v>21021.8</v>
      </c>
      <c r="L58" s="19">
        <v>21069.8</v>
      </c>
      <c r="M58" s="19">
        <v>21119.9</v>
      </c>
      <c r="N58" s="19">
        <v>21172.2</v>
      </c>
      <c r="O58" s="19">
        <v>21226.799999999999</v>
      </c>
      <c r="P58" s="19">
        <v>21283.9</v>
      </c>
      <c r="Q58" s="19">
        <v>21343.599999999999</v>
      </c>
      <c r="R58" s="19">
        <v>21406</v>
      </c>
      <c r="S58" s="19">
        <v>21471.3</v>
      </c>
      <c r="T58" s="19">
        <v>21539.7</v>
      </c>
      <c r="U58" s="19">
        <v>21611.3</v>
      </c>
      <c r="V58" s="19">
        <v>21686.2</v>
      </c>
      <c r="W58" s="19">
        <v>21764.799999999999</v>
      </c>
      <c r="X58" s="19">
        <v>21847</v>
      </c>
      <c r="Y58" s="19">
        <v>21933.1</v>
      </c>
      <c r="Z58" s="19">
        <v>22023.200000000001</v>
      </c>
      <c r="AA58" s="19">
        <v>22117.599999999999</v>
      </c>
      <c r="AB58" s="19">
        <v>22216.400000000001</v>
      </c>
      <c r="AC58" s="19">
        <v>22319.7</v>
      </c>
      <c r="AD58" s="19">
        <v>22427.8</v>
      </c>
      <c r="AE58" s="19">
        <v>22540.9</v>
      </c>
      <c r="AF58" s="19">
        <v>22659.200000000001</v>
      </c>
      <c r="AG58" s="19">
        <v>22782.7</v>
      </c>
      <c r="AH58" s="19">
        <v>22911.9</v>
      </c>
      <c r="AI58" s="19">
        <v>23046.9</v>
      </c>
      <c r="AJ58" s="19">
        <v>23187.9</v>
      </c>
      <c r="AK58" s="19">
        <v>23335.1</v>
      </c>
      <c r="AL58" s="19">
        <v>23488.9</v>
      </c>
      <c r="AM58" s="19">
        <v>23649.5</v>
      </c>
      <c r="AN58" s="19">
        <v>23817.1</v>
      </c>
      <c r="AO58" s="19">
        <v>23992</v>
      </c>
      <c r="AP58" s="19">
        <v>24174.6</v>
      </c>
      <c r="AQ58" s="19">
        <v>24365</v>
      </c>
      <c r="AR58" s="19">
        <v>24563.8</v>
      </c>
      <c r="AS58" s="19">
        <v>24771.1</v>
      </c>
      <c r="AT58" s="19">
        <v>24987.4</v>
      </c>
      <c r="AU58" s="19">
        <v>25213</v>
      </c>
      <c r="AV58" s="19">
        <v>25448.400000000001</v>
      </c>
      <c r="AW58" s="19">
        <v>25694.1</v>
      </c>
      <c r="AX58" s="19">
        <v>25950.400000000001</v>
      </c>
      <c r="AY58" s="19">
        <v>26217.9</v>
      </c>
      <c r="AZ58" s="19">
        <v>26497.200000000001</v>
      </c>
      <c r="BA58" s="19">
        <v>26788.799999999999</v>
      </c>
      <c r="BB58" s="19">
        <v>27093.5</v>
      </c>
      <c r="BC58" s="19">
        <v>27411.8</v>
      </c>
      <c r="BD58" s="19">
        <v>27744.7</v>
      </c>
      <c r="BE58" s="19">
        <v>28092.799999999999</v>
      </c>
      <c r="BF58" s="19">
        <v>28457.1</v>
      </c>
      <c r="BG58" s="19">
        <v>28838.400000000001</v>
      </c>
      <c r="BH58" s="19">
        <v>28238</v>
      </c>
      <c r="BI58" s="19">
        <v>0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>
        <v>0</v>
      </c>
      <c r="BW58" s="19">
        <v>0</v>
      </c>
      <c r="BX58" s="19">
        <v>0</v>
      </c>
      <c r="BY58" s="19">
        <v>0</v>
      </c>
      <c r="BZ58" s="19">
        <v>0</v>
      </c>
      <c r="CA58" s="19">
        <v>0</v>
      </c>
      <c r="CB58" s="19">
        <v>0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0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</row>
    <row r="59" spans="2:111" x14ac:dyDescent="0.15">
      <c r="B59" s="19" t="str">
        <f t="shared" si="0"/>
        <v>3_男_6</v>
      </c>
      <c r="C59" s="18">
        <v>3</v>
      </c>
      <c r="D59" s="18" t="s">
        <v>9</v>
      </c>
      <c r="E59" s="18">
        <v>6</v>
      </c>
      <c r="F59" s="19">
        <v>5303.2</v>
      </c>
      <c r="G59" s="19">
        <v>12043.8</v>
      </c>
      <c r="H59" s="19">
        <v>19980.099999999999</v>
      </c>
      <c r="I59" s="19">
        <v>20976.2</v>
      </c>
      <c r="J59" s="19">
        <v>21022.1</v>
      </c>
      <c r="K59" s="19">
        <v>21070.1</v>
      </c>
      <c r="L59" s="19">
        <v>21120.2</v>
      </c>
      <c r="M59" s="19">
        <v>21172.5</v>
      </c>
      <c r="N59" s="19">
        <v>21227.1</v>
      </c>
      <c r="O59" s="19">
        <v>21284.2</v>
      </c>
      <c r="P59" s="19">
        <v>21343.9</v>
      </c>
      <c r="Q59" s="19">
        <v>21406.3</v>
      </c>
      <c r="R59" s="19">
        <v>21471.599999999999</v>
      </c>
      <c r="S59" s="19">
        <v>21540</v>
      </c>
      <c r="T59" s="19">
        <v>21611.599999999999</v>
      </c>
      <c r="U59" s="19">
        <v>21686.6</v>
      </c>
      <c r="V59" s="19">
        <v>21765.1</v>
      </c>
      <c r="W59" s="19">
        <v>21847.4</v>
      </c>
      <c r="X59" s="19">
        <v>21933.5</v>
      </c>
      <c r="Y59" s="19">
        <v>22023.7</v>
      </c>
      <c r="Z59" s="19">
        <v>22118</v>
      </c>
      <c r="AA59" s="19">
        <v>22216.799999999999</v>
      </c>
      <c r="AB59" s="19">
        <v>22320.2</v>
      </c>
      <c r="AC59" s="19">
        <v>22428.3</v>
      </c>
      <c r="AD59" s="19">
        <v>22541.4</v>
      </c>
      <c r="AE59" s="19">
        <v>22659.599999999999</v>
      </c>
      <c r="AF59" s="19">
        <v>22783.3</v>
      </c>
      <c r="AG59" s="19">
        <v>22912.400000000001</v>
      </c>
      <c r="AH59" s="19">
        <v>23047.4</v>
      </c>
      <c r="AI59" s="19">
        <v>23188.400000000001</v>
      </c>
      <c r="AJ59" s="19">
        <v>23335.7</v>
      </c>
      <c r="AK59" s="19">
        <v>23489.5</v>
      </c>
      <c r="AL59" s="19">
        <v>23650.1</v>
      </c>
      <c r="AM59" s="19">
        <v>23817.7</v>
      </c>
      <c r="AN59" s="19">
        <v>23992.6</v>
      </c>
      <c r="AO59" s="19">
        <v>24175.200000000001</v>
      </c>
      <c r="AP59" s="19">
        <v>24365.599999999999</v>
      </c>
      <c r="AQ59" s="19">
        <v>24564.400000000001</v>
      </c>
      <c r="AR59" s="19">
        <v>24771.7</v>
      </c>
      <c r="AS59" s="19">
        <v>24988</v>
      </c>
      <c r="AT59" s="19">
        <v>25213.599999999999</v>
      </c>
      <c r="AU59" s="19">
        <v>25449</v>
      </c>
      <c r="AV59" s="19">
        <v>25694.6</v>
      </c>
      <c r="AW59" s="19">
        <v>25950.9</v>
      </c>
      <c r="AX59" s="19">
        <v>26218.400000000001</v>
      </c>
      <c r="AY59" s="19">
        <v>26497.7</v>
      </c>
      <c r="AZ59" s="19">
        <v>26789.3</v>
      </c>
      <c r="BA59" s="19">
        <v>27093.9</v>
      </c>
      <c r="BB59" s="19">
        <v>27412.2</v>
      </c>
      <c r="BC59" s="19">
        <v>27745</v>
      </c>
      <c r="BD59" s="19">
        <v>28093</v>
      </c>
      <c r="BE59" s="19">
        <v>28457.200000000001</v>
      </c>
      <c r="BF59" s="19">
        <v>28838.5</v>
      </c>
      <c r="BG59" s="19">
        <v>28238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>
        <v>0</v>
      </c>
      <c r="BW59" s="19">
        <v>0</v>
      </c>
      <c r="BX59" s="19">
        <v>0</v>
      </c>
      <c r="BY59" s="19">
        <v>0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</row>
    <row r="60" spans="2:111" x14ac:dyDescent="0.15">
      <c r="B60" s="19" t="str">
        <f t="shared" si="0"/>
        <v>3_男_7</v>
      </c>
      <c r="C60" s="18">
        <v>3</v>
      </c>
      <c r="D60" s="18" t="s">
        <v>9</v>
      </c>
      <c r="E60" s="18">
        <v>7</v>
      </c>
      <c r="F60" s="19">
        <v>5315</v>
      </c>
      <c r="G60" s="19">
        <v>12070.5</v>
      </c>
      <c r="H60" s="19">
        <v>20024.2</v>
      </c>
      <c r="I60" s="19">
        <v>21022.3</v>
      </c>
      <c r="J60" s="19">
        <v>21070.3</v>
      </c>
      <c r="K60" s="19">
        <v>21120.5</v>
      </c>
      <c r="L60" s="19">
        <v>21172.799999999999</v>
      </c>
      <c r="M60" s="19">
        <v>21227.4</v>
      </c>
      <c r="N60" s="19">
        <v>21284.5</v>
      </c>
      <c r="O60" s="19">
        <v>21344.2</v>
      </c>
      <c r="P60" s="19">
        <v>21406.6</v>
      </c>
      <c r="Q60" s="19">
        <v>21472</v>
      </c>
      <c r="R60" s="19">
        <v>21540.400000000001</v>
      </c>
      <c r="S60" s="19">
        <v>21612</v>
      </c>
      <c r="T60" s="19">
        <v>21687</v>
      </c>
      <c r="U60" s="19">
        <v>21765.5</v>
      </c>
      <c r="V60" s="19">
        <v>21847.8</v>
      </c>
      <c r="W60" s="19">
        <v>21933.9</v>
      </c>
      <c r="X60" s="19">
        <v>22024.1</v>
      </c>
      <c r="Y60" s="19">
        <v>22118.5</v>
      </c>
      <c r="Z60" s="19">
        <v>22217.3</v>
      </c>
      <c r="AA60" s="19">
        <v>22320.7</v>
      </c>
      <c r="AB60" s="19">
        <v>22428.799999999999</v>
      </c>
      <c r="AC60" s="19">
        <v>22541.9</v>
      </c>
      <c r="AD60" s="19">
        <v>22660.2</v>
      </c>
      <c r="AE60" s="19">
        <v>22783.8</v>
      </c>
      <c r="AF60" s="19">
        <v>22913</v>
      </c>
      <c r="AG60" s="19">
        <v>23048</v>
      </c>
      <c r="AH60" s="19">
        <v>23189</v>
      </c>
      <c r="AI60" s="19">
        <v>23336.3</v>
      </c>
      <c r="AJ60" s="19">
        <v>23490.1</v>
      </c>
      <c r="AK60" s="19">
        <v>23650.7</v>
      </c>
      <c r="AL60" s="19">
        <v>23818.3</v>
      </c>
      <c r="AM60" s="19">
        <v>23993.200000000001</v>
      </c>
      <c r="AN60" s="19">
        <v>24175.8</v>
      </c>
      <c r="AO60" s="19">
        <v>24366.3</v>
      </c>
      <c r="AP60" s="19">
        <v>24565</v>
      </c>
      <c r="AQ60" s="19">
        <v>24772.3</v>
      </c>
      <c r="AR60" s="19">
        <v>24988.6</v>
      </c>
      <c r="AS60" s="19">
        <v>25214.2</v>
      </c>
      <c r="AT60" s="19">
        <v>25449.599999999999</v>
      </c>
      <c r="AU60" s="19">
        <v>25695.200000000001</v>
      </c>
      <c r="AV60" s="19">
        <v>25951.5</v>
      </c>
      <c r="AW60" s="19">
        <v>26219</v>
      </c>
      <c r="AX60" s="19">
        <v>26498.2</v>
      </c>
      <c r="AY60" s="19">
        <v>26789.8</v>
      </c>
      <c r="AZ60" s="19">
        <v>27094.400000000001</v>
      </c>
      <c r="BA60" s="19">
        <v>27412.6</v>
      </c>
      <c r="BB60" s="19">
        <v>27745.3</v>
      </c>
      <c r="BC60" s="19">
        <v>28093.3</v>
      </c>
      <c r="BD60" s="19">
        <v>28457.4</v>
      </c>
      <c r="BE60" s="19">
        <v>28838.6</v>
      </c>
      <c r="BF60" s="19">
        <v>28238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</row>
    <row r="61" spans="2:111" x14ac:dyDescent="0.15">
      <c r="B61" s="19" t="str">
        <f t="shared" si="0"/>
        <v>3_男_8</v>
      </c>
      <c r="C61" s="18">
        <v>3</v>
      </c>
      <c r="D61" s="18" t="s">
        <v>9</v>
      </c>
      <c r="E61" s="18">
        <v>8</v>
      </c>
      <c r="F61" s="19">
        <v>5327.3</v>
      </c>
      <c r="G61" s="19">
        <v>12098.4</v>
      </c>
      <c r="H61" s="19">
        <v>20070.400000000001</v>
      </c>
      <c r="I61" s="19">
        <v>21070.6</v>
      </c>
      <c r="J61" s="19">
        <v>21120.7</v>
      </c>
      <c r="K61" s="19">
        <v>21173.1</v>
      </c>
      <c r="L61" s="19">
        <v>21227.7</v>
      </c>
      <c r="M61" s="19">
        <v>21284.799999999999</v>
      </c>
      <c r="N61" s="19">
        <v>21344.5</v>
      </c>
      <c r="O61" s="19">
        <v>21407</v>
      </c>
      <c r="P61" s="19">
        <v>21472.3</v>
      </c>
      <c r="Q61" s="19">
        <v>21540.7</v>
      </c>
      <c r="R61" s="19">
        <v>21612.400000000001</v>
      </c>
      <c r="S61" s="19">
        <v>21687.4</v>
      </c>
      <c r="T61" s="19">
        <v>21765.9</v>
      </c>
      <c r="U61" s="19">
        <v>21848.2</v>
      </c>
      <c r="V61" s="19">
        <v>21934.3</v>
      </c>
      <c r="W61" s="19">
        <v>22024.5</v>
      </c>
      <c r="X61" s="19">
        <v>22119</v>
      </c>
      <c r="Y61" s="19">
        <v>22217.8</v>
      </c>
      <c r="Z61" s="19">
        <v>22321.1</v>
      </c>
      <c r="AA61" s="19">
        <v>22429.3</v>
      </c>
      <c r="AB61" s="19">
        <v>22542.400000000001</v>
      </c>
      <c r="AC61" s="19">
        <v>22660.7</v>
      </c>
      <c r="AD61" s="19">
        <v>22784.3</v>
      </c>
      <c r="AE61" s="19">
        <v>22913.5</v>
      </c>
      <c r="AF61" s="19">
        <v>23048.5</v>
      </c>
      <c r="AG61" s="19">
        <v>23189.599999999999</v>
      </c>
      <c r="AH61" s="19">
        <v>23336.9</v>
      </c>
      <c r="AI61" s="19">
        <v>23490.7</v>
      </c>
      <c r="AJ61" s="19">
        <v>23651.3</v>
      </c>
      <c r="AK61" s="19">
        <v>23818.9</v>
      </c>
      <c r="AL61" s="19">
        <v>23993.8</v>
      </c>
      <c r="AM61" s="19">
        <v>24176.400000000001</v>
      </c>
      <c r="AN61" s="19">
        <v>24366.9</v>
      </c>
      <c r="AO61" s="19">
        <v>24565.599999999999</v>
      </c>
      <c r="AP61" s="19">
        <v>24773</v>
      </c>
      <c r="AQ61" s="19">
        <v>24989.200000000001</v>
      </c>
      <c r="AR61" s="19">
        <v>25214.9</v>
      </c>
      <c r="AS61" s="19">
        <v>25450.2</v>
      </c>
      <c r="AT61" s="19">
        <v>25695.8</v>
      </c>
      <c r="AU61" s="19">
        <v>25952.1</v>
      </c>
      <c r="AV61" s="19">
        <v>26219.599999999999</v>
      </c>
      <c r="AW61" s="19">
        <v>26498.799999999999</v>
      </c>
      <c r="AX61" s="19">
        <v>26790.3</v>
      </c>
      <c r="AY61" s="19">
        <v>27094.799999999999</v>
      </c>
      <c r="AZ61" s="19">
        <v>27413</v>
      </c>
      <c r="BA61" s="19">
        <v>27745.7</v>
      </c>
      <c r="BB61" s="19">
        <v>28093.599999999999</v>
      </c>
      <c r="BC61" s="19">
        <v>28457.599999999999</v>
      </c>
      <c r="BD61" s="19">
        <v>28838.7</v>
      </c>
      <c r="BE61" s="19">
        <v>28238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</row>
    <row r="62" spans="2:111" x14ac:dyDescent="0.15">
      <c r="B62" s="19" t="str">
        <f t="shared" si="0"/>
        <v>3_男_9</v>
      </c>
      <c r="C62" s="18">
        <v>3</v>
      </c>
      <c r="D62" s="18" t="s">
        <v>9</v>
      </c>
      <c r="E62" s="18">
        <v>9</v>
      </c>
      <c r="F62" s="19">
        <v>5340.2</v>
      </c>
      <c r="G62" s="19">
        <v>12127.6</v>
      </c>
      <c r="H62" s="19">
        <v>20118.7</v>
      </c>
      <c r="I62" s="19">
        <v>21121.1</v>
      </c>
      <c r="J62" s="19">
        <v>21173.4</v>
      </c>
      <c r="K62" s="19">
        <v>21228.1</v>
      </c>
      <c r="L62" s="19">
        <v>21285.200000000001</v>
      </c>
      <c r="M62" s="19">
        <v>21344.9</v>
      </c>
      <c r="N62" s="19">
        <v>21407.3</v>
      </c>
      <c r="O62" s="19">
        <v>21472.7</v>
      </c>
      <c r="P62" s="19">
        <v>21541.1</v>
      </c>
      <c r="Q62" s="19">
        <v>21612.799999999999</v>
      </c>
      <c r="R62" s="19">
        <v>21687.8</v>
      </c>
      <c r="S62" s="19">
        <v>21766.400000000001</v>
      </c>
      <c r="T62" s="19">
        <v>21848.6</v>
      </c>
      <c r="U62" s="19">
        <v>21934.799999999999</v>
      </c>
      <c r="V62" s="19">
        <v>22025</v>
      </c>
      <c r="W62" s="19">
        <v>22119.4</v>
      </c>
      <c r="X62" s="19">
        <v>22218.2</v>
      </c>
      <c r="Y62" s="19">
        <v>22321.599999999999</v>
      </c>
      <c r="Z62" s="19">
        <v>22429.8</v>
      </c>
      <c r="AA62" s="19">
        <v>22542.9</v>
      </c>
      <c r="AB62" s="19">
        <v>22661.200000000001</v>
      </c>
      <c r="AC62" s="19">
        <v>22784.9</v>
      </c>
      <c r="AD62" s="19">
        <v>22914.1</v>
      </c>
      <c r="AE62" s="19">
        <v>23049.1</v>
      </c>
      <c r="AF62" s="19">
        <v>23190.2</v>
      </c>
      <c r="AG62" s="19">
        <v>23337.5</v>
      </c>
      <c r="AH62" s="19">
        <v>23491.3</v>
      </c>
      <c r="AI62" s="19">
        <v>23651.9</v>
      </c>
      <c r="AJ62" s="19">
        <v>23819.5</v>
      </c>
      <c r="AK62" s="19">
        <v>23994.5</v>
      </c>
      <c r="AL62" s="19">
        <v>24177.1</v>
      </c>
      <c r="AM62" s="19">
        <v>24367.599999999999</v>
      </c>
      <c r="AN62" s="19">
        <v>24566.3</v>
      </c>
      <c r="AO62" s="19">
        <v>24773.599999999999</v>
      </c>
      <c r="AP62" s="19">
        <v>24989.9</v>
      </c>
      <c r="AQ62" s="19">
        <v>25215.5</v>
      </c>
      <c r="AR62" s="19">
        <v>25450.9</v>
      </c>
      <c r="AS62" s="19">
        <v>25696.5</v>
      </c>
      <c r="AT62" s="19">
        <v>25952.7</v>
      </c>
      <c r="AU62" s="19">
        <v>26220.1</v>
      </c>
      <c r="AV62" s="19">
        <v>26499.3</v>
      </c>
      <c r="AW62" s="19">
        <v>26790.799999999999</v>
      </c>
      <c r="AX62" s="19">
        <v>27095.3</v>
      </c>
      <c r="AY62" s="19">
        <v>27413.4</v>
      </c>
      <c r="AZ62" s="19">
        <v>27746</v>
      </c>
      <c r="BA62" s="19">
        <v>28093.9</v>
      </c>
      <c r="BB62" s="19">
        <v>28457.8</v>
      </c>
      <c r="BC62" s="19">
        <v>28838.9</v>
      </c>
      <c r="BD62" s="19">
        <v>28238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</row>
    <row r="63" spans="2:111" x14ac:dyDescent="0.15">
      <c r="B63" s="19" t="str">
        <f t="shared" si="0"/>
        <v>3_男_10</v>
      </c>
      <c r="C63" s="18">
        <v>3</v>
      </c>
      <c r="D63" s="18" t="s">
        <v>9</v>
      </c>
      <c r="E63" s="18">
        <v>10</v>
      </c>
      <c r="F63" s="19">
        <v>5353.7</v>
      </c>
      <c r="G63" s="19">
        <v>12158.1</v>
      </c>
      <c r="H63" s="19">
        <v>20169.2</v>
      </c>
      <c r="I63" s="19">
        <v>21173.7</v>
      </c>
      <c r="J63" s="19">
        <v>21228.400000000001</v>
      </c>
      <c r="K63" s="19">
        <v>21285.5</v>
      </c>
      <c r="L63" s="19">
        <v>21345.200000000001</v>
      </c>
      <c r="M63" s="19">
        <v>21407.7</v>
      </c>
      <c r="N63" s="19">
        <v>21473.1</v>
      </c>
      <c r="O63" s="19">
        <v>21541.5</v>
      </c>
      <c r="P63" s="19">
        <v>21613.200000000001</v>
      </c>
      <c r="Q63" s="19">
        <v>21688.2</v>
      </c>
      <c r="R63" s="19">
        <v>21766.799999999999</v>
      </c>
      <c r="S63" s="19">
        <v>21849.1</v>
      </c>
      <c r="T63" s="19">
        <v>21935.3</v>
      </c>
      <c r="U63" s="19">
        <v>22025.5</v>
      </c>
      <c r="V63" s="19">
        <v>22119.9</v>
      </c>
      <c r="W63" s="19">
        <v>22218.799999999999</v>
      </c>
      <c r="X63" s="19">
        <v>22322.2</v>
      </c>
      <c r="Y63" s="19">
        <v>22430.400000000001</v>
      </c>
      <c r="Z63" s="19">
        <v>22543.5</v>
      </c>
      <c r="AA63" s="19">
        <v>22661.8</v>
      </c>
      <c r="AB63" s="19">
        <v>22785.5</v>
      </c>
      <c r="AC63" s="19">
        <v>22914.7</v>
      </c>
      <c r="AD63" s="19">
        <v>23049.7</v>
      </c>
      <c r="AE63" s="19">
        <v>23190.799999999999</v>
      </c>
      <c r="AF63" s="19">
        <v>23338.1</v>
      </c>
      <c r="AG63" s="19">
        <v>23492</v>
      </c>
      <c r="AH63" s="19">
        <v>23652.6</v>
      </c>
      <c r="AI63" s="19">
        <v>23820.2</v>
      </c>
      <c r="AJ63" s="19">
        <v>23995.200000000001</v>
      </c>
      <c r="AK63" s="19">
        <v>24177.8</v>
      </c>
      <c r="AL63" s="19">
        <v>24368.3</v>
      </c>
      <c r="AM63" s="19">
        <v>24567</v>
      </c>
      <c r="AN63" s="19">
        <v>24774.3</v>
      </c>
      <c r="AO63" s="19">
        <v>24990.6</v>
      </c>
      <c r="AP63" s="19">
        <v>25216.2</v>
      </c>
      <c r="AQ63" s="19">
        <v>25451.599999999999</v>
      </c>
      <c r="AR63" s="19">
        <v>25697.1</v>
      </c>
      <c r="AS63" s="19">
        <v>25953.3</v>
      </c>
      <c r="AT63" s="19">
        <v>26220.799999999999</v>
      </c>
      <c r="AU63" s="19">
        <v>26499.9</v>
      </c>
      <c r="AV63" s="19">
        <v>26791.3</v>
      </c>
      <c r="AW63" s="19">
        <v>27095.8</v>
      </c>
      <c r="AX63" s="19">
        <v>27413.9</v>
      </c>
      <c r="AY63" s="19">
        <v>27746.400000000001</v>
      </c>
      <c r="AZ63" s="19">
        <v>28094.2</v>
      </c>
      <c r="BA63" s="19">
        <v>28458</v>
      </c>
      <c r="BB63" s="19">
        <v>28839</v>
      </c>
      <c r="BC63" s="19">
        <v>28238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</row>
    <row r="64" spans="2:111" x14ac:dyDescent="0.15">
      <c r="B64" s="19" t="str">
        <f t="shared" si="0"/>
        <v>3_男_11</v>
      </c>
      <c r="C64" s="18">
        <v>3</v>
      </c>
      <c r="D64" s="18" t="s">
        <v>9</v>
      </c>
      <c r="E64" s="18">
        <v>11</v>
      </c>
      <c r="F64" s="19">
        <v>5367.8</v>
      </c>
      <c r="G64" s="19">
        <v>12190</v>
      </c>
      <c r="H64" s="19">
        <v>20221.900000000001</v>
      </c>
      <c r="I64" s="19">
        <v>21228.7</v>
      </c>
      <c r="J64" s="19">
        <v>21285.9</v>
      </c>
      <c r="K64" s="19">
        <v>21345.599999999999</v>
      </c>
      <c r="L64" s="19">
        <v>21408.1</v>
      </c>
      <c r="M64" s="19">
        <v>21473.5</v>
      </c>
      <c r="N64" s="19">
        <v>21541.9</v>
      </c>
      <c r="O64" s="19">
        <v>21613.599999999999</v>
      </c>
      <c r="P64" s="19">
        <v>21688.6</v>
      </c>
      <c r="Q64" s="19">
        <v>21767.200000000001</v>
      </c>
      <c r="R64" s="19">
        <v>21849.599999999999</v>
      </c>
      <c r="S64" s="19">
        <v>21935.7</v>
      </c>
      <c r="T64" s="19">
        <v>22026</v>
      </c>
      <c r="U64" s="19">
        <v>22120.400000000001</v>
      </c>
      <c r="V64" s="19">
        <v>22219.3</v>
      </c>
      <c r="W64" s="19">
        <v>22322.7</v>
      </c>
      <c r="X64" s="19">
        <v>22430.9</v>
      </c>
      <c r="Y64" s="19">
        <v>22544.1</v>
      </c>
      <c r="Z64" s="19">
        <v>22662.400000000001</v>
      </c>
      <c r="AA64" s="19">
        <v>22786.1</v>
      </c>
      <c r="AB64" s="19">
        <v>22915.3</v>
      </c>
      <c r="AC64" s="19">
        <v>23050.400000000001</v>
      </c>
      <c r="AD64" s="19">
        <v>23191.4</v>
      </c>
      <c r="AE64" s="19">
        <v>23338.799999999999</v>
      </c>
      <c r="AF64" s="19">
        <v>23492.6</v>
      </c>
      <c r="AG64" s="19">
        <v>23653.200000000001</v>
      </c>
      <c r="AH64" s="19">
        <v>23820.9</v>
      </c>
      <c r="AI64" s="19">
        <v>23995.9</v>
      </c>
      <c r="AJ64" s="19">
        <v>24178.5</v>
      </c>
      <c r="AK64" s="19">
        <v>24369</v>
      </c>
      <c r="AL64" s="19">
        <v>24567.7</v>
      </c>
      <c r="AM64" s="19">
        <v>24775</v>
      </c>
      <c r="AN64" s="19">
        <v>24991.3</v>
      </c>
      <c r="AO64" s="19">
        <v>25216.9</v>
      </c>
      <c r="AP64" s="19">
        <v>25452.3</v>
      </c>
      <c r="AQ64" s="19">
        <v>25697.8</v>
      </c>
      <c r="AR64" s="19">
        <v>25954</v>
      </c>
      <c r="AS64" s="19">
        <v>26221.4</v>
      </c>
      <c r="AT64" s="19">
        <v>26500.5</v>
      </c>
      <c r="AU64" s="19">
        <v>26791.9</v>
      </c>
      <c r="AV64" s="19">
        <v>27096.3</v>
      </c>
      <c r="AW64" s="19">
        <v>27414.3</v>
      </c>
      <c r="AX64" s="19">
        <v>27746.799999999999</v>
      </c>
      <c r="AY64" s="19">
        <v>28094.5</v>
      </c>
      <c r="AZ64" s="19">
        <v>28458.3</v>
      </c>
      <c r="BA64" s="19">
        <v>28839.1</v>
      </c>
      <c r="BB64" s="19">
        <v>28238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0</v>
      </c>
      <c r="CQ64" s="19">
        <v>0</v>
      </c>
      <c r="CR64" s="19">
        <v>0</v>
      </c>
      <c r="CS64" s="19">
        <v>0</v>
      </c>
      <c r="CT64" s="19">
        <v>0</v>
      </c>
      <c r="CU64" s="19">
        <v>0</v>
      </c>
      <c r="CV64" s="19">
        <v>0</v>
      </c>
      <c r="CW64" s="19">
        <v>0</v>
      </c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</row>
    <row r="65" spans="2:111" x14ac:dyDescent="0.15">
      <c r="B65" s="19" t="str">
        <f t="shared" si="0"/>
        <v>3_男_12</v>
      </c>
      <c r="C65" s="18">
        <v>3</v>
      </c>
      <c r="D65" s="18" t="s">
        <v>9</v>
      </c>
      <c r="E65" s="18">
        <v>12</v>
      </c>
      <c r="F65" s="19">
        <v>5382.5</v>
      </c>
      <c r="G65" s="19">
        <v>12223.3</v>
      </c>
      <c r="H65" s="19">
        <v>20277</v>
      </c>
      <c r="I65" s="19">
        <v>21286.2</v>
      </c>
      <c r="J65" s="19">
        <v>21346</v>
      </c>
      <c r="K65" s="19">
        <v>21408.5</v>
      </c>
      <c r="L65" s="19">
        <v>21473.9</v>
      </c>
      <c r="M65" s="19">
        <v>21542.3</v>
      </c>
      <c r="N65" s="19">
        <v>21614</v>
      </c>
      <c r="O65" s="19">
        <v>21689.1</v>
      </c>
      <c r="P65" s="19">
        <v>21767.7</v>
      </c>
      <c r="Q65" s="19">
        <v>21850</v>
      </c>
      <c r="R65" s="19">
        <v>21936.2</v>
      </c>
      <c r="S65" s="19">
        <v>22026.5</v>
      </c>
      <c r="T65" s="19">
        <v>22120.9</v>
      </c>
      <c r="U65" s="19">
        <v>22219.8</v>
      </c>
      <c r="V65" s="19">
        <v>22323.3</v>
      </c>
      <c r="W65" s="19">
        <v>22431.5</v>
      </c>
      <c r="X65" s="19">
        <v>22544.6</v>
      </c>
      <c r="Y65" s="19">
        <v>22663</v>
      </c>
      <c r="Z65" s="19">
        <v>22786.7</v>
      </c>
      <c r="AA65" s="19">
        <v>22915.9</v>
      </c>
      <c r="AB65" s="19">
        <v>23051</v>
      </c>
      <c r="AC65" s="19">
        <v>23192.1</v>
      </c>
      <c r="AD65" s="19">
        <v>23339.5</v>
      </c>
      <c r="AE65" s="19">
        <v>23493.3</v>
      </c>
      <c r="AF65" s="19">
        <v>23653.9</v>
      </c>
      <c r="AG65" s="19">
        <v>23821.599999999999</v>
      </c>
      <c r="AH65" s="19">
        <v>23996.6</v>
      </c>
      <c r="AI65" s="19">
        <v>24179.200000000001</v>
      </c>
      <c r="AJ65" s="19">
        <v>24369.7</v>
      </c>
      <c r="AK65" s="19">
        <v>24568.400000000001</v>
      </c>
      <c r="AL65" s="19">
        <v>24775.8</v>
      </c>
      <c r="AM65" s="19">
        <v>24992</v>
      </c>
      <c r="AN65" s="19">
        <v>25217.599999999999</v>
      </c>
      <c r="AO65" s="19">
        <v>25453</v>
      </c>
      <c r="AP65" s="19">
        <v>25698.5</v>
      </c>
      <c r="AQ65" s="19">
        <v>25954.7</v>
      </c>
      <c r="AR65" s="19">
        <v>26222</v>
      </c>
      <c r="AS65" s="19">
        <v>26501.1</v>
      </c>
      <c r="AT65" s="19">
        <v>26792.5</v>
      </c>
      <c r="AU65" s="19">
        <v>27096.799999999999</v>
      </c>
      <c r="AV65" s="19">
        <v>27414.799999999999</v>
      </c>
      <c r="AW65" s="19">
        <v>27747.200000000001</v>
      </c>
      <c r="AX65" s="19">
        <v>28094.799999999999</v>
      </c>
      <c r="AY65" s="19">
        <v>28458.5</v>
      </c>
      <c r="AZ65" s="19">
        <v>28839.200000000001</v>
      </c>
      <c r="BA65" s="19">
        <v>28238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</row>
    <row r="66" spans="2:111" x14ac:dyDescent="0.15">
      <c r="B66" s="19" t="str">
        <f t="shared" si="0"/>
        <v>3_男_13</v>
      </c>
      <c r="C66" s="18">
        <v>3</v>
      </c>
      <c r="D66" s="18" t="s">
        <v>9</v>
      </c>
      <c r="E66" s="18">
        <v>13</v>
      </c>
      <c r="F66" s="19">
        <v>5397.8</v>
      </c>
      <c r="G66" s="19">
        <v>12258</v>
      </c>
      <c r="H66" s="19">
        <v>20334.5</v>
      </c>
      <c r="I66" s="19">
        <v>21346.400000000001</v>
      </c>
      <c r="J66" s="19">
        <v>21408.9</v>
      </c>
      <c r="K66" s="19">
        <v>21474.3</v>
      </c>
      <c r="L66" s="19">
        <v>21542.799999999999</v>
      </c>
      <c r="M66" s="19">
        <v>21614.5</v>
      </c>
      <c r="N66" s="19">
        <v>21689.599999999999</v>
      </c>
      <c r="O66" s="19">
        <v>21768.2</v>
      </c>
      <c r="P66" s="19">
        <v>21850.5</v>
      </c>
      <c r="Q66" s="19">
        <v>21936.7</v>
      </c>
      <c r="R66" s="19">
        <v>22027</v>
      </c>
      <c r="S66" s="19">
        <v>22121.5</v>
      </c>
      <c r="T66" s="19">
        <v>22220.400000000001</v>
      </c>
      <c r="U66" s="19">
        <v>22323.8</v>
      </c>
      <c r="V66" s="19">
        <v>22432.1</v>
      </c>
      <c r="W66" s="19">
        <v>22545.200000000001</v>
      </c>
      <c r="X66" s="19">
        <v>22663.599999999999</v>
      </c>
      <c r="Y66" s="19">
        <v>22787.3</v>
      </c>
      <c r="Z66" s="19">
        <v>22916.6</v>
      </c>
      <c r="AA66" s="19">
        <v>23051.7</v>
      </c>
      <c r="AB66" s="19">
        <v>23192.799999999999</v>
      </c>
      <c r="AC66" s="19">
        <v>23340.1</v>
      </c>
      <c r="AD66" s="19">
        <v>23494</v>
      </c>
      <c r="AE66" s="19">
        <v>23654.7</v>
      </c>
      <c r="AF66" s="19">
        <v>23822.3</v>
      </c>
      <c r="AG66" s="19">
        <v>23997.3</v>
      </c>
      <c r="AH66" s="19">
        <v>24179.9</v>
      </c>
      <c r="AI66" s="19">
        <v>24370.5</v>
      </c>
      <c r="AJ66" s="19">
        <v>24569.200000000001</v>
      </c>
      <c r="AK66" s="19">
        <v>24776.5</v>
      </c>
      <c r="AL66" s="19">
        <v>24992.799999999999</v>
      </c>
      <c r="AM66" s="19">
        <v>25218.400000000001</v>
      </c>
      <c r="AN66" s="19">
        <v>25453.7</v>
      </c>
      <c r="AO66" s="19">
        <v>25699.200000000001</v>
      </c>
      <c r="AP66" s="19">
        <v>25955.4</v>
      </c>
      <c r="AQ66" s="19">
        <v>26222.7</v>
      </c>
      <c r="AR66" s="19">
        <v>26501.7</v>
      </c>
      <c r="AS66" s="19">
        <v>26793.1</v>
      </c>
      <c r="AT66" s="19">
        <v>27097.3</v>
      </c>
      <c r="AU66" s="19">
        <v>27415.3</v>
      </c>
      <c r="AV66" s="19">
        <v>27747.599999999999</v>
      </c>
      <c r="AW66" s="19">
        <v>28095.1</v>
      </c>
      <c r="AX66" s="19">
        <v>28458.7</v>
      </c>
      <c r="AY66" s="19">
        <v>28839.3</v>
      </c>
      <c r="AZ66" s="19">
        <v>28238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</row>
    <row r="67" spans="2:111" x14ac:dyDescent="0.15">
      <c r="B67" s="19" t="str">
        <f t="shared" ref="B67:B130" si="1">C67&amp;"_"&amp;D67&amp;"_"&amp;E67</f>
        <v>3_男_14</v>
      </c>
      <c r="C67" s="18">
        <v>3</v>
      </c>
      <c r="D67" s="18" t="s">
        <v>9</v>
      </c>
      <c r="E67" s="18">
        <v>14</v>
      </c>
      <c r="F67" s="19">
        <v>5413.8</v>
      </c>
      <c r="G67" s="19">
        <v>12294.4</v>
      </c>
      <c r="H67" s="19">
        <v>20394.7</v>
      </c>
      <c r="I67" s="19">
        <v>21409.3</v>
      </c>
      <c r="J67" s="19">
        <v>21474.7</v>
      </c>
      <c r="K67" s="19">
        <v>21543.200000000001</v>
      </c>
      <c r="L67" s="19">
        <v>21614.9</v>
      </c>
      <c r="M67" s="19">
        <v>21690</v>
      </c>
      <c r="N67" s="19">
        <v>21768.7</v>
      </c>
      <c r="O67" s="19">
        <v>21851</v>
      </c>
      <c r="P67" s="19">
        <v>21937.200000000001</v>
      </c>
      <c r="Q67" s="19">
        <v>22027.5</v>
      </c>
      <c r="R67" s="19">
        <v>22122</v>
      </c>
      <c r="S67" s="19">
        <v>22220.9</v>
      </c>
      <c r="T67" s="19">
        <v>22324.400000000001</v>
      </c>
      <c r="U67" s="19">
        <v>22432.7</v>
      </c>
      <c r="V67" s="19">
        <v>22545.9</v>
      </c>
      <c r="W67" s="19">
        <v>22664.2</v>
      </c>
      <c r="X67" s="19">
        <v>22788</v>
      </c>
      <c r="Y67" s="19">
        <v>22917.3</v>
      </c>
      <c r="Z67" s="19">
        <v>23052.400000000001</v>
      </c>
      <c r="AA67" s="19">
        <v>23193.5</v>
      </c>
      <c r="AB67" s="19">
        <v>23340.9</v>
      </c>
      <c r="AC67" s="19">
        <v>23494.7</v>
      </c>
      <c r="AD67" s="19">
        <v>23655.4</v>
      </c>
      <c r="AE67" s="19">
        <v>23823.1</v>
      </c>
      <c r="AF67" s="19">
        <v>23998.1</v>
      </c>
      <c r="AG67" s="19">
        <v>24180.7</v>
      </c>
      <c r="AH67" s="19">
        <v>24371.200000000001</v>
      </c>
      <c r="AI67" s="19">
        <v>24570</v>
      </c>
      <c r="AJ67" s="19">
        <v>24777.3</v>
      </c>
      <c r="AK67" s="19">
        <v>24993.599999999999</v>
      </c>
      <c r="AL67" s="19">
        <v>25219.1</v>
      </c>
      <c r="AM67" s="19">
        <v>25454.400000000001</v>
      </c>
      <c r="AN67" s="19">
        <v>25699.9</v>
      </c>
      <c r="AO67" s="19">
        <v>25956.1</v>
      </c>
      <c r="AP67" s="19">
        <v>26223.4</v>
      </c>
      <c r="AQ67" s="19">
        <v>26502.400000000001</v>
      </c>
      <c r="AR67" s="19">
        <v>26793.7</v>
      </c>
      <c r="AS67" s="19">
        <v>27097.9</v>
      </c>
      <c r="AT67" s="19">
        <v>27415.8</v>
      </c>
      <c r="AU67" s="19">
        <v>27748</v>
      </c>
      <c r="AV67" s="19">
        <v>28095.5</v>
      </c>
      <c r="AW67" s="19">
        <v>28459</v>
      </c>
      <c r="AX67" s="19">
        <v>28839.5</v>
      </c>
      <c r="AY67" s="19">
        <v>28238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19">
        <v>0</v>
      </c>
      <c r="BN67" s="19">
        <v>0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>
        <v>0</v>
      </c>
      <c r="BW67" s="19">
        <v>0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</row>
    <row r="68" spans="2:111" x14ac:dyDescent="0.15">
      <c r="B68" s="19" t="str">
        <f t="shared" si="1"/>
        <v>3_男_15</v>
      </c>
      <c r="C68" s="18">
        <v>3</v>
      </c>
      <c r="D68" s="18" t="s">
        <v>9</v>
      </c>
      <c r="E68" s="18">
        <v>15</v>
      </c>
      <c r="F68" s="19">
        <v>5430.6</v>
      </c>
      <c r="G68" s="19">
        <v>12332.4</v>
      </c>
      <c r="H68" s="19">
        <v>20457.7</v>
      </c>
      <c r="I68" s="19">
        <v>21475.200000000001</v>
      </c>
      <c r="J68" s="19">
        <v>21543.7</v>
      </c>
      <c r="K68" s="19">
        <v>21615.4</v>
      </c>
      <c r="L68" s="19">
        <v>21690.5</v>
      </c>
      <c r="M68" s="19">
        <v>21769.200000000001</v>
      </c>
      <c r="N68" s="19">
        <v>21851.5</v>
      </c>
      <c r="O68" s="19">
        <v>21937.8</v>
      </c>
      <c r="P68" s="19">
        <v>22028.1</v>
      </c>
      <c r="Q68" s="19">
        <v>22122.6</v>
      </c>
      <c r="R68" s="19">
        <v>22221.5</v>
      </c>
      <c r="S68" s="19">
        <v>22325</v>
      </c>
      <c r="T68" s="19">
        <v>22433.3</v>
      </c>
      <c r="U68" s="19">
        <v>22546.5</v>
      </c>
      <c r="V68" s="19">
        <v>22664.9</v>
      </c>
      <c r="W68" s="19">
        <v>22788.6</v>
      </c>
      <c r="X68" s="19">
        <v>22917.9</v>
      </c>
      <c r="Y68" s="19">
        <v>23053.1</v>
      </c>
      <c r="Z68" s="19">
        <v>23194.2</v>
      </c>
      <c r="AA68" s="19">
        <v>23341.599999999999</v>
      </c>
      <c r="AB68" s="19">
        <v>23495.5</v>
      </c>
      <c r="AC68" s="19">
        <v>23656.2</v>
      </c>
      <c r="AD68" s="19">
        <v>23823.9</v>
      </c>
      <c r="AE68" s="19">
        <v>23998.9</v>
      </c>
      <c r="AF68" s="19">
        <v>24181.5</v>
      </c>
      <c r="AG68" s="19">
        <v>24372</v>
      </c>
      <c r="AH68" s="19">
        <v>24570.799999999999</v>
      </c>
      <c r="AI68" s="19">
        <v>24778.1</v>
      </c>
      <c r="AJ68" s="19">
        <v>24994.3</v>
      </c>
      <c r="AK68" s="19">
        <v>25219.9</v>
      </c>
      <c r="AL68" s="19">
        <v>25455.200000000001</v>
      </c>
      <c r="AM68" s="19">
        <v>25700.7</v>
      </c>
      <c r="AN68" s="19">
        <v>25956.799999999999</v>
      </c>
      <c r="AO68" s="19">
        <v>26224.1</v>
      </c>
      <c r="AP68" s="19">
        <v>26503</v>
      </c>
      <c r="AQ68" s="19">
        <v>26794.3</v>
      </c>
      <c r="AR68" s="19">
        <v>27098.5</v>
      </c>
      <c r="AS68" s="19">
        <v>27416.3</v>
      </c>
      <c r="AT68" s="19">
        <v>27748.400000000001</v>
      </c>
      <c r="AU68" s="19">
        <v>28095.8</v>
      </c>
      <c r="AV68" s="19">
        <v>28459.200000000001</v>
      </c>
      <c r="AW68" s="19">
        <v>28839.599999999999</v>
      </c>
      <c r="AX68" s="19">
        <v>28238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</row>
    <row r="69" spans="2:111" x14ac:dyDescent="0.15">
      <c r="B69" s="19" t="str">
        <f t="shared" si="1"/>
        <v>3_男_16</v>
      </c>
      <c r="C69" s="18">
        <v>3</v>
      </c>
      <c r="D69" s="18" t="s">
        <v>9</v>
      </c>
      <c r="E69" s="18">
        <v>16</v>
      </c>
      <c r="F69" s="19">
        <v>5448.1</v>
      </c>
      <c r="G69" s="19">
        <v>12372.1</v>
      </c>
      <c r="H69" s="19">
        <v>20523.599999999999</v>
      </c>
      <c r="I69" s="19">
        <v>21544.1</v>
      </c>
      <c r="J69" s="19">
        <v>21615.9</v>
      </c>
      <c r="K69" s="19">
        <v>21691</v>
      </c>
      <c r="L69" s="19">
        <v>21769.7</v>
      </c>
      <c r="M69" s="19">
        <v>21852.1</v>
      </c>
      <c r="N69" s="19">
        <v>21938.3</v>
      </c>
      <c r="O69" s="19">
        <v>22028.6</v>
      </c>
      <c r="P69" s="19">
        <v>22123.200000000001</v>
      </c>
      <c r="Q69" s="19">
        <v>22222.1</v>
      </c>
      <c r="R69" s="19">
        <v>22325.599999999999</v>
      </c>
      <c r="S69" s="19">
        <v>22433.9</v>
      </c>
      <c r="T69" s="19">
        <v>22547.200000000001</v>
      </c>
      <c r="U69" s="19">
        <v>22665.599999999999</v>
      </c>
      <c r="V69" s="19">
        <v>22789.3</v>
      </c>
      <c r="W69" s="19">
        <v>22918.7</v>
      </c>
      <c r="X69" s="19">
        <v>23053.8</v>
      </c>
      <c r="Y69" s="19">
        <v>23194.9</v>
      </c>
      <c r="Z69" s="19">
        <v>23342.400000000001</v>
      </c>
      <c r="AA69" s="19">
        <v>23496.3</v>
      </c>
      <c r="AB69" s="19">
        <v>23657</v>
      </c>
      <c r="AC69" s="19">
        <v>23824.7</v>
      </c>
      <c r="AD69" s="19">
        <v>23999.7</v>
      </c>
      <c r="AE69" s="19">
        <v>24182.3</v>
      </c>
      <c r="AF69" s="19">
        <v>24372.799999999999</v>
      </c>
      <c r="AG69" s="19">
        <v>24571.599999999999</v>
      </c>
      <c r="AH69" s="19">
        <v>24778.9</v>
      </c>
      <c r="AI69" s="19">
        <v>24995.200000000001</v>
      </c>
      <c r="AJ69" s="19">
        <v>25220.7</v>
      </c>
      <c r="AK69" s="19">
        <v>25456</v>
      </c>
      <c r="AL69" s="19">
        <v>25701.5</v>
      </c>
      <c r="AM69" s="19">
        <v>25957.599999999999</v>
      </c>
      <c r="AN69" s="19">
        <v>26224.799999999999</v>
      </c>
      <c r="AO69" s="19">
        <v>26503.7</v>
      </c>
      <c r="AP69" s="19">
        <v>26794.9</v>
      </c>
      <c r="AQ69" s="19">
        <v>27099</v>
      </c>
      <c r="AR69" s="19">
        <v>27416.799999999999</v>
      </c>
      <c r="AS69" s="19">
        <v>27748.9</v>
      </c>
      <c r="AT69" s="19">
        <v>28096.2</v>
      </c>
      <c r="AU69" s="19">
        <v>28459.4</v>
      </c>
      <c r="AV69" s="19">
        <v>28839.7</v>
      </c>
      <c r="AW69" s="19">
        <v>28238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0</v>
      </c>
      <c r="CT69" s="19">
        <v>0</v>
      </c>
      <c r="CU69" s="19">
        <v>0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0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</row>
    <row r="70" spans="2:111" x14ac:dyDescent="0.15">
      <c r="B70" s="19" t="str">
        <f t="shared" si="1"/>
        <v>3_男_17</v>
      </c>
      <c r="C70" s="18">
        <v>3</v>
      </c>
      <c r="D70" s="18" t="s">
        <v>9</v>
      </c>
      <c r="E70" s="18">
        <v>17</v>
      </c>
      <c r="F70" s="19">
        <v>5466.5</v>
      </c>
      <c r="G70" s="19">
        <v>12413.8</v>
      </c>
      <c r="H70" s="19">
        <v>20592.599999999999</v>
      </c>
      <c r="I70" s="19">
        <v>21616.400000000001</v>
      </c>
      <c r="J70" s="19">
        <v>21691.5</v>
      </c>
      <c r="K70" s="19">
        <v>21770.2</v>
      </c>
      <c r="L70" s="19">
        <v>21852.6</v>
      </c>
      <c r="M70" s="19">
        <v>21938.9</v>
      </c>
      <c r="N70" s="19">
        <v>22029.200000000001</v>
      </c>
      <c r="O70" s="19">
        <v>22123.8</v>
      </c>
      <c r="P70" s="19">
        <v>22222.7</v>
      </c>
      <c r="Q70" s="19">
        <v>22326.3</v>
      </c>
      <c r="R70" s="19">
        <v>22434.6</v>
      </c>
      <c r="S70" s="19">
        <v>22547.8</v>
      </c>
      <c r="T70" s="19">
        <v>22666.3</v>
      </c>
      <c r="U70" s="19">
        <v>22790</v>
      </c>
      <c r="V70" s="19">
        <v>22919.4</v>
      </c>
      <c r="W70" s="19">
        <v>23054.5</v>
      </c>
      <c r="X70" s="19">
        <v>23195.7</v>
      </c>
      <c r="Y70" s="19">
        <v>23343.1</v>
      </c>
      <c r="Z70" s="19">
        <v>23497.1</v>
      </c>
      <c r="AA70" s="19">
        <v>23657.8</v>
      </c>
      <c r="AB70" s="19">
        <v>23825.5</v>
      </c>
      <c r="AC70" s="19">
        <v>24000.5</v>
      </c>
      <c r="AD70" s="19">
        <v>24183.1</v>
      </c>
      <c r="AE70" s="19">
        <v>24373.7</v>
      </c>
      <c r="AF70" s="19">
        <v>24572.400000000001</v>
      </c>
      <c r="AG70" s="19">
        <v>24779.8</v>
      </c>
      <c r="AH70" s="19">
        <v>24996</v>
      </c>
      <c r="AI70" s="19">
        <v>25221.599999999999</v>
      </c>
      <c r="AJ70" s="19">
        <v>25456.799999999999</v>
      </c>
      <c r="AK70" s="19">
        <v>25702.3</v>
      </c>
      <c r="AL70" s="19">
        <v>25958.3</v>
      </c>
      <c r="AM70" s="19">
        <v>26225.5</v>
      </c>
      <c r="AN70" s="19">
        <v>26504.400000000001</v>
      </c>
      <c r="AO70" s="19">
        <v>26795.599999999999</v>
      </c>
      <c r="AP70" s="19">
        <v>27099.599999999999</v>
      </c>
      <c r="AQ70" s="19">
        <v>27417.3</v>
      </c>
      <c r="AR70" s="19">
        <v>27749.3</v>
      </c>
      <c r="AS70" s="19">
        <v>28096.5</v>
      </c>
      <c r="AT70" s="19">
        <v>28459.7</v>
      </c>
      <c r="AU70" s="19">
        <v>28839.9</v>
      </c>
      <c r="AV70" s="19">
        <v>28238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</row>
    <row r="71" spans="2:111" x14ac:dyDescent="0.15">
      <c r="B71" s="19" t="str">
        <f t="shared" si="1"/>
        <v>3_男_18</v>
      </c>
      <c r="C71" s="18">
        <v>3</v>
      </c>
      <c r="D71" s="18" t="s">
        <v>9</v>
      </c>
      <c r="E71" s="18">
        <v>18</v>
      </c>
      <c r="F71" s="19">
        <v>5485.7</v>
      </c>
      <c r="G71" s="19">
        <v>12457.4</v>
      </c>
      <c r="H71" s="19">
        <v>20664.900000000001</v>
      </c>
      <c r="I71" s="19">
        <v>21692.1</v>
      </c>
      <c r="J71" s="19">
        <v>21770.799999999999</v>
      </c>
      <c r="K71" s="19">
        <v>21853.200000000001</v>
      </c>
      <c r="L71" s="19">
        <v>21939.5</v>
      </c>
      <c r="M71" s="19">
        <v>22029.8</v>
      </c>
      <c r="N71" s="19">
        <v>22124.400000000001</v>
      </c>
      <c r="O71" s="19">
        <v>22223.4</v>
      </c>
      <c r="P71" s="19">
        <v>22326.9</v>
      </c>
      <c r="Q71" s="19">
        <v>22435.200000000001</v>
      </c>
      <c r="R71" s="19">
        <v>22548.5</v>
      </c>
      <c r="S71" s="19">
        <v>22667</v>
      </c>
      <c r="T71" s="19">
        <v>22790.799999999999</v>
      </c>
      <c r="U71" s="19">
        <v>22920.1</v>
      </c>
      <c r="V71" s="19">
        <v>23055.3</v>
      </c>
      <c r="W71" s="19">
        <v>23196.5</v>
      </c>
      <c r="X71" s="19">
        <v>23343.9</v>
      </c>
      <c r="Y71" s="19">
        <v>23497.9</v>
      </c>
      <c r="Z71" s="19">
        <v>23658.6</v>
      </c>
      <c r="AA71" s="19">
        <v>23826.3</v>
      </c>
      <c r="AB71" s="19">
        <v>24001.4</v>
      </c>
      <c r="AC71" s="19">
        <v>24184</v>
      </c>
      <c r="AD71" s="19">
        <v>24374.5</v>
      </c>
      <c r="AE71" s="19">
        <v>24573.3</v>
      </c>
      <c r="AF71" s="19">
        <v>24780.6</v>
      </c>
      <c r="AG71" s="19">
        <v>24996.9</v>
      </c>
      <c r="AH71" s="19">
        <v>25222.400000000001</v>
      </c>
      <c r="AI71" s="19">
        <v>25457.7</v>
      </c>
      <c r="AJ71" s="19">
        <v>25703.1</v>
      </c>
      <c r="AK71" s="19">
        <v>25959.1</v>
      </c>
      <c r="AL71" s="19">
        <v>26226.3</v>
      </c>
      <c r="AM71" s="19">
        <v>26505.1</v>
      </c>
      <c r="AN71" s="19">
        <v>26796.3</v>
      </c>
      <c r="AO71" s="19">
        <v>27100.3</v>
      </c>
      <c r="AP71" s="19">
        <v>27417.9</v>
      </c>
      <c r="AQ71" s="19">
        <v>27749.8</v>
      </c>
      <c r="AR71" s="19">
        <v>28096.9</v>
      </c>
      <c r="AS71" s="19">
        <v>28460</v>
      </c>
      <c r="AT71" s="19">
        <v>28840</v>
      </c>
      <c r="AU71" s="19">
        <v>28238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</row>
    <row r="72" spans="2:111" x14ac:dyDescent="0.15">
      <c r="B72" s="19" t="str">
        <f t="shared" si="1"/>
        <v>3_男_19</v>
      </c>
      <c r="C72" s="18">
        <v>3</v>
      </c>
      <c r="D72" s="18" t="s">
        <v>9</v>
      </c>
      <c r="E72" s="18">
        <v>19</v>
      </c>
      <c r="F72" s="19">
        <v>5505.9</v>
      </c>
      <c r="G72" s="19">
        <v>12503.1</v>
      </c>
      <c r="H72" s="19">
        <v>20740.599999999999</v>
      </c>
      <c r="I72" s="19">
        <v>21771.3</v>
      </c>
      <c r="J72" s="19">
        <v>21853.8</v>
      </c>
      <c r="K72" s="19">
        <v>21940.1</v>
      </c>
      <c r="L72" s="19">
        <v>22030.5</v>
      </c>
      <c r="M72" s="19">
        <v>22125</v>
      </c>
      <c r="N72" s="19">
        <v>22224</v>
      </c>
      <c r="O72" s="19">
        <v>22327.599999999999</v>
      </c>
      <c r="P72" s="19">
        <v>22435.9</v>
      </c>
      <c r="Q72" s="19">
        <v>22549.200000000001</v>
      </c>
      <c r="R72" s="19">
        <v>22667.7</v>
      </c>
      <c r="S72" s="19">
        <v>22791.5</v>
      </c>
      <c r="T72" s="19">
        <v>22920.9</v>
      </c>
      <c r="U72" s="19">
        <v>23056.1</v>
      </c>
      <c r="V72" s="19">
        <v>23197.3</v>
      </c>
      <c r="W72" s="19">
        <v>23344.799999999999</v>
      </c>
      <c r="X72" s="19">
        <v>23498.7</v>
      </c>
      <c r="Y72" s="19">
        <v>23659.4</v>
      </c>
      <c r="Z72" s="19">
        <v>23827.200000000001</v>
      </c>
      <c r="AA72" s="19">
        <v>24002.2</v>
      </c>
      <c r="AB72" s="19">
        <v>24184.9</v>
      </c>
      <c r="AC72" s="19">
        <v>24375.4</v>
      </c>
      <c r="AD72" s="19">
        <v>24574.2</v>
      </c>
      <c r="AE72" s="19">
        <v>24781.5</v>
      </c>
      <c r="AF72" s="19">
        <v>24997.8</v>
      </c>
      <c r="AG72" s="19">
        <v>25223.3</v>
      </c>
      <c r="AH72" s="19">
        <v>25458.5</v>
      </c>
      <c r="AI72" s="19">
        <v>25703.9</v>
      </c>
      <c r="AJ72" s="19">
        <v>25960</v>
      </c>
      <c r="AK72" s="19">
        <v>26227.1</v>
      </c>
      <c r="AL72" s="19">
        <v>26505.9</v>
      </c>
      <c r="AM72" s="19">
        <v>26797</v>
      </c>
      <c r="AN72" s="19">
        <v>27100.9</v>
      </c>
      <c r="AO72" s="19">
        <v>27418.400000000001</v>
      </c>
      <c r="AP72" s="19">
        <v>27750.3</v>
      </c>
      <c r="AQ72" s="19">
        <v>28097.3</v>
      </c>
      <c r="AR72" s="19">
        <v>28460.2</v>
      </c>
      <c r="AS72" s="19">
        <v>28840.1</v>
      </c>
      <c r="AT72" s="19">
        <v>28238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</row>
    <row r="73" spans="2:111" x14ac:dyDescent="0.15">
      <c r="B73" s="19" t="str">
        <f t="shared" si="1"/>
        <v>3_男_20</v>
      </c>
      <c r="C73" s="18">
        <v>3</v>
      </c>
      <c r="D73" s="18" t="s">
        <v>9</v>
      </c>
      <c r="E73" s="18">
        <v>20</v>
      </c>
      <c r="F73" s="19">
        <v>5527</v>
      </c>
      <c r="G73" s="19">
        <v>12551</v>
      </c>
      <c r="H73" s="19">
        <v>20819.900000000001</v>
      </c>
      <c r="I73" s="19">
        <v>21854.400000000001</v>
      </c>
      <c r="J73" s="19">
        <v>21940.7</v>
      </c>
      <c r="K73" s="19">
        <v>22031.1</v>
      </c>
      <c r="L73" s="19">
        <v>22125.7</v>
      </c>
      <c r="M73" s="19">
        <v>22224.7</v>
      </c>
      <c r="N73" s="19">
        <v>22328.3</v>
      </c>
      <c r="O73" s="19">
        <v>22436.7</v>
      </c>
      <c r="P73" s="19">
        <v>22550</v>
      </c>
      <c r="Q73" s="19">
        <v>22668.5</v>
      </c>
      <c r="R73" s="19">
        <v>22792.3</v>
      </c>
      <c r="S73" s="19">
        <v>22921.7</v>
      </c>
      <c r="T73" s="19">
        <v>23056.9</v>
      </c>
      <c r="U73" s="19">
        <v>23198.1</v>
      </c>
      <c r="V73" s="19">
        <v>23345.599999999999</v>
      </c>
      <c r="W73" s="19">
        <v>23499.599999999999</v>
      </c>
      <c r="X73" s="19">
        <v>23660.3</v>
      </c>
      <c r="Y73" s="19">
        <v>23828.1</v>
      </c>
      <c r="Z73" s="19">
        <v>24003.200000000001</v>
      </c>
      <c r="AA73" s="19">
        <v>24185.8</v>
      </c>
      <c r="AB73" s="19">
        <v>24376.400000000001</v>
      </c>
      <c r="AC73" s="19">
        <v>24575.1</v>
      </c>
      <c r="AD73" s="19">
        <v>24782.400000000001</v>
      </c>
      <c r="AE73" s="19">
        <v>24998.7</v>
      </c>
      <c r="AF73" s="19">
        <v>25224.2</v>
      </c>
      <c r="AG73" s="19">
        <v>25459.4</v>
      </c>
      <c r="AH73" s="19">
        <v>25704.799999999999</v>
      </c>
      <c r="AI73" s="19">
        <v>25960.799999999999</v>
      </c>
      <c r="AJ73" s="19">
        <v>26227.9</v>
      </c>
      <c r="AK73" s="19">
        <v>26506.7</v>
      </c>
      <c r="AL73" s="19">
        <v>26797.7</v>
      </c>
      <c r="AM73" s="19">
        <v>27101.599999999999</v>
      </c>
      <c r="AN73" s="19">
        <v>27419</v>
      </c>
      <c r="AO73" s="19">
        <v>27750.799999999999</v>
      </c>
      <c r="AP73" s="19">
        <v>28097.7</v>
      </c>
      <c r="AQ73" s="19">
        <v>28460.5</v>
      </c>
      <c r="AR73" s="19">
        <v>28840.3</v>
      </c>
      <c r="AS73" s="19">
        <v>28238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>
        <v>0</v>
      </c>
      <c r="BW73" s="19">
        <v>0</v>
      </c>
      <c r="BX73" s="19">
        <v>0</v>
      </c>
      <c r="BY73" s="19">
        <v>0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0</v>
      </c>
      <c r="CN73" s="19">
        <v>0</v>
      </c>
      <c r="CO73" s="19">
        <v>0</v>
      </c>
      <c r="CP73" s="19">
        <v>0</v>
      </c>
      <c r="CQ73" s="19">
        <v>0</v>
      </c>
      <c r="CR73" s="19">
        <v>0</v>
      </c>
      <c r="CS73" s="19">
        <v>0</v>
      </c>
      <c r="CT73" s="19">
        <v>0</v>
      </c>
      <c r="CU73" s="19">
        <v>0</v>
      </c>
      <c r="CV73" s="19">
        <v>0</v>
      </c>
      <c r="CW73" s="19">
        <v>0</v>
      </c>
      <c r="CX73" s="19">
        <v>0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0</v>
      </c>
      <c r="DE73" s="19">
        <v>0</v>
      </c>
      <c r="DF73" s="19">
        <v>0</v>
      </c>
      <c r="DG73" s="19">
        <v>0</v>
      </c>
    </row>
    <row r="74" spans="2:111" x14ac:dyDescent="0.15">
      <c r="B74" s="19" t="str">
        <f t="shared" si="1"/>
        <v>3_男_21</v>
      </c>
      <c r="C74" s="18">
        <v>3</v>
      </c>
      <c r="D74" s="18" t="s">
        <v>9</v>
      </c>
      <c r="E74" s="18">
        <v>21</v>
      </c>
      <c r="F74" s="19">
        <v>5549.1</v>
      </c>
      <c r="G74" s="19">
        <v>12601.1</v>
      </c>
      <c r="H74" s="19">
        <v>20903</v>
      </c>
      <c r="I74" s="19">
        <v>21941.3</v>
      </c>
      <c r="J74" s="19">
        <v>22031.7</v>
      </c>
      <c r="K74" s="19">
        <v>22126.400000000001</v>
      </c>
      <c r="L74" s="19">
        <v>22225.4</v>
      </c>
      <c r="M74" s="19">
        <v>22329</v>
      </c>
      <c r="N74" s="19">
        <v>22437.4</v>
      </c>
      <c r="O74" s="19">
        <v>22550.7</v>
      </c>
      <c r="P74" s="19">
        <v>22669.200000000001</v>
      </c>
      <c r="Q74" s="19">
        <v>22793.1</v>
      </c>
      <c r="R74" s="19">
        <v>22922.5</v>
      </c>
      <c r="S74" s="19">
        <v>23057.7</v>
      </c>
      <c r="T74" s="19">
        <v>23199</v>
      </c>
      <c r="U74" s="19">
        <v>23346.5</v>
      </c>
      <c r="V74" s="19">
        <v>23500.5</v>
      </c>
      <c r="W74" s="19">
        <v>23661.200000000001</v>
      </c>
      <c r="X74" s="19">
        <v>23829</v>
      </c>
      <c r="Y74" s="19">
        <v>24004.1</v>
      </c>
      <c r="Z74" s="19">
        <v>24186.7</v>
      </c>
      <c r="AA74" s="19">
        <v>24377.3</v>
      </c>
      <c r="AB74" s="19">
        <v>24576.1</v>
      </c>
      <c r="AC74" s="19">
        <v>24783.4</v>
      </c>
      <c r="AD74" s="19">
        <v>24999.599999999999</v>
      </c>
      <c r="AE74" s="19">
        <v>25225.1</v>
      </c>
      <c r="AF74" s="19">
        <v>25460.400000000001</v>
      </c>
      <c r="AG74" s="19">
        <v>25705.7</v>
      </c>
      <c r="AH74" s="19">
        <v>25961.7</v>
      </c>
      <c r="AI74" s="19">
        <v>26228.7</v>
      </c>
      <c r="AJ74" s="19">
        <v>26507.5</v>
      </c>
      <c r="AK74" s="19">
        <v>26798.400000000001</v>
      </c>
      <c r="AL74" s="19">
        <v>27102.2</v>
      </c>
      <c r="AM74" s="19">
        <v>27419.599999999999</v>
      </c>
      <c r="AN74" s="19">
        <v>27751.3</v>
      </c>
      <c r="AO74" s="19">
        <v>28098.1</v>
      </c>
      <c r="AP74" s="19">
        <v>28460.799999999999</v>
      </c>
      <c r="AQ74" s="19">
        <v>28840.5</v>
      </c>
      <c r="AR74" s="19">
        <v>28238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>
        <v>0</v>
      </c>
      <c r="BW74" s="19">
        <v>0</v>
      </c>
      <c r="BX74" s="19">
        <v>0</v>
      </c>
      <c r="BY74" s="19">
        <v>0</v>
      </c>
      <c r="BZ74" s="19">
        <v>0</v>
      </c>
      <c r="CA74" s="19">
        <v>0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0</v>
      </c>
      <c r="CN74" s="19">
        <v>0</v>
      </c>
      <c r="CO74" s="19">
        <v>0</v>
      </c>
      <c r="CP74" s="19">
        <v>0</v>
      </c>
      <c r="CQ74" s="19">
        <v>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</row>
    <row r="75" spans="2:111" x14ac:dyDescent="0.15">
      <c r="B75" s="19" t="str">
        <f t="shared" si="1"/>
        <v>3_男_22</v>
      </c>
      <c r="C75" s="18">
        <v>3</v>
      </c>
      <c r="D75" s="18" t="s">
        <v>9</v>
      </c>
      <c r="E75" s="18">
        <v>22</v>
      </c>
      <c r="F75" s="19">
        <v>5572.3</v>
      </c>
      <c r="G75" s="19">
        <v>12653.6</v>
      </c>
      <c r="H75" s="19">
        <v>20990</v>
      </c>
      <c r="I75" s="19">
        <v>22032.400000000001</v>
      </c>
      <c r="J75" s="19">
        <v>22127.1</v>
      </c>
      <c r="K75" s="19">
        <v>22226.1</v>
      </c>
      <c r="L75" s="19">
        <v>22329.7</v>
      </c>
      <c r="M75" s="19">
        <v>22438.2</v>
      </c>
      <c r="N75" s="19">
        <v>22551.5</v>
      </c>
      <c r="O75" s="19">
        <v>22670</v>
      </c>
      <c r="P75" s="19">
        <v>22793.9</v>
      </c>
      <c r="Q75" s="19">
        <v>22923.4</v>
      </c>
      <c r="R75" s="19">
        <v>23058.6</v>
      </c>
      <c r="S75" s="19">
        <v>23199.9</v>
      </c>
      <c r="T75" s="19">
        <v>23347.4</v>
      </c>
      <c r="U75" s="19">
        <v>23501.4</v>
      </c>
      <c r="V75" s="19">
        <v>23662.2</v>
      </c>
      <c r="W75" s="19">
        <v>23830</v>
      </c>
      <c r="X75" s="19">
        <v>24005</v>
      </c>
      <c r="Y75" s="19">
        <v>24187.7</v>
      </c>
      <c r="Z75" s="19">
        <v>24378.3</v>
      </c>
      <c r="AA75" s="19">
        <v>24577.1</v>
      </c>
      <c r="AB75" s="19">
        <v>24784.400000000001</v>
      </c>
      <c r="AC75" s="19">
        <v>25000.6</v>
      </c>
      <c r="AD75" s="19">
        <v>25226.1</v>
      </c>
      <c r="AE75" s="19">
        <v>25461.3</v>
      </c>
      <c r="AF75" s="19">
        <v>25706.6</v>
      </c>
      <c r="AG75" s="19">
        <v>25962.6</v>
      </c>
      <c r="AH75" s="19">
        <v>26229.599999999999</v>
      </c>
      <c r="AI75" s="19">
        <v>26508.3</v>
      </c>
      <c r="AJ75" s="19">
        <v>26799.200000000001</v>
      </c>
      <c r="AK75" s="19">
        <v>27102.9</v>
      </c>
      <c r="AL75" s="19">
        <v>27420.2</v>
      </c>
      <c r="AM75" s="19">
        <v>27751.8</v>
      </c>
      <c r="AN75" s="19">
        <v>28098.5</v>
      </c>
      <c r="AO75" s="19">
        <v>28461.1</v>
      </c>
      <c r="AP75" s="19">
        <v>28840.6</v>
      </c>
      <c r="AQ75" s="19">
        <v>28238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0</v>
      </c>
      <c r="CU75" s="19">
        <v>0</v>
      </c>
      <c r="CV75" s="19">
        <v>0</v>
      </c>
      <c r="CW75" s="19">
        <v>0</v>
      </c>
      <c r="CX75" s="19">
        <v>0</v>
      </c>
      <c r="CY75" s="19">
        <v>0</v>
      </c>
      <c r="CZ75" s="19">
        <v>0</v>
      </c>
      <c r="DA75" s="19">
        <v>0</v>
      </c>
      <c r="DB75" s="19">
        <v>0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</row>
    <row r="76" spans="2:111" x14ac:dyDescent="0.15">
      <c r="B76" s="19" t="str">
        <f t="shared" si="1"/>
        <v>3_男_23</v>
      </c>
      <c r="C76" s="18">
        <v>3</v>
      </c>
      <c r="D76" s="18" t="s">
        <v>9</v>
      </c>
      <c r="E76" s="18">
        <v>23</v>
      </c>
      <c r="F76" s="19">
        <v>5596.5</v>
      </c>
      <c r="G76" s="19">
        <v>12708.7</v>
      </c>
      <c r="H76" s="19">
        <v>21081.200000000001</v>
      </c>
      <c r="I76" s="19">
        <v>22127.8</v>
      </c>
      <c r="J76" s="19">
        <v>22226.9</v>
      </c>
      <c r="K76" s="19">
        <v>22330.5</v>
      </c>
      <c r="L76" s="19">
        <v>22438.9</v>
      </c>
      <c r="M76" s="19">
        <v>22552.3</v>
      </c>
      <c r="N76" s="19">
        <v>22670.9</v>
      </c>
      <c r="O76" s="19">
        <v>22794.799999999999</v>
      </c>
      <c r="P76" s="19">
        <v>22924.2</v>
      </c>
      <c r="Q76" s="19">
        <v>23059.5</v>
      </c>
      <c r="R76" s="19">
        <v>23200.799999999999</v>
      </c>
      <c r="S76" s="19">
        <v>23348.3</v>
      </c>
      <c r="T76" s="19">
        <v>23502.3</v>
      </c>
      <c r="U76" s="19">
        <v>23663.1</v>
      </c>
      <c r="V76" s="19">
        <v>23830.9</v>
      </c>
      <c r="W76" s="19">
        <v>24006</v>
      </c>
      <c r="X76" s="19">
        <v>24188.7</v>
      </c>
      <c r="Y76" s="19">
        <v>24379.3</v>
      </c>
      <c r="Z76" s="19">
        <v>24578.1</v>
      </c>
      <c r="AA76" s="19">
        <v>24785.4</v>
      </c>
      <c r="AB76" s="19">
        <v>25001.599999999999</v>
      </c>
      <c r="AC76" s="19">
        <v>25227.1</v>
      </c>
      <c r="AD76" s="19">
        <v>25462.3</v>
      </c>
      <c r="AE76" s="19">
        <v>25707.599999999999</v>
      </c>
      <c r="AF76" s="19">
        <v>25963.5</v>
      </c>
      <c r="AG76" s="19">
        <v>26230.5</v>
      </c>
      <c r="AH76" s="19">
        <v>26509.1</v>
      </c>
      <c r="AI76" s="19">
        <v>26800</v>
      </c>
      <c r="AJ76" s="19">
        <v>27103.599999999999</v>
      </c>
      <c r="AK76" s="19">
        <v>27420.9</v>
      </c>
      <c r="AL76" s="19">
        <v>27752.400000000001</v>
      </c>
      <c r="AM76" s="19">
        <v>28098.9</v>
      </c>
      <c r="AN76" s="19">
        <v>28461.4</v>
      </c>
      <c r="AO76" s="19">
        <v>28840.799999999999</v>
      </c>
      <c r="AP76" s="19">
        <v>28238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</row>
    <row r="77" spans="2:111" x14ac:dyDescent="0.15">
      <c r="B77" s="19" t="str">
        <f t="shared" si="1"/>
        <v>3_男_24</v>
      </c>
      <c r="C77" s="18">
        <v>3</v>
      </c>
      <c r="D77" s="18" t="s">
        <v>9</v>
      </c>
      <c r="E77" s="18">
        <v>24</v>
      </c>
      <c r="F77" s="19">
        <v>5621.9</v>
      </c>
      <c r="G77" s="19">
        <v>12766.3</v>
      </c>
      <c r="H77" s="19">
        <v>21176.6</v>
      </c>
      <c r="I77" s="19">
        <v>22227.599999999999</v>
      </c>
      <c r="J77" s="19">
        <v>22331.3</v>
      </c>
      <c r="K77" s="19">
        <v>22439.7</v>
      </c>
      <c r="L77" s="19">
        <v>22553.1</v>
      </c>
      <c r="M77" s="19">
        <v>22671.7</v>
      </c>
      <c r="N77" s="19">
        <v>22795.599999999999</v>
      </c>
      <c r="O77" s="19">
        <v>22925.1</v>
      </c>
      <c r="P77" s="19">
        <v>23060.400000000001</v>
      </c>
      <c r="Q77" s="19">
        <v>23201.7</v>
      </c>
      <c r="R77" s="19">
        <v>23349.3</v>
      </c>
      <c r="S77" s="19">
        <v>23503.3</v>
      </c>
      <c r="T77" s="19">
        <v>23664.1</v>
      </c>
      <c r="U77" s="19">
        <v>23831.9</v>
      </c>
      <c r="V77" s="19">
        <v>24007.1</v>
      </c>
      <c r="W77" s="19">
        <v>24189.7</v>
      </c>
      <c r="X77" s="19">
        <v>24380.3</v>
      </c>
      <c r="Y77" s="19">
        <v>24579.1</v>
      </c>
      <c r="Z77" s="19">
        <v>24786.400000000001</v>
      </c>
      <c r="AA77" s="19">
        <v>25002.6</v>
      </c>
      <c r="AB77" s="19">
        <v>25228.1</v>
      </c>
      <c r="AC77" s="19">
        <v>25463.3</v>
      </c>
      <c r="AD77" s="19">
        <v>25708.6</v>
      </c>
      <c r="AE77" s="19">
        <v>25964.5</v>
      </c>
      <c r="AF77" s="19">
        <v>26231.4</v>
      </c>
      <c r="AG77" s="19">
        <v>26510</v>
      </c>
      <c r="AH77" s="19">
        <v>26800.799999999999</v>
      </c>
      <c r="AI77" s="19">
        <v>27104.400000000001</v>
      </c>
      <c r="AJ77" s="19">
        <v>27421.5</v>
      </c>
      <c r="AK77" s="19">
        <v>27752.9</v>
      </c>
      <c r="AL77" s="19">
        <v>28099.4</v>
      </c>
      <c r="AM77" s="19">
        <v>28461.7</v>
      </c>
      <c r="AN77" s="19">
        <v>28840.9</v>
      </c>
      <c r="AO77" s="19">
        <v>28238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>
        <v>0</v>
      </c>
      <c r="BW77" s="19">
        <v>0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0</v>
      </c>
      <c r="CN77" s="19">
        <v>0</v>
      </c>
      <c r="CO77" s="19">
        <v>0</v>
      </c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</row>
    <row r="78" spans="2:111" x14ac:dyDescent="0.15">
      <c r="B78" s="19" t="str">
        <f t="shared" si="1"/>
        <v>3_男_25</v>
      </c>
      <c r="C78" s="18">
        <v>3</v>
      </c>
      <c r="D78" s="18" t="s">
        <v>9</v>
      </c>
      <c r="E78" s="18">
        <v>25</v>
      </c>
      <c r="F78" s="19">
        <v>5648.6</v>
      </c>
      <c r="G78" s="19">
        <v>12826.6</v>
      </c>
      <c r="H78" s="19">
        <v>21276.5</v>
      </c>
      <c r="I78" s="19">
        <v>22332.1</v>
      </c>
      <c r="J78" s="19">
        <v>22440.6</v>
      </c>
      <c r="K78" s="19">
        <v>22554</v>
      </c>
      <c r="L78" s="19">
        <v>22672.6</v>
      </c>
      <c r="M78" s="19">
        <v>22796.5</v>
      </c>
      <c r="N78" s="19">
        <v>22926</v>
      </c>
      <c r="O78" s="19">
        <v>23061.4</v>
      </c>
      <c r="P78" s="19">
        <v>23202.7</v>
      </c>
      <c r="Q78" s="19">
        <v>23350.3</v>
      </c>
      <c r="R78" s="19">
        <v>23504.3</v>
      </c>
      <c r="S78" s="19">
        <v>23665.1</v>
      </c>
      <c r="T78" s="19">
        <v>23833</v>
      </c>
      <c r="U78" s="19">
        <v>24008.1</v>
      </c>
      <c r="V78" s="19">
        <v>24190.799999999999</v>
      </c>
      <c r="W78" s="19">
        <v>24381.4</v>
      </c>
      <c r="X78" s="19">
        <v>24580.2</v>
      </c>
      <c r="Y78" s="19">
        <v>24787.5</v>
      </c>
      <c r="Z78" s="19">
        <v>25003.7</v>
      </c>
      <c r="AA78" s="19">
        <v>25229.200000000001</v>
      </c>
      <c r="AB78" s="19">
        <v>25464.3</v>
      </c>
      <c r="AC78" s="19">
        <v>25709.599999999999</v>
      </c>
      <c r="AD78" s="19">
        <v>25965.4</v>
      </c>
      <c r="AE78" s="19">
        <v>26232.400000000001</v>
      </c>
      <c r="AF78" s="19">
        <v>26510.9</v>
      </c>
      <c r="AG78" s="19">
        <v>26801.599999999999</v>
      </c>
      <c r="AH78" s="19">
        <v>27105.1</v>
      </c>
      <c r="AI78" s="19">
        <v>27422.2</v>
      </c>
      <c r="AJ78" s="19">
        <v>27753.5</v>
      </c>
      <c r="AK78" s="19">
        <v>28099.8</v>
      </c>
      <c r="AL78" s="19">
        <v>28462.1</v>
      </c>
      <c r="AM78" s="19">
        <v>28841.1</v>
      </c>
      <c r="AN78" s="19">
        <v>28238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</row>
    <row r="79" spans="2:111" x14ac:dyDescent="0.15">
      <c r="B79" s="19" t="str">
        <f t="shared" si="1"/>
        <v>3_男_26</v>
      </c>
      <c r="C79" s="18">
        <v>3</v>
      </c>
      <c r="D79" s="18" t="s">
        <v>9</v>
      </c>
      <c r="E79" s="18">
        <v>26</v>
      </c>
      <c r="F79" s="19">
        <v>5676.4</v>
      </c>
      <c r="G79" s="19">
        <v>12889.8</v>
      </c>
      <c r="H79" s="19">
        <v>21381.1</v>
      </c>
      <c r="I79" s="19">
        <v>22441.4</v>
      </c>
      <c r="J79" s="19">
        <v>22554.9</v>
      </c>
      <c r="K79" s="19">
        <v>22673.5</v>
      </c>
      <c r="L79" s="19">
        <v>22797.5</v>
      </c>
      <c r="M79" s="19">
        <v>22927</v>
      </c>
      <c r="N79" s="19">
        <v>23062.3</v>
      </c>
      <c r="O79" s="19">
        <v>23203.7</v>
      </c>
      <c r="P79" s="19">
        <v>23351.3</v>
      </c>
      <c r="Q79" s="19">
        <v>23505.4</v>
      </c>
      <c r="R79" s="19">
        <v>23666.2</v>
      </c>
      <c r="S79" s="19">
        <v>23834</v>
      </c>
      <c r="T79" s="19">
        <v>24009.200000000001</v>
      </c>
      <c r="U79" s="19">
        <v>24191.9</v>
      </c>
      <c r="V79" s="19">
        <v>24382.5</v>
      </c>
      <c r="W79" s="19">
        <v>24581.3</v>
      </c>
      <c r="X79" s="19">
        <v>24788.6</v>
      </c>
      <c r="Y79" s="19">
        <v>25004.799999999999</v>
      </c>
      <c r="Z79" s="19">
        <v>25230.3</v>
      </c>
      <c r="AA79" s="19">
        <v>25465.4</v>
      </c>
      <c r="AB79" s="19">
        <v>25710.6</v>
      </c>
      <c r="AC79" s="19">
        <v>25966.5</v>
      </c>
      <c r="AD79" s="19">
        <v>26233.3</v>
      </c>
      <c r="AE79" s="19">
        <v>26511.8</v>
      </c>
      <c r="AF79" s="19">
        <v>26802.5</v>
      </c>
      <c r="AG79" s="19">
        <v>27105.9</v>
      </c>
      <c r="AH79" s="19">
        <v>27422.9</v>
      </c>
      <c r="AI79" s="19">
        <v>27754.1</v>
      </c>
      <c r="AJ79" s="19">
        <v>28100.3</v>
      </c>
      <c r="AK79" s="19">
        <v>28462.400000000001</v>
      </c>
      <c r="AL79" s="19">
        <v>28841.3</v>
      </c>
      <c r="AM79" s="19">
        <v>28238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</row>
    <row r="80" spans="2:111" x14ac:dyDescent="0.15">
      <c r="B80" s="19" t="str">
        <f t="shared" si="1"/>
        <v>3_男_27</v>
      </c>
      <c r="C80" s="18">
        <v>3</v>
      </c>
      <c r="D80" s="18" t="s">
        <v>9</v>
      </c>
      <c r="E80" s="18">
        <v>27</v>
      </c>
      <c r="F80" s="19">
        <v>5705.6</v>
      </c>
      <c r="G80" s="19">
        <v>12955.8</v>
      </c>
      <c r="H80" s="19">
        <v>21490.5</v>
      </c>
      <c r="I80" s="19">
        <v>22555.8</v>
      </c>
      <c r="J80" s="19">
        <v>22674.400000000001</v>
      </c>
      <c r="K80" s="19">
        <v>22798.400000000001</v>
      </c>
      <c r="L80" s="19">
        <v>22928</v>
      </c>
      <c r="M80" s="19">
        <v>23063.3</v>
      </c>
      <c r="N80" s="19">
        <v>23204.7</v>
      </c>
      <c r="O80" s="19">
        <v>23352.3</v>
      </c>
      <c r="P80" s="19">
        <v>23506.400000000001</v>
      </c>
      <c r="Q80" s="19">
        <v>23667.3</v>
      </c>
      <c r="R80" s="19">
        <v>23835.1</v>
      </c>
      <c r="S80" s="19">
        <v>24010.3</v>
      </c>
      <c r="T80" s="19">
        <v>24193</v>
      </c>
      <c r="U80" s="19">
        <v>24383.599999999999</v>
      </c>
      <c r="V80" s="19">
        <v>24582.400000000001</v>
      </c>
      <c r="W80" s="19">
        <v>24789.7</v>
      </c>
      <c r="X80" s="19">
        <v>25005.9</v>
      </c>
      <c r="Y80" s="19">
        <v>25231.4</v>
      </c>
      <c r="Z80" s="19">
        <v>25466.5</v>
      </c>
      <c r="AA80" s="19">
        <v>25711.7</v>
      </c>
      <c r="AB80" s="19">
        <v>25967.5</v>
      </c>
      <c r="AC80" s="19">
        <v>26234.3</v>
      </c>
      <c r="AD80" s="19">
        <v>26512.799999999999</v>
      </c>
      <c r="AE80" s="19">
        <v>26803.3</v>
      </c>
      <c r="AF80" s="19">
        <v>27106.7</v>
      </c>
      <c r="AG80" s="19">
        <v>27423.599999999999</v>
      </c>
      <c r="AH80" s="19">
        <v>27754.7</v>
      </c>
      <c r="AI80" s="19">
        <v>28100.799999999999</v>
      </c>
      <c r="AJ80" s="19">
        <v>28462.799999999999</v>
      </c>
      <c r="AK80" s="19">
        <v>28841.5</v>
      </c>
      <c r="AL80" s="19">
        <v>28238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>
        <v>0</v>
      </c>
      <c r="BW80" s="19">
        <v>0</v>
      </c>
      <c r="BX80" s="19">
        <v>0</v>
      </c>
      <c r="BY80" s="19">
        <v>0</v>
      </c>
      <c r="BZ80" s="19">
        <v>0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0</v>
      </c>
      <c r="CQ80" s="19">
        <v>0</v>
      </c>
      <c r="CR80" s="19">
        <v>0</v>
      </c>
      <c r="CS80" s="19">
        <v>0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0</v>
      </c>
      <c r="DE80" s="19">
        <v>0</v>
      </c>
      <c r="DF80" s="19">
        <v>0</v>
      </c>
      <c r="DG80" s="19">
        <v>0</v>
      </c>
    </row>
    <row r="81" spans="2:111" x14ac:dyDescent="0.15">
      <c r="B81" s="19" t="str">
        <f t="shared" si="1"/>
        <v>3_男_28</v>
      </c>
      <c r="C81" s="18">
        <v>3</v>
      </c>
      <c r="D81" s="18" t="s">
        <v>9</v>
      </c>
      <c r="E81" s="18">
        <v>28</v>
      </c>
      <c r="F81" s="19">
        <v>5736.1</v>
      </c>
      <c r="G81" s="19">
        <v>13025</v>
      </c>
      <c r="H81" s="19">
        <v>21604.9</v>
      </c>
      <c r="I81" s="19">
        <v>22675.4</v>
      </c>
      <c r="J81" s="19">
        <v>22799.4</v>
      </c>
      <c r="K81" s="19">
        <v>22929</v>
      </c>
      <c r="L81" s="19">
        <v>23064.400000000001</v>
      </c>
      <c r="M81" s="19">
        <v>23205.8</v>
      </c>
      <c r="N81" s="19">
        <v>23353.4</v>
      </c>
      <c r="O81" s="19">
        <v>23507.5</v>
      </c>
      <c r="P81" s="19">
        <v>23668.400000000001</v>
      </c>
      <c r="Q81" s="19">
        <v>23836.3</v>
      </c>
      <c r="R81" s="19">
        <v>24011.5</v>
      </c>
      <c r="S81" s="19">
        <v>24194.2</v>
      </c>
      <c r="T81" s="19">
        <v>24384.799999999999</v>
      </c>
      <c r="U81" s="19">
        <v>24583.599999999999</v>
      </c>
      <c r="V81" s="19">
        <v>24790.9</v>
      </c>
      <c r="W81" s="19">
        <v>25007.1</v>
      </c>
      <c r="X81" s="19">
        <v>25232.5</v>
      </c>
      <c r="Y81" s="19">
        <v>25467.599999999999</v>
      </c>
      <c r="Z81" s="19">
        <v>25712.799999999999</v>
      </c>
      <c r="AA81" s="19">
        <v>25968.6</v>
      </c>
      <c r="AB81" s="19">
        <v>26235.4</v>
      </c>
      <c r="AC81" s="19">
        <v>26513.7</v>
      </c>
      <c r="AD81" s="19">
        <v>26804.3</v>
      </c>
      <c r="AE81" s="19">
        <v>27107.599999999999</v>
      </c>
      <c r="AF81" s="19">
        <v>27424.400000000001</v>
      </c>
      <c r="AG81" s="19">
        <v>27755.3</v>
      </c>
      <c r="AH81" s="19">
        <v>28101.3</v>
      </c>
      <c r="AI81" s="19">
        <v>28463.1</v>
      </c>
      <c r="AJ81" s="19">
        <v>28841.7</v>
      </c>
      <c r="AK81" s="19">
        <v>28238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0</v>
      </c>
      <c r="CQ81" s="19">
        <v>0</v>
      </c>
      <c r="CR81" s="19">
        <v>0</v>
      </c>
      <c r="CS81" s="19">
        <v>0</v>
      </c>
      <c r="CT81" s="19">
        <v>0</v>
      </c>
      <c r="CU81" s="19">
        <v>0</v>
      </c>
      <c r="CV81" s="19">
        <v>0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0</v>
      </c>
      <c r="DD81" s="19">
        <v>0</v>
      </c>
      <c r="DE81" s="19">
        <v>0</v>
      </c>
      <c r="DF81" s="19">
        <v>0</v>
      </c>
      <c r="DG81" s="19">
        <v>0</v>
      </c>
    </row>
    <row r="82" spans="2:111" x14ac:dyDescent="0.15">
      <c r="B82" s="19" t="str">
        <f t="shared" si="1"/>
        <v>3_男_29</v>
      </c>
      <c r="C82" s="18">
        <v>3</v>
      </c>
      <c r="D82" s="18" t="s">
        <v>9</v>
      </c>
      <c r="E82" s="18">
        <v>29</v>
      </c>
      <c r="F82" s="19">
        <v>5768</v>
      </c>
      <c r="G82" s="19">
        <v>13097.3</v>
      </c>
      <c r="H82" s="19">
        <v>21724.6</v>
      </c>
      <c r="I82" s="19">
        <v>22800.400000000001</v>
      </c>
      <c r="J82" s="19">
        <v>22930</v>
      </c>
      <c r="K82" s="19">
        <v>23065.4</v>
      </c>
      <c r="L82" s="19">
        <v>23206.799999999999</v>
      </c>
      <c r="M82" s="19">
        <v>23354.5</v>
      </c>
      <c r="N82" s="19">
        <v>23508.7</v>
      </c>
      <c r="O82" s="19">
        <v>23669.599999999999</v>
      </c>
      <c r="P82" s="19">
        <v>23837.5</v>
      </c>
      <c r="Q82" s="19">
        <v>24012.6</v>
      </c>
      <c r="R82" s="19">
        <v>24195.4</v>
      </c>
      <c r="S82" s="19">
        <v>24386</v>
      </c>
      <c r="T82" s="19">
        <v>24584.799999999999</v>
      </c>
      <c r="U82" s="19">
        <v>24792.1</v>
      </c>
      <c r="V82" s="19">
        <v>25008.3</v>
      </c>
      <c r="W82" s="19">
        <v>25233.7</v>
      </c>
      <c r="X82" s="19">
        <v>25468.799999999999</v>
      </c>
      <c r="Y82" s="19">
        <v>25714</v>
      </c>
      <c r="Z82" s="19">
        <v>25969.7</v>
      </c>
      <c r="AA82" s="19">
        <v>26236.400000000001</v>
      </c>
      <c r="AB82" s="19">
        <v>26514.7</v>
      </c>
      <c r="AC82" s="19">
        <v>26805.200000000001</v>
      </c>
      <c r="AD82" s="19">
        <v>27108.400000000001</v>
      </c>
      <c r="AE82" s="19">
        <v>27425.1</v>
      </c>
      <c r="AF82" s="19">
        <v>27756</v>
      </c>
      <c r="AG82" s="19">
        <v>28101.8</v>
      </c>
      <c r="AH82" s="19">
        <v>28463.5</v>
      </c>
      <c r="AI82" s="19">
        <v>28841.9</v>
      </c>
      <c r="AJ82" s="19">
        <v>28238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</row>
    <row r="83" spans="2:111" x14ac:dyDescent="0.15">
      <c r="B83" s="19" t="str">
        <f t="shared" si="1"/>
        <v>3_男_30</v>
      </c>
      <c r="C83" s="18">
        <v>3</v>
      </c>
      <c r="D83" s="18" t="s">
        <v>9</v>
      </c>
      <c r="E83" s="18">
        <v>30</v>
      </c>
      <c r="F83" s="19">
        <v>5801.4</v>
      </c>
      <c r="G83" s="19">
        <v>13172.9</v>
      </c>
      <c r="H83" s="19">
        <v>21849.8</v>
      </c>
      <c r="I83" s="19">
        <v>22931.1</v>
      </c>
      <c r="J83" s="19">
        <v>23066.5</v>
      </c>
      <c r="K83" s="19">
        <v>23208</v>
      </c>
      <c r="L83" s="19">
        <v>23355.7</v>
      </c>
      <c r="M83" s="19">
        <v>23509.8</v>
      </c>
      <c r="N83" s="19">
        <v>23670.7</v>
      </c>
      <c r="O83" s="19">
        <v>23838.7</v>
      </c>
      <c r="P83" s="19">
        <v>24013.9</v>
      </c>
      <c r="Q83" s="19">
        <v>24196.6</v>
      </c>
      <c r="R83" s="19">
        <v>24387.3</v>
      </c>
      <c r="S83" s="19">
        <v>24586.1</v>
      </c>
      <c r="T83" s="19">
        <v>24793.4</v>
      </c>
      <c r="U83" s="19">
        <v>25009.5</v>
      </c>
      <c r="V83" s="19">
        <v>25235</v>
      </c>
      <c r="W83" s="19">
        <v>25470</v>
      </c>
      <c r="X83" s="19">
        <v>25715.200000000001</v>
      </c>
      <c r="Y83" s="19">
        <v>25970.799999999999</v>
      </c>
      <c r="Z83" s="19">
        <v>26237.5</v>
      </c>
      <c r="AA83" s="19">
        <v>26515.8</v>
      </c>
      <c r="AB83" s="19">
        <v>26806.2</v>
      </c>
      <c r="AC83" s="19">
        <v>27109.3</v>
      </c>
      <c r="AD83" s="19">
        <v>27425.9</v>
      </c>
      <c r="AE83" s="19">
        <v>27756.7</v>
      </c>
      <c r="AF83" s="19">
        <v>28102.400000000001</v>
      </c>
      <c r="AG83" s="19">
        <v>28463.9</v>
      </c>
      <c r="AH83" s="19">
        <v>28842.1</v>
      </c>
      <c r="AI83" s="19">
        <v>28238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</row>
    <row r="84" spans="2:111" x14ac:dyDescent="0.15">
      <c r="B84" s="19" t="str">
        <f t="shared" si="1"/>
        <v>3_男_31</v>
      </c>
      <c r="C84" s="18">
        <v>3</v>
      </c>
      <c r="D84" s="18" t="s">
        <v>9</v>
      </c>
      <c r="E84" s="18">
        <v>31</v>
      </c>
      <c r="F84" s="19">
        <v>5836.3</v>
      </c>
      <c r="G84" s="19">
        <v>13252</v>
      </c>
      <c r="H84" s="19">
        <v>21980.6</v>
      </c>
      <c r="I84" s="19">
        <v>23067.7</v>
      </c>
      <c r="J84" s="19">
        <v>23209.1</v>
      </c>
      <c r="K84" s="19">
        <v>23356.799999999999</v>
      </c>
      <c r="L84" s="19">
        <v>23511</v>
      </c>
      <c r="M84" s="19">
        <v>23672</v>
      </c>
      <c r="N84" s="19">
        <v>23839.9</v>
      </c>
      <c r="O84" s="19">
        <v>24015.1</v>
      </c>
      <c r="P84" s="19">
        <v>24197.9</v>
      </c>
      <c r="Q84" s="19">
        <v>24388.5</v>
      </c>
      <c r="R84" s="19">
        <v>24587.3</v>
      </c>
      <c r="S84" s="19">
        <v>24794.7</v>
      </c>
      <c r="T84" s="19">
        <v>25010.799999999999</v>
      </c>
      <c r="U84" s="19">
        <v>25236.2</v>
      </c>
      <c r="V84" s="19">
        <v>25471.3</v>
      </c>
      <c r="W84" s="19">
        <v>25716.400000000001</v>
      </c>
      <c r="X84" s="19">
        <v>25972</v>
      </c>
      <c r="Y84" s="19">
        <v>26238.7</v>
      </c>
      <c r="Z84" s="19">
        <v>26516.799999999999</v>
      </c>
      <c r="AA84" s="19">
        <v>26807.200000000001</v>
      </c>
      <c r="AB84" s="19">
        <v>27110.2</v>
      </c>
      <c r="AC84" s="19">
        <v>27426.7</v>
      </c>
      <c r="AD84" s="19">
        <v>27757.4</v>
      </c>
      <c r="AE84" s="19">
        <v>28102.9</v>
      </c>
      <c r="AF84" s="19">
        <v>28464.3</v>
      </c>
      <c r="AG84" s="19">
        <v>28842.3</v>
      </c>
      <c r="AH84" s="19">
        <v>28238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 s="19">
        <v>0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</row>
    <row r="85" spans="2:111" x14ac:dyDescent="0.15">
      <c r="B85" s="19" t="str">
        <f t="shared" si="1"/>
        <v>3_男_32</v>
      </c>
      <c r="C85" s="18">
        <v>3</v>
      </c>
      <c r="D85" s="18" t="s">
        <v>9</v>
      </c>
      <c r="E85" s="18">
        <v>32</v>
      </c>
      <c r="F85" s="19">
        <v>5872.7</v>
      </c>
      <c r="G85" s="19">
        <v>13334.6</v>
      </c>
      <c r="H85" s="19">
        <v>22117.3</v>
      </c>
      <c r="I85" s="19">
        <v>23210.3</v>
      </c>
      <c r="J85" s="19">
        <v>23358.1</v>
      </c>
      <c r="K85" s="19">
        <v>23512.3</v>
      </c>
      <c r="L85" s="19">
        <v>23673.200000000001</v>
      </c>
      <c r="M85" s="19">
        <v>23841.200000000001</v>
      </c>
      <c r="N85" s="19">
        <v>24016.400000000001</v>
      </c>
      <c r="O85" s="19">
        <v>24199.200000000001</v>
      </c>
      <c r="P85" s="19">
        <v>24389.8</v>
      </c>
      <c r="Q85" s="19">
        <v>24588.7</v>
      </c>
      <c r="R85" s="19">
        <v>24796</v>
      </c>
      <c r="S85" s="19">
        <v>25012.1</v>
      </c>
      <c r="T85" s="19">
        <v>25237.5</v>
      </c>
      <c r="U85" s="19">
        <v>25472.5</v>
      </c>
      <c r="V85" s="19">
        <v>25717.599999999999</v>
      </c>
      <c r="W85" s="19">
        <v>25973.200000000001</v>
      </c>
      <c r="X85" s="19">
        <v>26239.8</v>
      </c>
      <c r="Y85" s="19">
        <v>26517.9</v>
      </c>
      <c r="Z85" s="19">
        <v>26808.2</v>
      </c>
      <c r="AA85" s="19">
        <v>27111.200000000001</v>
      </c>
      <c r="AB85" s="19">
        <v>27427.5</v>
      </c>
      <c r="AC85" s="19">
        <v>27758.1</v>
      </c>
      <c r="AD85" s="19">
        <v>28103.5</v>
      </c>
      <c r="AE85" s="19">
        <v>28464.7</v>
      </c>
      <c r="AF85" s="19">
        <v>28842.5</v>
      </c>
      <c r="AG85" s="19">
        <v>28238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0</v>
      </c>
      <c r="CA85" s="19">
        <v>0</v>
      </c>
      <c r="CB85" s="19">
        <v>0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19">
        <v>0</v>
      </c>
      <c r="CL85" s="19">
        <v>0</v>
      </c>
      <c r="CM85" s="19">
        <v>0</v>
      </c>
      <c r="CN85" s="19">
        <v>0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0</v>
      </c>
      <c r="CU85" s="19">
        <v>0</v>
      </c>
      <c r="CV85" s="19">
        <v>0</v>
      </c>
      <c r="CW85" s="19">
        <v>0</v>
      </c>
      <c r="CX85" s="19">
        <v>0</v>
      </c>
      <c r="CY85" s="19">
        <v>0</v>
      </c>
      <c r="CZ85" s="19">
        <v>0</v>
      </c>
      <c r="DA85" s="19">
        <v>0</v>
      </c>
      <c r="DB85" s="19">
        <v>0</v>
      </c>
      <c r="DC85" s="19">
        <v>0</v>
      </c>
      <c r="DD85" s="19">
        <v>0</v>
      </c>
      <c r="DE85" s="19">
        <v>0</v>
      </c>
      <c r="DF85" s="19">
        <v>0</v>
      </c>
      <c r="DG85" s="19">
        <v>0</v>
      </c>
    </row>
    <row r="86" spans="2:111" x14ac:dyDescent="0.15">
      <c r="B86" s="19" t="str">
        <f t="shared" si="1"/>
        <v>3_男_33</v>
      </c>
      <c r="C86" s="18">
        <v>3</v>
      </c>
      <c r="D86" s="18" t="s">
        <v>9</v>
      </c>
      <c r="E86" s="18">
        <v>33</v>
      </c>
      <c r="F86" s="19">
        <v>5910.8</v>
      </c>
      <c r="G86" s="19">
        <v>13420.9</v>
      </c>
      <c r="H86" s="19">
        <v>22260</v>
      </c>
      <c r="I86" s="19">
        <v>23359.3</v>
      </c>
      <c r="J86" s="19">
        <v>23513.5</v>
      </c>
      <c r="K86" s="19">
        <v>23674.5</v>
      </c>
      <c r="L86" s="19">
        <v>23842.5</v>
      </c>
      <c r="M86" s="19">
        <v>24017.7</v>
      </c>
      <c r="N86" s="19">
        <v>24200.5</v>
      </c>
      <c r="O86" s="19">
        <v>24391.200000000001</v>
      </c>
      <c r="P86" s="19">
        <v>24590</v>
      </c>
      <c r="Q86" s="19">
        <v>24797.3</v>
      </c>
      <c r="R86" s="19">
        <v>25013.5</v>
      </c>
      <c r="S86" s="19">
        <v>25238.9</v>
      </c>
      <c r="T86" s="19">
        <v>25473.9</v>
      </c>
      <c r="U86" s="19">
        <v>25718.9</v>
      </c>
      <c r="V86" s="19">
        <v>25974.5</v>
      </c>
      <c r="W86" s="19">
        <v>26241</v>
      </c>
      <c r="X86" s="19">
        <v>26519.1</v>
      </c>
      <c r="Y86" s="19">
        <v>26809.200000000001</v>
      </c>
      <c r="Z86" s="19">
        <v>27112.1</v>
      </c>
      <c r="AA86" s="19">
        <v>27428.400000000001</v>
      </c>
      <c r="AB86" s="19">
        <v>27758.799999999999</v>
      </c>
      <c r="AC86" s="19">
        <v>28104.1</v>
      </c>
      <c r="AD86" s="19">
        <v>28465.1</v>
      </c>
      <c r="AE86" s="19">
        <v>28842.7</v>
      </c>
      <c r="AF86" s="19">
        <v>28238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</row>
    <row r="87" spans="2:111" x14ac:dyDescent="0.15">
      <c r="B87" s="19" t="str">
        <f t="shared" si="1"/>
        <v>3_男_34</v>
      </c>
      <c r="C87" s="18">
        <v>3</v>
      </c>
      <c r="D87" s="18" t="s">
        <v>9</v>
      </c>
      <c r="E87" s="18">
        <v>34</v>
      </c>
      <c r="F87" s="19">
        <v>5950.6</v>
      </c>
      <c r="G87" s="19">
        <v>13511</v>
      </c>
      <c r="H87" s="19">
        <v>22409.200000000001</v>
      </c>
      <c r="I87" s="19">
        <v>23514.9</v>
      </c>
      <c r="J87" s="19">
        <v>23675.9</v>
      </c>
      <c r="K87" s="19">
        <v>23843.9</v>
      </c>
      <c r="L87" s="19">
        <v>24019.1</v>
      </c>
      <c r="M87" s="19">
        <v>24201.9</v>
      </c>
      <c r="N87" s="19">
        <v>24392.6</v>
      </c>
      <c r="O87" s="19">
        <v>24591.4</v>
      </c>
      <c r="P87" s="19">
        <v>24798.7</v>
      </c>
      <c r="Q87" s="19">
        <v>25014.9</v>
      </c>
      <c r="R87" s="19">
        <v>25240.2</v>
      </c>
      <c r="S87" s="19">
        <v>25475.200000000001</v>
      </c>
      <c r="T87" s="19">
        <v>25720.2</v>
      </c>
      <c r="U87" s="19">
        <v>25975.7</v>
      </c>
      <c r="V87" s="19">
        <v>26242.2</v>
      </c>
      <c r="W87" s="19">
        <v>26520.2</v>
      </c>
      <c r="X87" s="19">
        <v>26810.3</v>
      </c>
      <c r="Y87" s="19">
        <v>27113.1</v>
      </c>
      <c r="Z87" s="19">
        <v>27429.3</v>
      </c>
      <c r="AA87" s="19">
        <v>27759.599999999999</v>
      </c>
      <c r="AB87" s="19">
        <v>28104.7</v>
      </c>
      <c r="AC87" s="19">
        <v>28465.5</v>
      </c>
      <c r="AD87" s="19">
        <v>28843</v>
      </c>
      <c r="AE87" s="19">
        <v>28238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0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0</v>
      </c>
      <c r="CO87" s="19">
        <v>0</v>
      </c>
      <c r="CP87" s="19">
        <v>0</v>
      </c>
      <c r="CQ87" s="19">
        <v>0</v>
      </c>
      <c r="CR87" s="19">
        <v>0</v>
      </c>
      <c r="CS87" s="19">
        <v>0</v>
      </c>
      <c r="CT87" s="19">
        <v>0</v>
      </c>
      <c r="CU87" s="19">
        <v>0</v>
      </c>
      <c r="CV87" s="19">
        <v>0</v>
      </c>
      <c r="CW87" s="19">
        <v>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</row>
    <row r="88" spans="2:111" x14ac:dyDescent="0.15">
      <c r="B88" s="19" t="str">
        <f t="shared" si="1"/>
        <v>3_男_35</v>
      </c>
      <c r="C88" s="18">
        <v>3</v>
      </c>
      <c r="D88" s="18" t="s">
        <v>9</v>
      </c>
      <c r="E88" s="18">
        <v>35</v>
      </c>
      <c r="F88" s="19">
        <v>5992.2</v>
      </c>
      <c r="G88" s="19">
        <v>13605.1</v>
      </c>
      <c r="H88" s="19">
        <v>22564.9</v>
      </c>
      <c r="I88" s="19">
        <v>23677.200000000001</v>
      </c>
      <c r="J88" s="19">
        <v>23845.200000000001</v>
      </c>
      <c r="K88" s="19">
        <v>24020.5</v>
      </c>
      <c r="L88" s="19">
        <v>24203.4</v>
      </c>
      <c r="M88" s="19">
        <v>24394</v>
      </c>
      <c r="N88" s="19">
        <v>24592.9</v>
      </c>
      <c r="O88" s="19">
        <v>24800.2</v>
      </c>
      <c r="P88" s="19">
        <v>25016.3</v>
      </c>
      <c r="Q88" s="19">
        <v>25241.7</v>
      </c>
      <c r="R88" s="19">
        <v>25476.6</v>
      </c>
      <c r="S88" s="19">
        <v>25721.599999999999</v>
      </c>
      <c r="T88" s="19">
        <v>25977.1</v>
      </c>
      <c r="U88" s="19">
        <v>26243.5</v>
      </c>
      <c r="V88" s="19">
        <v>26521.4</v>
      </c>
      <c r="W88" s="19">
        <v>26811.5</v>
      </c>
      <c r="X88" s="19">
        <v>27114.2</v>
      </c>
      <c r="Y88" s="19">
        <v>27430.2</v>
      </c>
      <c r="Z88" s="19">
        <v>27760.3</v>
      </c>
      <c r="AA88" s="19">
        <v>28105.3</v>
      </c>
      <c r="AB88" s="19">
        <v>28466</v>
      </c>
      <c r="AC88" s="19">
        <v>28843.200000000001</v>
      </c>
      <c r="AD88" s="19">
        <v>28238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</row>
    <row r="89" spans="2:111" x14ac:dyDescent="0.15">
      <c r="B89" s="19" t="str">
        <f t="shared" si="1"/>
        <v>3_男_36</v>
      </c>
      <c r="C89" s="18">
        <v>3</v>
      </c>
      <c r="D89" s="18" t="s">
        <v>9</v>
      </c>
      <c r="E89" s="18">
        <v>36</v>
      </c>
      <c r="F89" s="19">
        <v>6035.6</v>
      </c>
      <c r="G89" s="19">
        <v>13703.4</v>
      </c>
      <c r="H89" s="19">
        <v>22727.4</v>
      </c>
      <c r="I89" s="19">
        <v>23846.7</v>
      </c>
      <c r="J89" s="19">
        <v>24022</v>
      </c>
      <c r="K89" s="19">
        <v>24204.799999999999</v>
      </c>
      <c r="L89" s="19">
        <v>24395.5</v>
      </c>
      <c r="M89" s="19">
        <v>24594.3</v>
      </c>
      <c r="N89" s="19">
        <v>24801.599999999999</v>
      </c>
      <c r="O89" s="19">
        <v>25017.8</v>
      </c>
      <c r="P89" s="19">
        <v>25243.1</v>
      </c>
      <c r="Q89" s="19">
        <v>25478</v>
      </c>
      <c r="R89" s="19">
        <v>25723</v>
      </c>
      <c r="S89" s="19">
        <v>25978.400000000001</v>
      </c>
      <c r="T89" s="19">
        <v>26244.799999999999</v>
      </c>
      <c r="U89" s="19">
        <v>26522.7</v>
      </c>
      <c r="V89" s="19">
        <v>26812.6</v>
      </c>
      <c r="W89" s="19">
        <v>27115.200000000001</v>
      </c>
      <c r="X89" s="19">
        <v>27431.1</v>
      </c>
      <c r="Y89" s="19">
        <v>27761.1</v>
      </c>
      <c r="Z89" s="19">
        <v>28105.9</v>
      </c>
      <c r="AA89" s="19">
        <v>28466.400000000001</v>
      </c>
      <c r="AB89" s="19">
        <v>28843.4</v>
      </c>
      <c r="AC89" s="19">
        <v>28238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0</v>
      </c>
      <c r="CN89" s="19">
        <v>0</v>
      </c>
      <c r="CO89" s="19">
        <v>0</v>
      </c>
      <c r="CP89" s="19">
        <v>0</v>
      </c>
      <c r="CQ89" s="19">
        <v>0</v>
      </c>
      <c r="CR89" s="19">
        <v>0</v>
      </c>
      <c r="CS89" s="19">
        <v>0</v>
      </c>
      <c r="CT89" s="19">
        <v>0</v>
      </c>
      <c r="CU89" s="19">
        <v>0</v>
      </c>
      <c r="CV89" s="19">
        <v>0</v>
      </c>
      <c r="CW89" s="19">
        <v>0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0</v>
      </c>
      <c r="DE89" s="19">
        <v>0</v>
      </c>
      <c r="DF89" s="19">
        <v>0</v>
      </c>
      <c r="DG89" s="19">
        <v>0</v>
      </c>
    </row>
    <row r="90" spans="2:111" x14ac:dyDescent="0.15">
      <c r="B90" s="19" t="str">
        <f t="shared" si="1"/>
        <v>3_男_37</v>
      </c>
      <c r="C90" s="18">
        <v>3</v>
      </c>
      <c r="D90" s="18" t="s">
        <v>9</v>
      </c>
      <c r="E90" s="18">
        <v>37</v>
      </c>
      <c r="F90" s="19">
        <v>6080.9</v>
      </c>
      <c r="G90" s="19">
        <v>13806</v>
      </c>
      <c r="H90" s="19">
        <v>22897</v>
      </c>
      <c r="I90" s="19">
        <v>24023.5</v>
      </c>
      <c r="J90" s="19">
        <v>24206.3</v>
      </c>
      <c r="K90" s="19">
        <v>24397</v>
      </c>
      <c r="L90" s="19">
        <v>24595.9</v>
      </c>
      <c r="M90" s="19">
        <v>24803.200000000001</v>
      </c>
      <c r="N90" s="19">
        <v>25019.3</v>
      </c>
      <c r="O90" s="19">
        <v>25244.6</v>
      </c>
      <c r="P90" s="19">
        <v>25479.5</v>
      </c>
      <c r="Q90" s="19">
        <v>25724.400000000001</v>
      </c>
      <c r="R90" s="19">
        <v>25979.8</v>
      </c>
      <c r="S90" s="19">
        <v>26246.1</v>
      </c>
      <c r="T90" s="19">
        <v>26523.9</v>
      </c>
      <c r="U90" s="19">
        <v>26813.8</v>
      </c>
      <c r="V90" s="19">
        <v>27116.3</v>
      </c>
      <c r="W90" s="19">
        <v>27432.1</v>
      </c>
      <c r="X90" s="19">
        <v>27761.9</v>
      </c>
      <c r="Y90" s="19">
        <v>28106.6</v>
      </c>
      <c r="Z90" s="19">
        <v>28466.9</v>
      </c>
      <c r="AA90" s="19">
        <v>28843.7</v>
      </c>
      <c r="AB90" s="19">
        <v>28238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19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>
        <v>0</v>
      </c>
    </row>
    <row r="91" spans="2:111" x14ac:dyDescent="0.15">
      <c r="B91" s="19" t="str">
        <f t="shared" si="1"/>
        <v>3_男_38</v>
      </c>
      <c r="C91" s="18">
        <v>3</v>
      </c>
      <c r="D91" s="18" t="s">
        <v>9</v>
      </c>
      <c r="E91" s="18">
        <v>38</v>
      </c>
      <c r="F91" s="19">
        <v>6128.2</v>
      </c>
      <c r="G91" s="19">
        <v>13913</v>
      </c>
      <c r="H91" s="19">
        <v>23073.9</v>
      </c>
      <c r="I91" s="19">
        <v>24207.9</v>
      </c>
      <c r="J91" s="19">
        <v>24398.6</v>
      </c>
      <c r="K91" s="19">
        <v>24597.4</v>
      </c>
      <c r="L91" s="19">
        <v>24804.7</v>
      </c>
      <c r="M91" s="19">
        <v>25020.799999999999</v>
      </c>
      <c r="N91" s="19">
        <v>25246.2</v>
      </c>
      <c r="O91" s="19">
        <v>25481</v>
      </c>
      <c r="P91" s="19">
        <v>25725.9</v>
      </c>
      <c r="Q91" s="19">
        <v>25981.3</v>
      </c>
      <c r="R91" s="19">
        <v>26247.5</v>
      </c>
      <c r="S91" s="19">
        <v>26525.3</v>
      </c>
      <c r="T91" s="19">
        <v>26815</v>
      </c>
      <c r="U91" s="19">
        <v>27117.4</v>
      </c>
      <c r="V91" s="19">
        <v>27433.1</v>
      </c>
      <c r="W91" s="19">
        <v>27762.799999999999</v>
      </c>
      <c r="X91" s="19">
        <v>28107.3</v>
      </c>
      <c r="Y91" s="19">
        <v>28467.3</v>
      </c>
      <c r="Z91" s="19">
        <v>28843.9</v>
      </c>
      <c r="AA91" s="19">
        <v>28238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</row>
    <row r="92" spans="2:111" x14ac:dyDescent="0.15">
      <c r="B92" s="19" t="str">
        <f t="shared" si="1"/>
        <v>3_男_39</v>
      </c>
      <c r="C92" s="18">
        <v>3</v>
      </c>
      <c r="D92" s="18" t="s">
        <v>9</v>
      </c>
      <c r="E92" s="18">
        <v>39</v>
      </c>
      <c r="F92" s="19">
        <v>6177.6</v>
      </c>
      <c r="G92" s="19">
        <v>14024.6</v>
      </c>
      <c r="H92" s="19">
        <v>23258.5</v>
      </c>
      <c r="I92" s="19">
        <v>24400.2</v>
      </c>
      <c r="J92" s="19">
        <v>24599</v>
      </c>
      <c r="K92" s="19">
        <v>24806.3</v>
      </c>
      <c r="L92" s="19">
        <v>25022.400000000001</v>
      </c>
      <c r="M92" s="19">
        <v>25247.7</v>
      </c>
      <c r="N92" s="19">
        <v>25482.6</v>
      </c>
      <c r="O92" s="19">
        <v>25727.4</v>
      </c>
      <c r="P92" s="19">
        <v>25982.7</v>
      </c>
      <c r="Q92" s="19">
        <v>26248.9</v>
      </c>
      <c r="R92" s="19">
        <v>26526.6</v>
      </c>
      <c r="S92" s="19">
        <v>26816.3</v>
      </c>
      <c r="T92" s="19">
        <v>27118.5</v>
      </c>
      <c r="U92" s="19">
        <v>27434.1</v>
      </c>
      <c r="V92" s="19">
        <v>27763.599999999999</v>
      </c>
      <c r="W92" s="19">
        <v>28108</v>
      </c>
      <c r="X92" s="19">
        <v>28467.8</v>
      </c>
      <c r="Y92" s="19">
        <v>28844.2</v>
      </c>
      <c r="Z92" s="19">
        <v>28238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0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0</v>
      </c>
      <c r="DE92" s="19">
        <v>0</v>
      </c>
      <c r="DF92" s="19">
        <v>0</v>
      </c>
      <c r="DG92" s="19">
        <v>0</v>
      </c>
    </row>
    <row r="93" spans="2:111" x14ac:dyDescent="0.15">
      <c r="B93" s="19" t="str">
        <f t="shared" si="1"/>
        <v>3_男_40</v>
      </c>
      <c r="C93" s="18">
        <v>3</v>
      </c>
      <c r="D93" s="18" t="s">
        <v>9</v>
      </c>
      <c r="E93" s="18">
        <v>40</v>
      </c>
      <c r="F93" s="19">
        <v>6229</v>
      </c>
      <c r="G93" s="19">
        <v>14141</v>
      </c>
      <c r="H93" s="19">
        <v>23451</v>
      </c>
      <c r="I93" s="19">
        <v>24600.7</v>
      </c>
      <c r="J93" s="19">
        <v>24808</v>
      </c>
      <c r="K93" s="19">
        <v>25024.1</v>
      </c>
      <c r="L93" s="19">
        <v>25249.4</v>
      </c>
      <c r="M93" s="19">
        <v>25484.2</v>
      </c>
      <c r="N93" s="19">
        <v>25729</v>
      </c>
      <c r="O93" s="19">
        <v>25984.2</v>
      </c>
      <c r="P93" s="19">
        <v>26250.400000000001</v>
      </c>
      <c r="Q93" s="19">
        <v>26528</v>
      </c>
      <c r="R93" s="19">
        <v>26817.5</v>
      </c>
      <c r="S93" s="19">
        <v>27119.7</v>
      </c>
      <c r="T93" s="19">
        <v>27435.1</v>
      </c>
      <c r="U93" s="19">
        <v>27764.5</v>
      </c>
      <c r="V93" s="19">
        <v>28108.7</v>
      </c>
      <c r="W93" s="19">
        <v>28468.3</v>
      </c>
      <c r="X93" s="19">
        <v>28844.5</v>
      </c>
      <c r="Y93" s="19">
        <v>28238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0</v>
      </c>
      <c r="CW93" s="19">
        <v>0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0</v>
      </c>
      <c r="DE93" s="19">
        <v>0</v>
      </c>
      <c r="DF93" s="19">
        <v>0</v>
      </c>
      <c r="DG93" s="19">
        <v>0</v>
      </c>
    </row>
    <row r="94" spans="2:111" x14ac:dyDescent="0.15">
      <c r="B94" s="19" t="str">
        <f t="shared" si="1"/>
        <v>3_男_41</v>
      </c>
      <c r="C94" s="18">
        <v>3</v>
      </c>
      <c r="D94" s="18" t="s">
        <v>9</v>
      </c>
      <c r="E94" s="18">
        <v>41</v>
      </c>
      <c r="F94" s="19">
        <v>6282.7</v>
      </c>
      <c r="G94" s="19">
        <v>14262.4</v>
      </c>
      <c r="H94" s="19">
        <v>23651.7</v>
      </c>
      <c r="I94" s="19">
        <v>24809.7</v>
      </c>
      <c r="J94" s="19">
        <v>25025.8</v>
      </c>
      <c r="K94" s="19">
        <v>25251</v>
      </c>
      <c r="L94" s="19">
        <v>25485.8</v>
      </c>
      <c r="M94" s="19">
        <v>25730.6</v>
      </c>
      <c r="N94" s="19">
        <v>25985.8</v>
      </c>
      <c r="O94" s="19">
        <v>26251.9</v>
      </c>
      <c r="P94" s="19">
        <v>26529.4</v>
      </c>
      <c r="Q94" s="19">
        <v>26818.799999999999</v>
      </c>
      <c r="R94" s="19">
        <v>27120.9</v>
      </c>
      <c r="S94" s="19">
        <v>27436.2</v>
      </c>
      <c r="T94" s="19">
        <v>27765.4</v>
      </c>
      <c r="U94" s="19">
        <v>28109.4</v>
      </c>
      <c r="V94" s="19">
        <v>28468.9</v>
      </c>
      <c r="W94" s="19">
        <v>28844.7</v>
      </c>
      <c r="X94" s="19">
        <v>28238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>
        <v>0</v>
      </c>
      <c r="BW94" s="19">
        <v>0</v>
      </c>
      <c r="BX94" s="19">
        <v>0</v>
      </c>
      <c r="BY94" s="19">
        <v>0</v>
      </c>
      <c r="BZ94" s="19">
        <v>0</v>
      </c>
      <c r="CA94" s="19">
        <v>0</v>
      </c>
      <c r="CB94" s="19">
        <v>0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0</v>
      </c>
      <c r="DF94" s="19">
        <v>0</v>
      </c>
      <c r="DG94" s="19">
        <v>0</v>
      </c>
    </row>
    <row r="95" spans="2:111" x14ac:dyDescent="0.15">
      <c r="B95" s="19" t="str">
        <f t="shared" si="1"/>
        <v>3_男_42</v>
      </c>
      <c r="C95" s="18">
        <v>3</v>
      </c>
      <c r="D95" s="18" t="s">
        <v>9</v>
      </c>
      <c r="E95" s="18">
        <v>42</v>
      </c>
      <c r="F95" s="19">
        <v>6338.6</v>
      </c>
      <c r="G95" s="19">
        <v>14389</v>
      </c>
      <c r="H95" s="19">
        <v>23860.9</v>
      </c>
      <c r="I95" s="19">
        <v>25027.5</v>
      </c>
      <c r="J95" s="19">
        <v>25252.7</v>
      </c>
      <c r="K95" s="19">
        <v>25487.5</v>
      </c>
      <c r="L95" s="19">
        <v>25732.2</v>
      </c>
      <c r="M95" s="19">
        <v>25987.4</v>
      </c>
      <c r="N95" s="19">
        <v>26253.4</v>
      </c>
      <c r="O95" s="19">
        <v>26530.799999999999</v>
      </c>
      <c r="P95" s="19">
        <v>26820.2</v>
      </c>
      <c r="Q95" s="19">
        <v>27122.1</v>
      </c>
      <c r="R95" s="19">
        <v>27437.3</v>
      </c>
      <c r="S95" s="19">
        <v>27766.400000000001</v>
      </c>
      <c r="T95" s="19">
        <v>28110.1</v>
      </c>
      <c r="U95" s="19">
        <v>28469.4</v>
      </c>
      <c r="V95" s="19">
        <v>28845</v>
      </c>
      <c r="W95" s="19">
        <v>28238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>
        <v>0</v>
      </c>
      <c r="BW95" s="19">
        <v>0</v>
      </c>
      <c r="BX95" s="19">
        <v>0</v>
      </c>
      <c r="BY95" s="19">
        <v>0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0</v>
      </c>
      <c r="CN95" s="19">
        <v>0</v>
      </c>
      <c r="CO95" s="19">
        <v>0</v>
      </c>
      <c r="CP95" s="19">
        <v>0</v>
      </c>
      <c r="CQ95" s="19">
        <v>0</v>
      </c>
      <c r="CR95" s="19">
        <v>0</v>
      </c>
      <c r="CS95" s="19">
        <v>0</v>
      </c>
      <c r="CT95" s="19">
        <v>0</v>
      </c>
      <c r="CU95" s="19">
        <v>0</v>
      </c>
      <c r="CV95" s="19">
        <v>0</v>
      </c>
      <c r="CW95" s="19">
        <v>0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</row>
    <row r="96" spans="2:111" x14ac:dyDescent="0.15">
      <c r="B96" s="19" t="str">
        <f t="shared" si="1"/>
        <v>3_男_43</v>
      </c>
      <c r="C96" s="18">
        <v>3</v>
      </c>
      <c r="D96" s="18" t="s">
        <v>9</v>
      </c>
      <c r="E96" s="18">
        <v>43</v>
      </c>
      <c r="F96" s="19">
        <v>6396.9</v>
      </c>
      <c r="G96" s="19">
        <v>14520.9</v>
      </c>
      <c r="H96" s="19">
        <v>24078.9</v>
      </c>
      <c r="I96" s="19">
        <v>25254.5</v>
      </c>
      <c r="J96" s="19">
        <v>25489.200000000001</v>
      </c>
      <c r="K96" s="19">
        <v>25733.9</v>
      </c>
      <c r="L96" s="19">
        <v>25989</v>
      </c>
      <c r="M96" s="19">
        <v>26255</v>
      </c>
      <c r="N96" s="19">
        <v>26532.3</v>
      </c>
      <c r="O96" s="19">
        <v>26821.599999999999</v>
      </c>
      <c r="P96" s="19">
        <v>27123.4</v>
      </c>
      <c r="Q96" s="19">
        <v>27438.400000000001</v>
      </c>
      <c r="R96" s="19">
        <v>27767.3</v>
      </c>
      <c r="S96" s="19">
        <v>28110.9</v>
      </c>
      <c r="T96" s="19">
        <v>28469.9</v>
      </c>
      <c r="U96" s="19">
        <v>28845.3</v>
      </c>
      <c r="V96" s="19">
        <v>28238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>
        <v>0</v>
      </c>
      <c r="BW96" s="19">
        <v>0</v>
      </c>
      <c r="BX96" s="19">
        <v>0</v>
      </c>
      <c r="BY96" s="19">
        <v>0</v>
      </c>
      <c r="BZ96" s="19">
        <v>0</v>
      </c>
      <c r="CA96" s="19">
        <v>0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0</v>
      </c>
      <c r="DF96" s="19">
        <v>0</v>
      </c>
      <c r="DG96" s="19">
        <v>0</v>
      </c>
    </row>
    <row r="97" spans="2:111" x14ac:dyDescent="0.15">
      <c r="B97" s="19" t="str">
        <f t="shared" si="1"/>
        <v>3_男_44</v>
      </c>
      <c r="C97" s="18">
        <v>3</v>
      </c>
      <c r="D97" s="18" t="s">
        <v>9</v>
      </c>
      <c r="E97" s="18">
        <v>44</v>
      </c>
      <c r="F97" s="19">
        <v>6457.7</v>
      </c>
      <c r="G97" s="19">
        <v>14658.3</v>
      </c>
      <c r="H97" s="19">
        <v>24306</v>
      </c>
      <c r="I97" s="19">
        <v>25491</v>
      </c>
      <c r="J97" s="19">
        <v>25735.599999999999</v>
      </c>
      <c r="K97" s="19">
        <v>25990.7</v>
      </c>
      <c r="L97" s="19">
        <v>26256.6</v>
      </c>
      <c r="M97" s="19">
        <v>26533.8</v>
      </c>
      <c r="N97" s="19">
        <v>26823</v>
      </c>
      <c r="O97" s="19">
        <v>27124.7</v>
      </c>
      <c r="P97" s="19">
        <v>27439.599999999999</v>
      </c>
      <c r="Q97" s="19">
        <v>27768.3</v>
      </c>
      <c r="R97" s="19">
        <v>28111.7</v>
      </c>
      <c r="S97" s="19">
        <v>28470.5</v>
      </c>
      <c r="T97" s="19">
        <v>28845.599999999999</v>
      </c>
      <c r="U97" s="19">
        <v>28238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>
        <v>0</v>
      </c>
      <c r="BW97" s="19">
        <v>0</v>
      </c>
      <c r="BX97" s="19">
        <v>0</v>
      </c>
      <c r="BY97" s="19">
        <v>0</v>
      </c>
      <c r="BZ97" s="19">
        <v>0</v>
      </c>
      <c r="CA97" s="19">
        <v>0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0</v>
      </c>
      <c r="CN97" s="19">
        <v>0</v>
      </c>
      <c r="CO97" s="19">
        <v>0</v>
      </c>
      <c r="CP97" s="19">
        <v>0</v>
      </c>
      <c r="CQ97" s="19">
        <v>0</v>
      </c>
      <c r="CR97" s="19">
        <v>0</v>
      </c>
      <c r="CS97" s="19">
        <v>0</v>
      </c>
      <c r="CT97" s="19">
        <v>0</v>
      </c>
      <c r="CU97" s="19">
        <v>0</v>
      </c>
      <c r="CV97" s="19">
        <v>0</v>
      </c>
      <c r="CW97" s="19">
        <v>0</v>
      </c>
      <c r="CX97" s="19">
        <v>0</v>
      </c>
      <c r="CY97" s="19">
        <v>0</v>
      </c>
      <c r="CZ97" s="19">
        <v>0</v>
      </c>
      <c r="DA97" s="19">
        <v>0</v>
      </c>
      <c r="DB97" s="19">
        <v>0</v>
      </c>
      <c r="DC97" s="19">
        <v>0</v>
      </c>
      <c r="DD97" s="19">
        <v>0</v>
      </c>
      <c r="DE97" s="19">
        <v>0</v>
      </c>
      <c r="DF97" s="19">
        <v>0</v>
      </c>
      <c r="DG97" s="19">
        <v>0</v>
      </c>
    </row>
    <row r="98" spans="2:111" x14ac:dyDescent="0.15">
      <c r="B98" s="19" t="str">
        <f t="shared" si="1"/>
        <v>3_男_45</v>
      </c>
      <c r="C98" s="18">
        <v>3</v>
      </c>
      <c r="D98" s="18" t="s">
        <v>9</v>
      </c>
      <c r="E98" s="18">
        <v>45</v>
      </c>
      <c r="F98" s="19">
        <v>6521</v>
      </c>
      <c r="G98" s="19">
        <v>14801.5</v>
      </c>
      <c r="H98" s="19">
        <v>24542.799999999999</v>
      </c>
      <c r="I98" s="19">
        <v>25737.4</v>
      </c>
      <c r="J98" s="19">
        <v>25992.400000000001</v>
      </c>
      <c r="K98" s="19">
        <v>26258.2</v>
      </c>
      <c r="L98" s="19">
        <v>26535.4</v>
      </c>
      <c r="M98" s="19">
        <v>26824.400000000001</v>
      </c>
      <c r="N98" s="19">
        <v>27126</v>
      </c>
      <c r="O98" s="19">
        <v>27440.7</v>
      </c>
      <c r="P98" s="19">
        <v>27769.3</v>
      </c>
      <c r="Q98" s="19">
        <v>28112.5</v>
      </c>
      <c r="R98" s="19">
        <v>28471.1</v>
      </c>
      <c r="S98" s="19">
        <v>28845.9</v>
      </c>
      <c r="T98" s="19">
        <v>28238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>
        <v>0</v>
      </c>
      <c r="BW98" s="19">
        <v>0</v>
      </c>
      <c r="BX98" s="19">
        <v>0</v>
      </c>
      <c r="BY98" s="19">
        <v>0</v>
      </c>
      <c r="BZ98" s="19">
        <v>0</v>
      </c>
      <c r="CA98" s="19">
        <v>0</v>
      </c>
      <c r="CB98" s="19">
        <v>0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0</v>
      </c>
      <c r="CU98" s="19">
        <v>0</v>
      </c>
      <c r="CV98" s="19">
        <v>0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</row>
    <row r="99" spans="2:111" x14ac:dyDescent="0.15">
      <c r="B99" s="19" t="str">
        <f t="shared" si="1"/>
        <v>3_男_46</v>
      </c>
      <c r="C99" s="18">
        <v>3</v>
      </c>
      <c r="D99" s="18" t="s">
        <v>9</v>
      </c>
      <c r="E99" s="18">
        <v>46</v>
      </c>
      <c r="F99" s="19">
        <v>6586.9</v>
      </c>
      <c r="G99" s="19">
        <v>14950.7</v>
      </c>
      <c r="H99" s="19">
        <v>24789.4</v>
      </c>
      <c r="I99" s="19">
        <v>25994.1</v>
      </c>
      <c r="J99" s="19">
        <v>26259.9</v>
      </c>
      <c r="K99" s="19">
        <v>26536.9</v>
      </c>
      <c r="L99" s="19">
        <v>26825.9</v>
      </c>
      <c r="M99" s="19">
        <v>27127.4</v>
      </c>
      <c r="N99" s="19">
        <v>27441.9</v>
      </c>
      <c r="O99" s="19">
        <v>27770.3</v>
      </c>
      <c r="P99" s="19">
        <v>28113.3</v>
      </c>
      <c r="Q99" s="19">
        <v>28471.599999999999</v>
      </c>
      <c r="R99" s="19">
        <v>28846.2</v>
      </c>
      <c r="S99" s="19">
        <v>28238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</row>
    <row r="100" spans="2:111" x14ac:dyDescent="0.15">
      <c r="B100" s="19" t="str">
        <f t="shared" si="1"/>
        <v>3_男_47</v>
      </c>
      <c r="C100" s="18">
        <v>3</v>
      </c>
      <c r="D100" s="18" t="s">
        <v>9</v>
      </c>
      <c r="E100" s="18">
        <v>47</v>
      </c>
      <c r="F100" s="19">
        <v>6655.6</v>
      </c>
      <c r="G100" s="19">
        <v>15106.1</v>
      </c>
      <c r="H100" s="19">
        <v>25046.3</v>
      </c>
      <c r="I100" s="19">
        <v>26261.599999999999</v>
      </c>
      <c r="J100" s="19">
        <v>26538.6</v>
      </c>
      <c r="K100" s="19">
        <v>26827.4</v>
      </c>
      <c r="L100" s="19">
        <v>27128.7</v>
      </c>
      <c r="M100" s="19">
        <v>27443.1</v>
      </c>
      <c r="N100" s="19">
        <v>27771.4</v>
      </c>
      <c r="O100" s="19">
        <v>28114.1</v>
      </c>
      <c r="P100" s="19">
        <v>28472.2</v>
      </c>
      <c r="Q100" s="19">
        <v>28846.5</v>
      </c>
      <c r="R100" s="19">
        <v>28238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>
        <v>0</v>
      </c>
      <c r="BM100" s="19">
        <v>0</v>
      </c>
      <c r="BN100" s="19">
        <v>0</v>
      </c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>
        <v>0</v>
      </c>
      <c r="BW100" s="19">
        <v>0</v>
      </c>
      <c r="BX100" s="19">
        <v>0</v>
      </c>
      <c r="BY100" s="19">
        <v>0</v>
      </c>
      <c r="BZ100" s="19">
        <v>0</v>
      </c>
      <c r="CA100" s="19">
        <v>0</v>
      </c>
      <c r="CB100" s="19">
        <v>0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0</v>
      </c>
      <c r="DF100" s="19">
        <v>0</v>
      </c>
      <c r="DG100" s="19">
        <v>0</v>
      </c>
    </row>
    <row r="101" spans="2:111" x14ac:dyDescent="0.15">
      <c r="B101" s="19" t="str">
        <f t="shared" si="1"/>
        <v>3_男_48</v>
      </c>
      <c r="C101" s="18">
        <v>3</v>
      </c>
      <c r="D101" s="18" t="s">
        <v>9</v>
      </c>
      <c r="E101" s="18">
        <v>48</v>
      </c>
      <c r="F101" s="19">
        <v>6727.2</v>
      </c>
      <c r="G101" s="19">
        <v>15268</v>
      </c>
      <c r="H101" s="19">
        <v>25313.9</v>
      </c>
      <c r="I101" s="19">
        <v>26540.2</v>
      </c>
      <c r="J101" s="19">
        <v>26829</v>
      </c>
      <c r="K101" s="19">
        <v>27130.1</v>
      </c>
      <c r="L101" s="19">
        <v>27444.400000000001</v>
      </c>
      <c r="M101" s="19">
        <v>27772.400000000001</v>
      </c>
      <c r="N101" s="19">
        <v>28115</v>
      </c>
      <c r="O101" s="19">
        <v>28472.799999999999</v>
      </c>
      <c r="P101" s="19">
        <v>28846.9</v>
      </c>
      <c r="Q101" s="19">
        <v>28238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0</v>
      </c>
      <c r="CU101" s="19">
        <v>0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</row>
    <row r="102" spans="2:111" x14ac:dyDescent="0.15">
      <c r="B102" s="19" t="str">
        <f t="shared" si="1"/>
        <v>3_男_49</v>
      </c>
      <c r="C102" s="18">
        <v>3</v>
      </c>
      <c r="D102" s="18" t="s">
        <v>9</v>
      </c>
      <c r="E102" s="18">
        <v>49</v>
      </c>
      <c r="F102" s="19">
        <v>6801.8</v>
      </c>
      <c r="G102" s="19">
        <v>15436.6</v>
      </c>
      <c r="H102" s="19">
        <v>25592.799999999999</v>
      </c>
      <c r="I102" s="19">
        <v>26830.5</v>
      </c>
      <c r="J102" s="19">
        <v>27131.599999999999</v>
      </c>
      <c r="K102" s="19">
        <v>27445.7</v>
      </c>
      <c r="L102" s="19">
        <v>27773.5</v>
      </c>
      <c r="M102" s="19">
        <v>28115.9</v>
      </c>
      <c r="N102" s="19">
        <v>28473.5</v>
      </c>
      <c r="O102" s="19">
        <v>28847.200000000001</v>
      </c>
      <c r="P102" s="19">
        <v>28238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>
        <v>0</v>
      </c>
      <c r="BW102" s="19">
        <v>0</v>
      </c>
      <c r="BX102" s="19">
        <v>0</v>
      </c>
      <c r="BY102" s="19">
        <v>0</v>
      </c>
      <c r="BZ102" s="19">
        <v>0</v>
      </c>
      <c r="CA102" s="19">
        <v>0</v>
      </c>
      <c r="CB102" s="19">
        <v>0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</row>
    <row r="103" spans="2:111" x14ac:dyDescent="0.15">
      <c r="B103" s="19" t="str">
        <f t="shared" si="1"/>
        <v>3_男_50</v>
      </c>
      <c r="C103" s="18">
        <v>3</v>
      </c>
      <c r="D103" s="18" t="s">
        <v>9</v>
      </c>
      <c r="E103" s="18">
        <v>50</v>
      </c>
      <c r="F103" s="19">
        <v>6879.4</v>
      </c>
      <c r="G103" s="19">
        <v>15612.3</v>
      </c>
      <c r="H103" s="19">
        <v>25883.3</v>
      </c>
      <c r="I103" s="19">
        <v>27133</v>
      </c>
      <c r="J103" s="19">
        <v>27447</v>
      </c>
      <c r="K103" s="19">
        <v>27774.6</v>
      </c>
      <c r="L103" s="19">
        <v>28116.7</v>
      </c>
      <c r="M103" s="19">
        <v>28474.1</v>
      </c>
      <c r="N103" s="19">
        <v>28847.5</v>
      </c>
      <c r="O103" s="19">
        <v>28238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  <c r="BR103" s="19">
        <v>0</v>
      </c>
      <c r="BS103" s="19">
        <v>0</v>
      </c>
      <c r="BT103" s="19">
        <v>0</v>
      </c>
      <c r="BU103" s="19">
        <v>0</v>
      </c>
      <c r="BV103" s="19">
        <v>0</v>
      </c>
      <c r="BW103" s="19">
        <v>0</v>
      </c>
      <c r="BX103" s="19">
        <v>0</v>
      </c>
      <c r="BY103" s="19">
        <v>0</v>
      </c>
      <c r="BZ103" s="19">
        <v>0</v>
      </c>
      <c r="CA103" s="19">
        <v>0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0</v>
      </c>
      <c r="CP103" s="19">
        <v>0</v>
      </c>
      <c r="CQ103" s="19">
        <v>0</v>
      </c>
      <c r="CR103" s="19">
        <v>0</v>
      </c>
      <c r="CS103" s="19">
        <v>0</v>
      </c>
      <c r="CT103" s="19">
        <v>0</v>
      </c>
      <c r="CU103" s="19">
        <v>0</v>
      </c>
      <c r="CV103" s="19">
        <v>0</v>
      </c>
      <c r="CW103" s="19">
        <v>0</v>
      </c>
      <c r="CX103" s="19">
        <v>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</row>
    <row r="104" spans="2:111" x14ac:dyDescent="0.15">
      <c r="B104" s="19" t="str">
        <f t="shared" si="1"/>
        <v>5_男_0</v>
      </c>
      <c r="C104" s="18">
        <v>5</v>
      </c>
      <c r="D104" s="18" t="s">
        <v>9</v>
      </c>
      <c r="E104" s="18">
        <v>0</v>
      </c>
      <c r="F104" s="19">
        <v>3078.4</v>
      </c>
      <c r="G104" s="19">
        <v>6896.5</v>
      </c>
      <c r="H104" s="19">
        <v>11295.2</v>
      </c>
      <c r="I104" s="19">
        <v>16322.6</v>
      </c>
      <c r="J104" s="19">
        <v>20790.2</v>
      </c>
      <c r="K104" s="19">
        <v>20826.400000000001</v>
      </c>
      <c r="L104" s="19">
        <v>20864.599999999999</v>
      </c>
      <c r="M104" s="19">
        <v>20905</v>
      </c>
      <c r="N104" s="19">
        <v>20947.400000000001</v>
      </c>
      <c r="O104" s="19">
        <v>20991.8</v>
      </c>
      <c r="P104" s="19">
        <v>21038.3</v>
      </c>
      <c r="Q104" s="19">
        <v>21086.799999999999</v>
      </c>
      <c r="R104" s="19">
        <v>21137.5</v>
      </c>
      <c r="S104" s="19">
        <v>21190.5</v>
      </c>
      <c r="T104" s="19">
        <v>21245.7</v>
      </c>
      <c r="U104" s="19">
        <v>21303.4</v>
      </c>
      <c r="V104" s="19">
        <v>21363.7</v>
      </c>
      <c r="W104" s="19">
        <v>21426.799999999999</v>
      </c>
      <c r="X104" s="19">
        <v>21492.799999999999</v>
      </c>
      <c r="Y104" s="19">
        <v>21561.8</v>
      </c>
      <c r="Z104" s="19">
        <v>21634.1</v>
      </c>
      <c r="AA104" s="19">
        <v>21709.8</v>
      </c>
      <c r="AB104" s="19">
        <v>21789.1</v>
      </c>
      <c r="AC104" s="19">
        <v>21872.1</v>
      </c>
      <c r="AD104" s="19">
        <v>21959</v>
      </c>
      <c r="AE104" s="19">
        <v>22049.9</v>
      </c>
      <c r="AF104" s="19">
        <v>22145.1</v>
      </c>
      <c r="AG104" s="19">
        <v>22244.7</v>
      </c>
      <c r="AH104" s="19">
        <v>22348.9</v>
      </c>
      <c r="AI104" s="19">
        <v>22457.8</v>
      </c>
      <c r="AJ104" s="19">
        <v>22571.7</v>
      </c>
      <c r="AK104" s="19">
        <v>22690.799999999999</v>
      </c>
      <c r="AL104" s="19">
        <v>22815.200000000001</v>
      </c>
      <c r="AM104" s="19">
        <v>22945.200000000001</v>
      </c>
      <c r="AN104" s="19">
        <v>23081</v>
      </c>
      <c r="AO104" s="19">
        <v>23222.7</v>
      </c>
      <c r="AP104" s="19">
        <v>23370.7</v>
      </c>
      <c r="AQ104" s="19">
        <v>23525.200000000001</v>
      </c>
      <c r="AR104" s="19">
        <v>23686.400000000001</v>
      </c>
      <c r="AS104" s="19">
        <v>23854.5</v>
      </c>
      <c r="AT104" s="19">
        <v>24029.9</v>
      </c>
      <c r="AU104" s="19">
        <v>24212.799999999999</v>
      </c>
      <c r="AV104" s="19">
        <v>24403.599999999999</v>
      </c>
      <c r="AW104" s="19">
        <v>24602.400000000001</v>
      </c>
      <c r="AX104" s="19">
        <v>24809.7</v>
      </c>
      <c r="AY104" s="19">
        <v>25025.8</v>
      </c>
      <c r="AZ104" s="19">
        <v>25251.1</v>
      </c>
      <c r="BA104" s="19">
        <v>25485.9</v>
      </c>
      <c r="BB104" s="19">
        <v>25730.7</v>
      </c>
      <c r="BC104" s="19">
        <v>25985.8</v>
      </c>
      <c r="BD104" s="19">
        <v>26251.9</v>
      </c>
      <c r="BE104" s="19">
        <v>26529.4</v>
      </c>
      <c r="BF104" s="19">
        <v>26818.9</v>
      </c>
      <c r="BG104" s="19">
        <v>27120.9</v>
      </c>
      <c r="BH104" s="19">
        <v>27436.2</v>
      </c>
      <c r="BI104" s="19">
        <v>27765.5</v>
      </c>
      <c r="BJ104" s="19">
        <v>28109.4</v>
      </c>
      <c r="BK104" s="19">
        <v>28468.9</v>
      </c>
      <c r="BL104" s="19">
        <v>28844.7</v>
      </c>
      <c r="BM104" s="19">
        <v>28238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  <c r="BT104" s="19">
        <v>0</v>
      </c>
      <c r="BU104" s="19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0</v>
      </c>
      <c r="CA104" s="19">
        <v>0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0</v>
      </c>
      <c r="DF104" s="19">
        <v>0</v>
      </c>
      <c r="DG104" s="19">
        <v>0</v>
      </c>
    </row>
    <row r="105" spans="2:111" x14ac:dyDescent="0.15">
      <c r="B105" s="19" t="str">
        <f t="shared" si="1"/>
        <v>5_男_1</v>
      </c>
      <c r="C105" s="18">
        <v>5</v>
      </c>
      <c r="D105" s="18" t="s">
        <v>9</v>
      </c>
      <c r="E105" s="18">
        <v>1</v>
      </c>
      <c r="F105" s="19">
        <v>3083.5</v>
      </c>
      <c r="G105" s="19">
        <v>6908.3</v>
      </c>
      <c r="H105" s="19">
        <v>11314.4</v>
      </c>
      <c r="I105" s="19">
        <v>16350.1</v>
      </c>
      <c r="J105" s="19">
        <v>20826.5</v>
      </c>
      <c r="K105" s="19">
        <v>20864.8</v>
      </c>
      <c r="L105" s="19">
        <v>20905.2</v>
      </c>
      <c r="M105" s="19">
        <v>20947.599999999999</v>
      </c>
      <c r="N105" s="19">
        <v>20992</v>
      </c>
      <c r="O105" s="19">
        <v>21038.5</v>
      </c>
      <c r="P105" s="19">
        <v>21087</v>
      </c>
      <c r="Q105" s="19">
        <v>21137.8</v>
      </c>
      <c r="R105" s="19">
        <v>21190.7</v>
      </c>
      <c r="S105" s="19">
        <v>21245.9</v>
      </c>
      <c r="T105" s="19">
        <v>21303.599999999999</v>
      </c>
      <c r="U105" s="19">
        <v>21364</v>
      </c>
      <c r="V105" s="19">
        <v>21427</v>
      </c>
      <c r="W105" s="19">
        <v>21493</v>
      </c>
      <c r="X105" s="19">
        <v>21562.1</v>
      </c>
      <c r="Y105" s="19">
        <v>21634.400000000001</v>
      </c>
      <c r="Z105" s="19">
        <v>21710.1</v>
      </c>
      <c r="AA105" s="19">
        <v>21789.4</v>
      </c>
      <c r="AB105" s="19">
        <v>21872.400000000001</v>
      </c>
      <c r="AC105" s="19">
        <v>21959.3</v>
      </c>
      <c r="AD105" s="19">
        <v>22050.2</v>
      </c>
      <c r="AE105" s="19">
        <v>22145.4</v>
      </c>
      <c r="AF105" s="19">
        <v>22245</v>
      </c>
      <c r="AG105" s="19">
        <v>22349.200000000001</v>
      </c>
      <c r="AH105" s="19">
        <v>22458.2</v>
      </c>
      <c r="AI105" s="19">
        <v>22572.1</v>
      </c>
      <c r="AJ105" s="19">
        <v>22691.200000000001</v>
      </c>
      <c r="AK105" s="19">
        <v>22815.599999999999</v>
      </c>
      <c r="AL105" s="19">
        <v>22945.599999999999</v>
      </c>
      <c r="AM105" s="19">
        <v>23081.4</v>
      </c>
      <c r="AN105" s="19">
        <v>23223.1</v>
      </c>
      <c r="AO105" s="19">
        <v>23371.1</v>
      </c>
      <c r="AP105" s="19">
        <v>23525.599999999999</v>
      </c>
      <c r="AQ105" s="19">
        <v>23686.799999999999</v>
      </c>
      <c r="AR105" s="19">
        <v>23855</v>
      </c>
      <c r="AS105" s="19">
        <v>24030.400000000001</v>
      </c>
      <c r="AT105" s="19">
        <v>24213.3</v>
      </c>
      <c r="AU105" s="19">
        <v>24404</v>
      </c>
      <c r="AV105" s="19">
        <v>24602.9</v>
      </c>
      <c r="AW105" s="19">
        <v>24810.2</v>
      </c>
      <c r="AX105" s="19">
        <v>25026.3</v>
      </c>
      <c r="AY105" s="19">
        <v>25251.5</v>
      </c>
      <c r="AZ105" s="19">
        <v>25486.3</v>
      </c>
      <c r="BA105" s="19">
        <v>25731.1</v>
      </c>
      <c r="BB105" s="19">
        <v>25986.3</v>
      </c>
      <c r="BC105" s="19">
        <v>26252.3</v>
      </c>
      <c r="BD105" s="19">
        <v>26529.8</v>
      </c>
      <c r="BE105" s="19">
        <v>26819.3</v>
      </c>
      <c r="BF105" s="19">
        <v>27121.3</v>
      </c>
      <c r="BG105" s="19">
        <v>27436.5</v>
      </c>
      <c r="BH105" s="19">
        <v>27765.7</v>
      </c>
      <c r="BI105" s="19">
        <v>28109.599999999999</v>
      </c>
      <c r="BJ105" s="19">
        <v>28469</v>
      </c>
      <c r="BK105" s="19">
        <v>28844.799999999999</v>
      </c>
      <c r="BL105" s="19">
        <v>28238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>
        <v>0</v>
      </c>
      <c r="BW105" s="19">
        <v>0</v>
      </c>
      <c r="BX105" s="19">
        <v>0</v>
      </c>
      <c r="BY105" s="19">
        <v>0</v>
      </c>
      <c r="BZ105" s="19">
        <v>0</v>
      </c>
      <c r="CA105" s="19">
        <v>0</v>
      </c>
      <c r="CB105" s="19">
        <v>0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</row>
    <row r="106" spans="2:111" x14ac:dyDescent="0.15">
      <c r="B106" s="19" t="str">
        <f t="shared" si="1"/>
        <v>5_男_2</v>
      </c>
      <c r="C106" s="18">
        <v>5</v>
      </c>
      <c r="D106" s="18" t="s">
        <v>9</v>
      </c>
      <c r="E106" s="18">
        <v>2</v>
      </c>
      <c r="F106" s="19">
        <v>3089</v>
      </c>
      <c r="G106" s="19">
        <v>6920.6</v>
      </c>
      <c r="H106" s="19">
        <v>11334.7</v>
      </c>
      <c r="I106" s="19">
        <v>16379.1</v>
      </c>
      <c r="J106" s="19">
        <v>20865</v>
      </c>
      <c r="K106" s="19">
        <v>20905.400000000001</v>
      </c>
      <c r="L106" s="19">
        <v>20947.8</v>
      </c>
      <c r="M106" s="19">
        <v>20992.2</v>
      </c>
      <c r="N106" s="19">
        <v>21038.7</v>
      </c>
      <c r="O106" s="19">
        <v>21087.3</v>
      </c>
      <c r="P106" s="19">
        <v>21138</v>
      </c>
      <c r="Q106" s="19">
        <v>21190.9</v>
      </c>
      <c r="R106" s="19">
        <v>21246.2</v>
      </c>
      <c r="S106" s="19">
        <v>21303.9</v>
      </c>
      <c r="T106" s="19">
        <v>21364.2</v>
      </c>
      <c r="U106" s="19">
        <v>21427.3</v>
      </c>
      <c r="V106" s="19">
        <v>21493.3</v>
      </c>
      <c r="W106" s="19">
        <v>21562.400000000001</v>
      </c>
      <c r="X106" s="19">
        <v>21634.7</v>
      </c>
      <c r="Y106" s="19">
        <v>21710.400000000001</v>
      </c>
      <c r="Z106" s="19">
        <v>21789.7</v>
      </c>
      <c r="AA106" s="19">
        <v>21872.7</v>
      </c>
      <c r="AB106" s="19">
        <v>21959.599999999999</v>
      </c>
      <c r="AC106" s="19">
        <v>22050.6</v>
      </c>
      <c r="AD106" s="19">
        <v>22145.8</v>
      </c>
      <c r="AE106" s="19">
        <v>22245.4</v>
      </c>
      <c r="AF106" s="19">
        <v>22349.599999999999</v>
      </c>
      <c r="AG106" s="19">
        <v>22458.6</v>
      </c>
      <c r="AH106" s="19">
        <v>22572.5</v>
      </c>
      <c r="AI106" s="19">
        <v>22691.599999999999</v>
      </c>
      <c r="AJ106" s="19">
        <v>22816</v>
      </c>
      <c r="AK106" s="19">
        <v>22946</v>
      </c>
      <c r="AL106" s="19">
        <v>23081.8</v>
      </c>
      <c r="AM106" s="19">
        <v>23223.599999999999</v>
      </c>
      <c r="AN106" s="19">
        <v>23371.599999999999</v>
      </c>
      <c r="AO106" s="19">
        <v>23526.1</v>
      </c>
      <c r="AP106" s="19">
        <v>23687.3</v>
      </c>
      <c r="AQ106" s="19">
        <v>23855.5</v>
      </c>
      <c r="AR106" s="19">
        <v>24030.9</v>
      </c>
      <c r="AS106" s="19">
        <v>24213.8</v>
      </c>
      <c r="AT106" s="19">
        <v>24404.6</v>
      </c>
      <c r="AU106" s="19">
        <v>24603.4</v>
      </c>
      <c r="AV106" s="19">
        <v>24810.7</v>
      </c>
      <c r="AW106" s="19">
        <v>25026.799999999999</v>
      </c>
      <c r="AX106" s="19">
        <v>25252</v>
      </c>
      <c r="AY106" s="19">
        <v>25486.799999999999</v>
      </c>
      <c r="AZ106" s="19">
        <v>25731.599999999999</v>
      </c>
      <c r="BA106" s="19">
        <v>25986.799999999999</v>
      </c>
      <c r="BB106" s="19">
        <v>26252.799999999999</v>
      </c>
      <c r="BC106" s="19">
        <v>26530.2</v>
      </c>
      <c r="BD106" s="19">
        <v>26819.7</v>
      </c>
      <c r="BE106" s="19">
        <v>27121.599999999999</v>
      </c>
      <c r="BF106" s="19">
        <v>27436.9</v>
      </c>
      <c r="BG106" s="19">
        <v>27766</v>
      </c>
      <c r="BH106" s="19">
        <v>28109.8</v>
      </c>
      <c r="BI106" s="19">
        <v>28469.200000000001</v>
      </c>
      <c r="BJ106" s="19">
        <v>28844.9</v>
      </c>
      <c r="BK106" s="19">
        <v>28238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>
        <v>0</v>
      </c>
    </row>
    <row r="107" spans="2:111" x14ac:dyDescent="0.15">
      <c r="B107" s="19" t="str">
        <f t="shared" si="1"/>
        <v>5_男_3</v>
      </c>
      <c r="C107" s="18">
        <v>5</v>
      </c>
      <c r="D107" s="18" t="s">
        <v>9</v>
      </c>
      <c r="E107" s="18">
        <v>3</v>
      </c>
      <c r="F107" s="19">
        <v>3094.8</v>
      </c>
      <c r="G107" s="19">
        <v>6933.7</v>
      </c>
      <c r="H107" s="19">
        <v>11355.9</v>
      </c>
      <c r="I107" s="19">
        <v>16409.7</v>
      </c>
      <c r="J107" s="19">
        <v>20905.599999999999</v>
      </c>
      <c r="K107" s="19">
        <v>20948</v>
      </c>
      <c r="L107" s="19">
        <v>20992.400000000001</v>
      </c>
      <c r="M107" s="19">
        <v>21038.9</v>
      </c>
      <c r="N107" s="19">
        <v>21087.5</v>
      </c>
      <c r="O107" s="19">
        <v>21138.2</v>
      </c>
      <c r="P107" s="19">
        <v>21191.200000000001</v>
      </c>
      <c r="Q107" s="19">
        <v>21246.5</v>
      </c>
      <c r="R107" s="19">
        <v>21304.2</v>
      </c>
      <c r="S107" s="19">
        <v>21364.5</v>
      </c>
      <c r="T107" s="19">
        <v>21427.599999999999</v>
      </c>
      <c r="U107" s="19">
        <v>21493.599999999999</v>
      </c>
      <c r="V107" s="19">
        <v>21562.7</v>
      </c>
      <c r="W107" s="19">
        <v>21635</v>
      </c>
      <c r="X107" s="19">
        <v>21710.799999999999</v>
      </c>
      <c r="Y107" s="19">
        <v>21790.1</v>
      </c>
      <c r="Z107" s="19">
        <v>21873.1</v>
      </c>
      <c r="AA107" s="19">
        <v>21960</v>
      </c>
      <c r="AB107" s="19">
        <v>22051</v>
      </c>
      <c r="AC107" s="19">
        <v>22146.2</v>
      </c>
      <c r="AD107" s="19">
        <v>22245.8</v>
      </c>
      <c r="AE107" s="19">
        <v>22350</v>
      </c>
      <c r="AF107" s="19">
        <v>22459</v>
      </c>
      <c r="AG107" s="19">
        <v>22573</v>
      </c>
      <c r="AH107" s="19">
        <v>22692.1</v>
      </c>
      <c r="AI107" s="19">
        <v>22816.5</v>
      </c>
      <c r="AJ107" s="19">
        <v>22946.5</v>
      </c>
      <c r="AK107" s="19">
        <v>23082.3</v>
      </c>
      <c r="AL107" s="19">
        <v>23224.1</v>
      </c>
      <c r="AM107" s="19">
        <v>23372.1</v>
      </c>
      <c r="AN107" s="19">
        <v>23526.6</v>
      </c>
      <c r="AO107" s="19">
        <v>23687.8</v>
      </c>
      <c r="AP107" s="19">
        <v>23856</v>
      </c>
      <c r="AQ107" s="19">
        <v>24031.4</v>
      </c>
      <c r="AR107" s="19">
        <v>24214.400000000001</v>
      </c>
      <c r="AS107" s="19">
        <v>24405.1</v>
      </c>
      <c r="AT107" s="19">
        <v>24604</v>
      </c>
      <c r="AU107" s="19">
        <v>24811.3</v>
      </c>
      <c r="AV107" s="19">
        <v>25027.4</v>
      </c>
      <c r="AW107" s="19">
        <v>25252.6</v>
      </c>
      <c r="AX107" s="19">
        <v>25487.4</v>
      </c>
      <c r="AY107" s="19">
        <v>25732.1</v>
      </c>
      <c r="AZ107" s="19">
        <v>25987.3</v>
      </c>
      <c r="BA107" s="19">
        <v>26253.3</v>
      </c>
      <c r="BB107" s="19">
        <v>26530.7</v>
      </c>
      <c r="BC107" s="19">
        <v>26820.1</v>
      </c>
      <c r="BD107" s="19">
        <v>27122</v>
      </c>
      <c r="BE107" s="19">
        <v>27437.200000000001</v>
      </c>
      <c r="BF107" s="19">
        <v>27766.3</v>
      </c>
      <c r="BG107" s="19">
        <v>28110.1</v>
      </c>
      <c r="BH107" s="19">
        <v>28469.4</v>
      </c>
      <c r="BI107" s="19">
        <v>28845</v>
      </c>
      <c r="BJ107" s="19">
        <v>28238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0</v>
      </c>
      <c r="CA107" s="19">
        <v>0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</row>
    <row r="108" spans="2:111" x14ac:dyDescent="0.15">
      <c r="B108" s="19" t="str">
        <f t="shared" si="1"/>
        <v>5_男_4</v>
      </c>
      <c r="C108" s="18">
        <v>5</v>
      </c>
      <c r="D108" s="18" t="s">
        <v>9</v>
      </c>
      <c r="E108" s="18">
        <v>4</v>
      </c>
      <c r="F108" s="19">
        <v>3100.9</v>
      </c>
      <c r="G108" s="19">
        <v>6947.3</v>
      </c>
      <c r="H108" s="19">
        <v>11378.2</v>
      </c>
      <c r="I108" s="19">
        <v>16441.8</v>
      </c>
      <c r="J108" s="19">
        <v>20948.2</v>
      </c>
      <c r="K108" s="19">
        <v>20992.7</v>
      </c>
      <c r="L108" s="19">
        <v>21039.200000000001</v>
      </c>
      <c r="M108" s="19">
        <v>21087.8</v>
      </c>
      <c r="N108" s="19">
        <v>21138.5</v>
      </c>
      <c r="O108" s="19">
        <v>21191.5</v>
      </c>
      <c r="P108" s="19">
        <v>21246.7</v>
      </c>
      <c r="Q108" s="19">
        <v>21304.5</v>
      </c>
      <c r="R108" s="19">
        <v>21364.799999999999</v>
      </c>
      <c r="S108" s="19">
        <v>21427.9</v>
      </c>
      <c r="T108" s="19">
        <v>21494</v>
      </c>
      <c r="U108" s="19">
        <v>21563.1</v>
      </c>
      <c r="V108" s="19">
        <v>21635.4</v>
      </c>
      <c r="W108" s="19">
        <v>21711.1</v>
      </c>
      <c r="X108" s="19">
        <v>21790.400000000001</v>
      </c>
      <c r="Y108" s="19">
        <v>21873.5</v>
      </c>
      <c r="Z108" s="19">
        <v>21960.400000000001</v>
      </c>
      <c r="AA108" s="19">
        <v>22051.4</v>
      </c>
      <c r="AB108" s="19">
        <v>22146.6</v>
      </c>
      <c r="AC108" s="19">
        <v>22246.3</v>
      </c>
      <c r="AD108" s="19">
        <v>22350.5</v>
      </c>
      <c r="AE108" s="19">
        <v>22459.5</v>
      </c>
      <c r="AF108" s="19">
        <v>22573.4</v>
      </c>
      <c r="AG108" s="19">
        <v>22692.5</v>
      </c>
      <c r="AH108" s="19">
        <v>22817</v>
      </c>
      <c r="AI108" s="19">
        <v>22947</v>
      </c>
      <c r="AJ108" s="19">
        <v>23082.799999999999</v>
      </c>
      <c r="AK108" s="19">
        <v>23224.7</v>
      </c>
      <c r="AL108" s="19">
        <v>23372.7</v>
      </c>
      <c r="AM108" s="19">
        <v>23527.200000000001</v>
      </c>
      <c r="AN108" s="19">
        <v>23688.400000000001</v>
      </c>
      <c r="AO108" s="19">
        <v>23856.6</v>
      </c>
      <c r="AP108" s="19">
        <v>24032</v>
      </c>
      <c r="AQ108" s="19">
        <v>24214.9</v>
      </c>
      <c r="AR108" s="19">
        <v>24405.7</v>
      </c>
      <c r="AS108" s="19">
        <v>24604.6</v>
      </c>
      <c r="AT108" s="19">
        <v>24811.9</v>
      </c>
      <c r="AU108" s="19">
        <v>25027.9</v>
      </c>
      <c r="AV108" s="19">
        <v>25253.200000000001</v>
      </c>
      <c r="AW108" s="19">
        <v>25488</v>
      </c>
      <c r="AX108" s="19">
        <v>25732.7</v>
      </c>
      <c r="AY108" s="19">
        <v>25987.8</v>
      </c>
      <c r="AZ108" s="19">
        <v>26253.8</v>
      </c>
      <c r="BA108" s="19">
        <v>26531.200000000001</v>
      </c>
      <c r="BB108" s="19">
        <v>26820.6</v>
      </c>
      <c r="BC108" s="19">
        <v>27122.5</v>
      </c>
      <c r="BD108" s="19">
        <v>27437.599999999999</v>
      </c>
      <c r="BE108" s="19">
        <v>27766.6</v>
      </c>
      <c r="BF108" s="19">
        <v>28110.3</v>
      </c>
      <c r="BG108" s="19">
        <v>28469.5</v>
      </c>
      <c r="BH108" s="19">
        <v>28845.1</v>
      </c>
      <c r="BI108" s="19">
        <v>28238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>
        <v>0</v>
      </c>
      <c r="BW108" s="19">
        <v>0</v>
      </c>
      <c r="BX108" s="19">
        <v>0</v>
      </c>
      <c r="BY108" s="19">
        <v>0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0</v>
      </c>
      <c r="CN108" s="19">
        <v>0</v>
      </c>
      <c r="CO108" s="19">
        <v>0</v>
      </c>
      <c r="CP108" s="19">
        <v>0</v>
      </c>
      <c r="CQ108" s="19">
        <v>0</v>
      </c>
      <c r="CR108" s="19">
        <v>0</v>
      </c>
      <c r="CS108" s="19">
        <v>0</v>
      </c>
      <c r="CT108" s="19">
        <v>0</v>
      </c>
      <c r="CU108" s="19">
        <v>0</v>
      </c>
      <c r="CV108" s="19">
        <v>0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0</v>
      </c>
      <c r="DF108" s="19">
        <v>0</v>
      </c>
      <c r="DG108" s="19">
        <v>0</v>
      </c>
    </row>
    <row r="109" spans="2:111" x14ac:dyDescent="0.15">
      <c r="B109" s="19" t="str">
        <f t="shared" si="1"/>
        <v>5_男_5</v>
      </c>
      <c r="C109" s="18">
        <v>5</v>
      </c>
      <c r="D109" s="18" t="s">
        <v>9</v>
      </c>
      <c r="E109" s="18">
        <v>5</v>
      </c>
      <c r="F109" s="19">
        <v>3107.3</v>
      </c>
      <c r="G109" s="19">
        <v>6961.6</v>
      </c>
      <c r="H109" s="19">
        <v>11401.5</v>
      </c>
      <c r="I109" s="19">
        <v>16475.400000000001</v>
      </c>
      <c r="J109" s="19">
        <v>20992.9</v>
      </c>
      <c r="K109" s="19">
        <v>21039.4</v>
      </c>
      <c r="L109" s="19">
        <v>21088.1</v>
      </c>
      <c r="M109" s="19">
        <v>21138.799999999999</v>
      </c>
      <c r="N109" s="19">
        <v>21191.8</v>
      </c>
      <c r="O109" s="19">
        <v>21247</v>
      </c>
      <c r="P109" s="19">
        <v>21304.799999999999</v>
      </c>
      <c r="Q109" s="19">
        <v>21365.1</v>
      </c>
      <c r="R109" s="19">
        <v>21428.3</v>
      </c>
      <c r="S109" s="19">
        <v>21494.3</v>
      </c>
      <c r="T109" s="19">
        <v>21563.4</v>
      </c>
      <c r="U109" s="19">
        <v>21635.8</v>
      </c>
      <c r="V109" s="19">
        <v>21711.5</v>
      </c>
      <c r="W109" s="19">
        <v>21790.799999999999</v>
      </c>
      <c r="X109" s="19">
        <v>21873.9</v>
      </c>
      <c r="Y109" s="19">
        <v>21960.799999999999</v>
      </c>
      <c r="Z109" s="19">
        <v>22051.8</v>
      </c>
      <c r="AA109" s="19">
        <v>22147.1</v>
      </c>
      <c r="AB109" s="19">
        <v>22246.7</v>
      </c>
      <c r="AC109" s="19">
        <v>22350.9</v>
      </c>
      <c r="AD109" s="19">
        <v>22460</v>
      </c>
      <c r="AE109" s="19">
        <v>22573.9</v>
      </c>
      <c r="AF109" s="19">
        <v>22693.1</v>
      </c>
      <c r="AG109" s="19">
        <v>22817.5</v>
      </c>
      <c r="AH109" s="19">
        <v>22947.599999999999</v>
      </c>
      <c r="AI109" s="19">
        <v>23083.4</v>
      </c>
      <c r="AJ109" s="19">
        <v>23225.200000000001</v>
      </c>
      <c r="AK109" s="19">
        <v>23373.3</v>
      </c>
      <c r="AL109" s="19">
        <v>23527.8</v>
      </c>
      <c r="AM109" s="19">
        <v>23689</v>
      </c>
      <c r="AN109" s="19">
        <v>23857.200000000001</v>
      </c>
      <c r="AO109" s="19">
        <v>24032.6</v>
      </c>
      <c r="AP109" s="19">
        <v>24215.599999999999</v>
      </c>
      <c r="AQ109" s="19">
        <v>24406.3</v>
      </c>
      <c r="AR109" s="19">
        <v>24605.200000000001</v>
      </c>
      <c r="AS109" s="19">
        <v>24812.5</v>
      </c>
      <c r="AT109" s="19">
        <v>25028.6</v>
      </c>
      <c r="AU109" s="19">
        <v>25253.8</v>
      </c>
      <c r="AV109" s="19">
        <v>25488.6</v>
      </c>
      <c r="AW109" s="19">
        <v>25733.3</v>
      </c>
      <c r="AX109" s="19">
        <v>25988.400000000001</v>
      </c>
      <c r="AY109" s="19">
        <v>26254.400000000001</v>
      </c>
      <c r="AZ109" s="19">
        <v>26531.7</v>
      </c>
      <c r="BA109" s="19">
        <v>26821</v>
      </c>
      <c r="BB109" s="19">
        <v>27122.9</v>
      </c>
      <c r="BC109" s="19">
        <v>27438</v>
      </c>
      <c r="BD109" s="19">
        <v>27767</v>
      </c>
      <c r="BE109" s="19">
        <v>28110.6</v>
      </c>
      <c r="BF109" s="19">
        <v>28469.7</v>
      </c>
      <c r="BG109" s="19">
        <v>28845.200000000001</v>
      </c>
      <c r="BH109" s="19">
        <v>28238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0</v>
      </c>
      <c r="CQ109" s="19">
        <v>0</v>
      </c>
      <c r="CR109" s="19">
        <v>0</v>
      </c>
      <c r="CS109" s="19">
        <v>0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0</v>
      </c>
      <c r="DF109" s="19">
        <v>0</v>
      </c>
      <c r="DG109" s="19">
        <v>0</v>
      </c>
    </row>
    <row r="110" spans="2:111" x14ac:dyDescent="0.15">
      <c r="B110" s="19" t="str">
        <f t="shared" si="1"/>
        <v>5_男_6</v>
      </c>
      <c r="C110" s="18">
        <v>5</v>
      </c>
      <c r="D110" s="18" t="s">
        <v>9</v>
      </c>
      <c r="E110" s="18">
        <v>6</v>
      </c>
      <c r="F110" s="19">
        <v>3114</v>
      </c>
      <c r="G110" s="19">
        <v>6976.6</v>
      </c>
      <c r="H110" s="19">
        <v>11426</v>
      </c>
      <c r="I110" s="19">
        <v>16510.599999999999</v>
      </c>
      <c r="J110" s="19">
        <v>21039.7</v>
      </c>
      <c r="K110" s="19">
        <v>21088.3</v>
      </c>
      <c r="L110" s="19">
        <v>21139.1</v>
      </c>
      <c r="M110" s="19">
        <v>21192.1</v>
      </c>
      <c r="N110" s="19">
        <v>21247.4</v>
      </c>
      <c r="O110" s="19">
        <v>21305.1</v>
      </c>
      <c r="P110" s="19">
        <v>21365.5</v>
      </c>
      <c r="Q110" s="19">
        <v>21428.6</v>
      </c>
      <c r="R110" s="19">
        <v>21494.7</v>
      </c>
      <c r="S110" s="19">
        <v>21563.8</v>
      </c>
      <c r="T110" s="19">
        <v>21636.1</v>
      </c>
      <c r="U110" s="19">
        <v>21711.9</v>
      </c>
      <c r="V110" s="19">
        <v>21791.200000000001</v>
      </c>
      <c r="W110" s="19">
        <v>21874.3</v>
      </c>
      <c r="X110" s="19">
        <v>21961.3</v>
      </c>
      <c r="Y110" s="19">
        <v>22052.3</v>
      </c>
      <c r="Z110" s="19">
        <v>22147.5</v>
      </c>
      <c r="AA110" s="19">
        <v>22247.200000000001</v>
      </c>
      <c r="AB110" s="19">
        <v>22351.4</v>
      </c>
      <c r="AC110" s="19">
        <v>22460.5</v>
      </c>
      <c r="AD110" s="19">
        <v>22574.400000000001</v>
      </c>
      <c r="AE110" s="19">
        <v>22693.599999999999</v>
      </c>
      <c r="AF110" s="19">
        <v>22818.1</v>
      </c>
      <c r="AG110" s="19">
        <v>22948.1</v>
      </c>
      <c r="AH110" s="19">
        <v>23084</v>
      </c>
      <c r="AI110" s="19">
        <v>23225.8</v>
      </c>
      <c r="AJ110" s="19">
        <v>23373.9</v>
      </c>
      <c r="AK110" s="19">
        <v>23528.400000000001</v>
      </c>
      <c r="AL110" s="19">
        <v>23689.599999999999</v>
      </c>
      <c r="AM110" s="19">
        <v>23857.8</v>
      </c>
      <c r="AN110" s="19">
        <v>24033.200000000001</v>
      </c>
      <c r="AO110" s="19">
        <v>24216.2</v>
      </c>
      <c r="AP110" s="19">
        <v>24407</v>
      </c>
      <c r="AQ110" s="19">
        <v>24605.8</v>
      </c>
      <c r="AR110" s="19">
        <v>24813.1</v>
      </c>
      <c r="AS110" s="19">
        <v>25029.200000000001</v>
      </c>
      <c r="AT110" s="19">
        <v>25254.400000000001</v>
      </c>
      <c r="AU110" s="19">
        <v>25489.200000000001</v>
      </c>
      <c r="AV110" s="19">
        <v>25733.9</v>
      </c>
      <c r="AW110" s="19">
        <v>25989</v>
      </c>
      <c r="AX110" s="19">
        <v>26254.9</v>
      </c>
      <c r="AY110" s="19">
        <v>26532.3</v>
      </c>
      <c r="AZ110" s="19">
        <v>26821.5</v>
      </c>
      <c r="BA110" s="19">
        <v>27123.4</v>
      </c>
      <c r="BB110" s="19">
        <v>27438.400000000001</v>
      </c>
      <c r="BC110" s="19">
        <v>27767.3</v>
      </c>
      <c r="BD110" s="19">
        <v>28110.9</v>
      </c>
      <c r="BE110" s="19">
        <v>28469.9</v>
      </c>
      <c r="BF110" s="19">
        <v>28845.3</v>
      </c>
      <c r="BG110" s="19">
        <v>28238</v>
      </c>
      <c r="BH110" s="19">
        <v>0</v>
      </c>
      <c r="BI110" s="19">
        <v>0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0</v>
      </c>
      <c r="CA110" s="19">
        <v>0</v>
      </c>
      <c r="CB110" s="19">
        <v>0</v>
      </c>
      <c r="CC110" s="19">
        <v>0</v>
      </c>
      <c r="CD110" s="19">
        <v>0</v>
      </c>
      <c r="CE110" s="19">
        <v>0</v>
      </c>
      <c r="CF110" s="19">
        <v>0</v>
      </c>
      <c r="CG110" s="19">
        <v>0</v>
      </c>
      <c r="CH110" s="19">
        <v>0</v>
      </c>
      <c r="CI110" s="19">
        <v>0</v>
      </c>
      <c r="CJ110" s="19">
        <v>0</v>
      </c>
      <c r="CK110" s="19">
        <v>0</v>
      </c>
      <c r="CL110" s="19">
        <v>0</v>
      </c>
      <c r="CM110" s="19">
        <v>0</v>
      </c>
      <c r="CN110" s="19">
        <v>0</v>
      </c>
      <c r="CO110" s="19">
        <v>0</v>
      </c>
      <c r="CP110" s="19">
        <v>0</v>
      </c>
      <c r="CQ110" s="19">
        <v>0</v>
      </c>
      <c r="CR110" s="19">
        <v>0</v>
      </c>
      <c r="CS110" s="19">
        <v>0</v>
      </c>
      <c r="CT110" s="19">
        <v>0</v>
      </c>
      <c r="CU110" s="19">
        <v>0</v>
      </c>
      <c r="CV110" s="19">
        <v>0</v>
      </c>
      <c r="CW110" s="19">
        <v>0</v>
      </c>
      <c r="CX110" s="19">
        <v>0</v>
      </c>
      <c r="CY110" s="19">
        <v>0</v>
      </c>
      <c r="CZ110" s="19">
        <v>0</v>
      </c>
      <c r="DA110" s="19">
        <v>0</v>
      </c>
      <c r="DB110" s="19">
        <v>0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</row>
    <row r="111" spans="2:111" x14ac:dyDescent="0.15">
      <c r="B111" s="19" t="str">
        <f t="shared" si="1"/>
        <v>5_男_7</v>
      </c>
      <c r="C111" s="18">
        <v>5</v>
      </c>
      <c r="D111" s="18" t="s">
        <v>9</v>
      </c>
      <c r="E111" s="18">
        <v>7</v>
      </c>
      <c r="F111" s="19">
        <v>3121</v>
      </c>
      <c r="G111" s="19">
        <v>6992.2</v>
      </c>
      <c r="H111" s="19">
        <v>11451.6</v>
      </c>
      <c r="I111" s="19">
        <v>16547.400000000001</v>
      </c>
      <c r="J111" s="19">
        <v>21088.6</v>
      </c>
      <c r="K111" s="19">
        <v>21139.4</v>
      </c>
      <c r="L111" s="19">
        <v>21192.400000000001</v>
      </c>
      <c r="M111" s="19">
        <v>21247.7</v>
      </c>
      <c r="N111" s="19">
        <v>21305.5</v>
      </c>
      <c r="O111" s="19">
        <v>21365.8</v>
      </c>
      <c r="P111" s="19">
        <v>21429</v>
      </c>
      <c r="Q111" s="19">
        <v>21495</v>
      </c>
      <c r="R111" s="19">
        <v>21564.2</v>
      </c>
      <c r="S111" s="19">
        <v>21636.5</v>
      </c>
      <c r="T111" s="19">
        <v>21712.3</v>
      </c>
      <c r="U111" s="19">
        <v>21791.7</v>
      </c>
      <c r="V111" s="19">
        <v>21874.7</v>
      </c>
      <c r="W111" s="19">
        <v>21961.7</v>
      </c>
      <c r="X111" s="19">
        <v>22052.7</v>
      </c>
      <c r="Y111" s="19">
        <v>22148</v>
      </c>
      <c r="Z111" s="19">
        <v>22247.7</v>
      </c>
      <c r="AA111" s="19">
        <v>22351.9</v>
      </c>
      <c r="AB111" s="19">
        <v>22461</v>
      </c>
      <c r="AC111" s="19">
        <v>22575</v>
      </c>
      <c r="AD111" s="19">
        <v>22694.1</v>
      </c>
      <c r="AE111" s="19">
        <v>22818.6</v>
      </c>
      <c r="AF111" s="19">
        <v>22948.7</v>
      </c>
      <c r="AG111" s="19">
        <v>23084.6</v>
      </c>
      <c r="AH111" s="19">
        <v>23226.400000000001</v>
      </c>
      <c r="AI111" s="19">
        <v>23374.5</v>
      </c>
      <c r="AJ111" s="19">
        <v>23529</v>
      </c>
      <c r="AK111" s="19">
        <v>23690.3</v>
      </c>
      <c r="AL111" s="19">
        <v>23858.5</v>
      </c>
      <c r="AM111" s="19">
        <v>24033.9</v>
      </c>
      <c r="AN111" s="19">
        <v>24216.9</v>
      </c>
      <c r="AO111" s="19">
        <v>24407.599999999999</v>
      </c>
      <c r="AP111" s="19">
        <v>24606.5</v>
      </c>
      <c r="AQ111" s="19">
        <v>24813.8</v>
      </c>
      <c r="AR111" s="19">
        <v>25029.9</v>
      </c>
      <c r="AS111" s="19">
        <v>25255.1</v>
      </c>
      <c r="AT111" s="19">
        <v>25489.8</v>
      </c>
      <c r="AU111" s="19">
        <v>25734.5</v>
      </c>
      <c r="AV111" s="19">
        <v>25989.599999999999</v>
      </c>
      <c r="AW111" s="19">
        <v>26255.5</v>
      </c>
      <c r="AX111" s="19">
        <v>26532.799999999999</v>
      </c>
      <c r="AY111" s="19">
        <v>26822.1</v>
      </c>
      <c r="AZ111" s="19">
        <v>27123.8</v>
      </c>
      <c r="BA111" s="19">
        <v>27438.799999999999</v>
      </c>
      <c r="BB111" s="19">
        <v>27767.7</v>
      </c>
      <c r="BC111" s="19">
        <v>28111.200000000001</v>
      </c>
      <c r="BD111" s="19">
        <v>28470.1</v>
      </c>
      <c r="BE111" s="19">
        <v>28845.4</v>
      </c>
      <c r="BF111" s="19">
        <v>28238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  <c r="CM111" s="19">
        <v>0</v>
      </c>
      <c r="CN111" s="19">
        <v>0</v>
      </c>
      <c r="CO111" s="19">
        <v>0</v>
      </c>
      <c r="CP111" s="19">
        <v>0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</row>
    <row r="112" spans="2:111" x14ac:dyDescent="0.15">
      <c r="B112" s="19" t="str">
        <f t="shared" si="1"/>
        <v>5_男_8</v>
      </c>
      <c r="C112" s="18">
        <v>5</v>
      </c>
      <c r="D112" s="18" t="s">
        <v>9</v>
      </c>
      <c r="E112" s="18">
        <v>8</v>
      </c>
      <c r="F112" s="19">
        <v>3128.3</v>
      </c>
      <c r="G112" s="19">
        <v>7008.6</v>
      </c>
      <c r="H112" s="19">
        <v>11478.2</v>
      </c>
      <c r="I112" s="19">
        <v>16585.8</v>
      </c>
      <c r="J112" s="19">
        <v>21139.7</v>
      </c>
      <c r="K112" s="19">
        <v>21192.7</v>
      </c>
      <c r="L112" s="19">
        <v>21248</v>
      </c>
      <c r="M112" s="19">
        <v>21305.8</v>
      </c>
      <c r="N112" s="19">
        <v>21366.2</v>
      </c>
      <c r="O112" s="19">
        <v>21429.4</v>
      </c>
      <c r="P112" s="19">
        <v>21495.4</v>
      </c>
      <c r="Q112" s="19">
        <v>21564.6</v>
      </c>
      <c r="R112" s="19">
        <v>21637</v>
      </c>
      <c r="S112" s="19">
        <v>21712.7</v>
      </c>
      <c r="T112" s="19">
        <v>21792.1</v>
      </c>
      <c r="U112" s="19">
        <v>21875.200000000001</v>
      </c>
      <c r="V112" s="19">
        <v>21962.2</v>
      </c>
      <c r="W112" s="19">
        <v>22053.200000000001</v>
      </c>
      <c r="X112" s="19">
        <v>22148.5</v>
      </c>
      <c r="Y112" s="19">
        <v>22248.2</v>
      </c>
      <c r="Z112" s="19">
        <v>22352.5</v>
      </c>
      <c r="AA112" s="19">
        <v>22461.5</v>
      </c>
      <c r="AB112" s="19">
        <v>22575.5</v>
      </c>
      <c r="AC112" s="19">
        <v>22694.7</v>
      </c>
      <c r="AD112" s="19">
        <v>22819.200000000001</v>
      </c>
      <c r="AE112" s="19">
        <v>22949.3</v>
      </c>
      <c r="AF112" s="19">
        <v>23085.200000000001</v>
      </c>
      <c r="AG112" s="19">
        <v>23227</v>
      </c>
      <c r="AH112" s="19">
        <v>23375.1</v>
      </c>
      <c r="AI112" s="19">
        <v>23529.7</v>
      </c>
      <c r="AJ112" s="19">
        <v>23690.9</v>
      </c>
      <c r="AK112" s="19">
        <v>23859.1</v>
      </c>
      <c r="AL112" s="19">
        <v>24034.6</v>
      </c>
      <c r="AM112" s="19">
        <v>24217.599999999999</v>
      </c>
      <c r="AN112" s="19">
        <v>24408.3</v>
      </c>
      <c r="AO112" s="19">
        <v>24607.200000000001</v>
      </c>
      <c r="AP112" s="19">
        <v>24814.5</v>
      </c>
      <c r="AQ112" s="19">
        <v>25030.6</v>
      </c>
      <c r="AR112" s="19">
        <v>25255.8</v>
      </c>
      <c r="AS112" s="19">
        <v>25490.5</v>
      </c>
      <c r="AT112" s="19">
        <v>25735.200000000001</v>
      </c>
      <c r="AU112" s="19">
        <v>25990.2</v>
      </c>
      <c r="AV112" s="19">
        <v>26256.1</v>
      </c>
      <c r="AW112" s="19">
        <v>26533.4</v>
      </c>
      <c r="AX112" s="19">
        <v>26822.6</v>
      </c>
      <c r="AY112" s="19">
        <v>27124.3</v>
      </c>
      <c r="AZ112" s="19">
        <v>27439.3</v>
      </c>
      <c r="BA112" s="19">
        <v>27768</v>
      </c>
      <c r="BB112" s="19">
        <v>28111.5</v>
      </c>
      <c r="BC112" s="19">
        <v>28470.3</v>
      </c>
      <c r="BD112" s="19">
        <v>28845.5</v>
      </c>
      <c r="BE112" s="19">
        <v>28238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0</v>
      </c>
      <c r="CD112" s="19">
        <v>0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0</v>
      </c>
      <c r="CN112" s="19">
        <v>0</v>
      </c>
      <c r="CO112" s="19">
        <v>0</v>
      </c>
      <c r="CP112" s="19">
        <v>0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0</v>
      </c>
      <c r="DD112" s="19">
        <v>0</v>
      </c>
      <c r="DE112" s="19">
        <v>0</v>
      </c>
      <c r="DF112" s="19">
        <v>0</v>
      </c>
      <c r="DG112" s="19">
        <v>0</v>
      </c>
    </row>
    <row r="113" spans="2:111" x14ac:dyDescent="0.15">
      <c r="B113" s="19" t="str">
        <f t="shared" si="1"/>
        <v>5_男_9</v>
      </c>
      <c r="C113" s="18">
        <v>5</v>
      </c>
      <c r="D113" s="18" t="s">
        <v>9</v>
      </c>
      <c r="E113" s="18">
        <v>9</v>
      </c>
      <c r="F113" s="19">
        <v>3136</v>
      </c>
      <c r="G113" s="19">
        <v>7025.6</v>
      </c>
      <c r="H113" s="19">
        <v>11506.1</v>
      </c>
      <c r="I113" s="19">
        <v>16625.900000000001</v>
      </c>
      <c r="J113" s="19">
        <v>21193.1</v>
      </c>
      <c r="K113" s="19">
        <v>21248.400000000001</v>
      </c>
      <c r="L113" s="19">
        <v>21306.2</v>
      </c>
      <c r="M113" s="19">
        <v>21366.6</v>
      </c>
      <c r="N113" s="19">
        <v>21429.7</v>
      </c>
      <c r="O113" s="19">
        <v>21495.8</v>
      </c>
      <c r="P113" s="19">
        <v>21565</v>
      </c>
      <c r="Q113" s="19">
        <v>21637.4</v>
      </c>
      <c r="R113" s="19">
        <v>21713.200000000001</v>
      </c>
      <c r="S113" s="19">
        <v>21792.6</v>
      </c>
      <c r="T113" s="19">
        <v>21875.7</v>
      </c>
      <c r="U113" s="19">
        <v>21962.6</v>
      </c>
      <c r="V113" s="19">
        <v>22053.7</v>
      </c>
      <c r="W113" s="19">
        <v>22149</v>
      </c>
      <c r="X113" s="19">
        <v>22248.7</v>
      </c>
      <c r="Y113" s="19">
        <v>22353</v>
      </c>
      <c r="Z113" s="19">
        <v>22462.1</v>
      </c>
      <c r="AA113" s="19">
        <v>22576.1</v>
      </c>
      <c r="AB113" s="19">
        <v>22695.3</v>
      </c>
      <c r="AC113" s="19">
        <v>22819.8</v>
      </c>
      <c r="AD113" s="19">
        <v>22949.9</v>
      </c>
      <c r="AE113" s="19">
        <v>23085.8</v>
      </c>
      <c r="AF113" s="19">
        <v>23227.7</v>
      </c>
      <c r="AG113" s="19">
        <v>23375.8</v>
      </c>
      <c r="AH113" s="19">
        <v>23530.3</v>
      </c>
      <c r="AI113" s="19">
        <v>23691.599999999999</v>
      </c>
      <c r="AJ113" s="19">
        <v>23859.8</v>
      </c>
      <c r="AK113" s="19">
        <v>24035.3</v>
      </c>
      <c r="AL113" s="19">
        <v>24218.3</v>
      </c>
      <c r="AM113" s="19">
        <v>24409</v>
      </c>
      <c r="AN113" s="19">
        <v>24607.9</v>
      </c>
      <c r="AO113" s="19">
        <v>24815.200000000001</v>
      </c>
      <c r="AP113" s="19">
        <v>25031.3</v>
      </c>
      <c r="AQ113" s="19">
        <v>25256.5</v>
      </c>
      <c r="AR113" s="19">
        <v>25491.200000000001</v>
      </c>
      <c r="AS113" s="19">
        <v>25735.9</v>
      </c>
      <c r="AT113" s="19">
        <v>25990.9</v>
      </c>
      <c r="AU113" s="19">
        <v>26256.799999999999</v>
      </c>
      <c r="AV113" s="19">
        <v>26534</v>
      </c>
      <c r="AW113" s="19">
        <v>26823.200000000001</v>
      </c>
      <c r="AX113" s="19">
        <v>27124.9</v>
      </c>
      <c r="AY113" s="19">
        <v>27439.7</v>
      </c>
      <c r="AZ113" s="19">
        <v>27768.400000000001</v>
      </c>
      <c r="BA113" s="19">
        <v>28111.8</v>
      </c>
      <c r="BB113" s="19">
        <v>28470.6</v>
      </c>
      <c r="BC113" s="19">
        <v>28845.599999999999</v>
      </c>
      <c r="BD113" s="19">
        <v>28238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  <c r="CM113" s="19">
        <v>0</v>
      </c>
      <c r="CN113" s="19">
        <v>0</v>
      </c>
      <c r="CO113" s="19">
        <v>0</v>
      </c>
      <c r="CP113" s="19">
        <v>0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</row>
    <row r="114" spans="2:111" x14ac:dyDescent="0.15">
      <c r="B114" s="19" t="str">
        <f t="shared" si="1"/>
        <v>5_男_10</v>
      </c>
      <c r="C114" s="18">
        <v>5</v>
      </c>
      <c r="D114" s="18" t="s">
        <v>9</v>
      </c>
      <c r="E114" s="18">
        <v>10</v>
      </c>
      <c r="F114" s="19">
        <v>3143.9</v>
      </c>
      <c r="G114" s="19">
        <v>7043.4</v>
      </c>
      <c r="H114" s="19">
        <v>11535.1</v>
      </c>
      <c r="I114" s="19">
        <v>16667.8</v>
      </c>
      <c r="J114" s="19">
        <v>21248.7</v>
      </c>
      <c r="K114" s="19">
        <v>21306.6</v>
      </c>
      <c r="L114" s="19">
        <v>21367</v>
      </c>
      <c r="M114" s="19">
        <v>21430.1</v>
      </c>
      <c r="N114" s="19">
        <v>21496.2</v>
      </c>
      <c r="O114" s="19">
        <v>21565.4</v>
      </c>
      <c r="P114" s="19">
        <v>21637.8</v>
      </c>
      <c r="Q114" s="19">
        <v>21713.599999999999</v>
      </c>
      <c r="R114" s="19">
        <v>21793</v>
      </c>
      <c r="S114" s="19">
        <v>21876.1</v>
      </c>
      <c r="T114" s="19">
        <v>21963.1</v>
      </c>
      <c r="U114" s="19">
        <v>22054.2</v>
      </c>
      <c r="V114" s="19">
        <v>22149.5</v>
      </c>
      <c r="W114" s="19">
        <v>22249.3</v>
      </c>
      <c r="X114" s="19">
        <v>22353.599999999999</v>
      </c>
      <c r="Y114" s="19">
        <v>22462.7</v>
      </c>
      <c r="Z114" s="19">
        <v>22576.7</v>
      </c>
      <c r="AA114" s="19">
        <v>22695.9</v>
      </c>
      <c r="AB114" s="19">
        <v>22820.5</v>
      </c>
      <c r="AC114" s="19">
        <v>22950.6</v>
      </c>
      <c r="AD114" s="19">
        <v>23086.5</v>
      </c>
      <c r="AE114" s="19">
        <v>23228.400000000001</v>
      </c>
      <c r="AF114" s="19">
        <v>23376.5</v>
      </c>
      <c r="AG114" s="19">
        <v>23531</v>
      </c>
      <c r="AH114" s="19">
        <v>23692.3</v>
      </c>
      <c r="AI114" s="19">
        <v>23860.6</v>
      </c>
      <c r="AJ114" s="19">
        <v>24036</v>
      </c>
      <c r="AK114" s="19">
        <v>24219</v>
      </c>
      <c r="AL114" s="19">
        <v>24409.8</v>
      </c>
      <c r="AM114" s="19">
        <v>24608.7</v>
      </c>
      <c r="AN114" s="19">
        <v>24816</v>
      </c>
      <c r="AO114" s="19">
        <v>25032</v>
      </c>
      <c r="AP114" s="19">
        <v>25257.200000000001</v>
      </c>
      <c r="AQ114" s="19">
        <v>25491.9</v>
      </c>
      <c r="AR114" s="19">
        <v>25736.6</v>
      </c>
      <c r="AS114" s="19">
        <v>25991.599999999999</v>
      </c>
      <c r="AT114" s="19">
        <v>26257.4</v>
      </c>
      <c r="AU114" s="19">
        <v>26534.6</v>
      </c>
      <c r="AV114" s="19">
        <v>26823.7</v>
      </c>
      <c r="AW114" s="19">
        <v>27125.4</v>
      </c>
      <c r="AX114" s="19">
        <v>27440.2</v>
      </c>
      <c r="AY114" s="19">
        <v>27768.799999999999</v>
      </c>
      <c r="AZ114" s="19">
        <v>28112.1</v>
      </c>
      <c r="BA114" s="19">
        <v>28470.799999999999</v>
      </c>
      <c r="BB114" s="19">
        <v>28845.8</v>
      </c>
      <c r="BC114" s="19">
        <v>28238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  <c r="CM114" s="19">
        <v>0</v>
      </c>
      <c r="CN114" s="19">
        <v>0</v>
      </c>
      <c r="CO114" s="19">
        <v>0</v>
      </c>
      <c r="CP114" s="19">
        <v>0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</row>
    <row r="115" spans="2:111" x14ac:dyDescent="0.15">
      <c r="B115" s="19" t="str">
        <f t="shared" si="1"/>
        <v>5_男_11</v>
      </c>
      <c r="C115" s="18">
        <v>5</v>
      </c>
      <c r="D115" s="18" t="s">
        <v>9</v>
      </c>
      <c r="E115" s="18">
        <v>11</v>
      </c>
      <c r="F115" s="19">
        <v>3152.3</v>
      </c>
      <c r="G115" s="19">
        <v>7062</v>
      </c>
      <c r="H115" s="19">
        <v>11565.5</v>
      </c>
      <c r="I115" s="19">
        <v>16711.400000000001</v>
      </c>
      <c r="J115" s="19">
        <v>21306.9</v>
      </c>
      <c r="K115" s="19">
        <v>21367.4</v>
      </c>
      <c r="L115" s="19">
        <v>21430.6</v>
      </c>
      <c r="M115" s="19">
        <v>21496.7</v>
      </c>
      <c r="N115" s="19">
        <v>21565.8</v>
      </c>
      <c r="O115" s="19">
        <v>21638.3</v>
      </c>
      <c r="P115" s="19">
        <v>21714.1</v>
      </c>
      <c r="Q115" s="19">
        <v>21793.5</v>
      </c>
      <c r="R115" s="19">
        <v>21876.6</v>
      </c>
      <c r="S115" s="19">
        <v>21963.7</v>
      </c>
      <c r="T115" s="19">
        <v>22054.799999999999</v>
      </c>
      <c r="U115" s="19">
        <v>22150.1</v>
      </c>
      <c r="V115" s="19">
        <v>22249.8</v>
      </c>
      <c r="W115" s="19">
        <v>22354.1</v>
      </c>
      <c r="X115" s="19">
        <v>22463.200000000001</v>
      </c>
      <c r="Y115" s="19">
        <v>22577.3</v>
      </c>
      <c r="Z115" s="19">
        <v>22696.5</v>
      </c>
      <c r="AA115" s="19">
        <v>22821.1</v>
      </c>
      <c r="AB115" s="19">
        <v>22951.200000000001</v>
      </c>
      <c r="AC115" s="19">
        <v>23087.1</v>
      </c>
      <c r="AD115" s="19">
        <v>23229</v>
      </c>
      <c r="AE115" s="19">
        <v>23377.200000000001</v>
      </c>
      <c r="AF115" s="19">
        <v>23531.7</v>
      </c>
      <c r="AG115" s="19">
        <v>23693</v>
      </c>
      <c r="AH115" s="19">
        <v>23861.3</v>
      </c>
      <c r="AI115" s="19">
        <v>24036.799999999999</v>
      </c>
      <c r="AJ115" s="19">
        <v>24219.8</v>
      </c>
      <c r="AK115" s="19">
        <v>24410.6</v>
      </c>
      <c r="AL115" s="19">
        <v>24609.4</v>
      </c>
      <c r="AM115" s="19">
        <v>24816.7</v>
      </c>
      <c r="AN115" s="19">
        <v>25032.799999999999</v>
      </c>
      <c r="AO115" s="19">
        <v>25258</v>
      </c>
      <c r="AP115" s="19">
        <v>25492.7</v>
      </c>
      <c r="AQ115" s="19">
        <v>25737.3</v>
      </c>
      <c r="AR115" s="19">
        <v>25992.3</v>
      </c>
      <c r="AS115" s="19">
        <v>26258.1</v>
      </c>
      <c r="AT115" s="19">
        <v>26535.3</v>
      </c>
      <c r="AU115" s="19">
        <v>26824.3</v>
      </c>
      <c r="AV115" s="19">
        <v>27125.9</v>
      </c>
      <c r="AW115" s="19">
        <v>27440.7</v>
      </c>
      <c r="AX115" s="19">
        <v>27769.200000000001</v>
      </c>
      <c r="AY115" s="19">
        <v>28112.400000000001</v>
      </c>
      <c r="AZ115" s="19">
        <v>28471</v>
      </c>
      <c r="BA115" s="19">
        <v>28845.9</v>
      </c>
      <c r="BB115" s="19">
        <v>28238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19">
        <v>0</v>
      </c>
      <c r="CL115" s="19">
        <v>0</v>
      </c>
      <c r="CM115" s="19">
        <v>0</v>
      </c>
      <c r="CN115" s="19">
        <v>0</v>
      </c>
      <c r="CO115" s="19">
        <v>0</v>
      </c>
      <c r="CP115" s="19">
        <v>0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19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</row>
    <row r="116" spans="2:111" x14ac:dyDescent="0.15">
      <c r="B116" s="19" t="str">
        <f t="shared" si="1"/>
        <v>5_男_12</v>
      </c>
      <c r="C116" s="18">
        <v>5</v>
      </c>
      <c r="D116" s="18" t="s">
        <v>9</v>
      </c>
      <c r="E116" s="18">
        <v>12</v>
      </c>
      <c r="F116" s="19">
        <v>3160.9</v>
      </c>
      <c r="G116" s="19">
        <v>7081.4</v>
      </c>
      <c r="H116" s="19">
        <v>11597.1</v>
      </c>
      <c r="I116" s="19">
        <v>16757.099999999999</v>
      </c>
      <c r="J116" s="19">
        <v>21367.8</v>
      </c>
      <c r="K116" s="19">
        <v>21431</v>
      </c>
      <c r="L116" s="19">
        <v>21497.1</v>
      </c>
      <c r="M116" s="19">
        <v>21566.3</v>
      </c>
      <c r="N116" s="19">
        <v>21638.7</v>
      </c>
      <c r="O116" s="19">
        <v>21714.6</v>
      </c>
      <c r="P116" s="19">
        <v>21794</v>
      </c>
      <c r="Q116" s="19">
        <v>21877.200000000001</v>
      </c>
      <c r="R116" s="19">
        <v>21964.2</v>
      </c>
      <c r="S116" s="19">
        <v>22055.3</v>
      </c>
      <c r="T116" s="19">
        <v>22150.6</v>
      </c>
      <c r="U116" s="19">
        <v>22250.400000000001</v>
      </c>
      <c r="V116" s="19">
        <v>22354.7</v>
      </c>
      <c r="W116" s="19">
        <v>22463.9</v>
      </c>
      <c r="X116" s="19">
        <v>22577.9</v>
      </c>
      <c r="Y116" s="19">
        <v>22697.200000000001</v>
      </c>
      <c r="Z116" s="19">
        <v>22821.8</v>
      </c>
      <c r="AA116" s="19">
        <v>22951.9</v>
      </c>
      <c r="AB116" s="19">
        <v>23087.8</v>
      </c>
      <c r="AC116" s="19">
        <v>23229.7</v>
      </c>
      <c r="AD116" s="19">
        <v>23377.9</v>
      </c>
      <c r="AE116" s="19">
        <v>23532.5</v>
      </c>
      <c r="AF116" s="19">
        <v>23693.8</v>
      </c>
      <c r="AG116" s="19">
        <v>23862.1</v>
      </c>
      <c r="AH116" s="19">
        <v>24037.599999999999</v>
      </c>
      <c r="AI116" s="19">
        <v>24220.5</v>
      </c>
      <c r="AJ116" s="19">
        <v>24411.3</v>
      </c>
      <c r="AK116" s="19">
        <v>24610.2</v>
      </c>
      <c r="AL116" s="19">
        <v>24817.5</v>
      </c>
      <c r="AM116" s="19">
        <v>25033.599999999999</v>
      </c>
      <c r="AN116" s="19">
        <v>25258.799999999999</v>
      </c>
      <c r="AO116" s="19">
        <v>25493.4</v>
      </c>
      <c r="AP116" s="19">
        <v>25738</v>
      </c>
      <c r="AQ116" s="19">
        <v>25993</v>
      </c>
      <c r="AR116" s="19">
        <v>26258.799999999999</v>
      </c>
      <c r="AS116" s="19">
        <v>26535.9</v>
      </c>
      <c r="AT116" s="19">
        <v>26825</v>
      </c>
      <c r="AU116" s="19">
        <v>27126.5</v>
      </c>
      <c r="AV116" s="19">
        <v>27441.200000000001</v>
      </c>
      <c r="AW116" s="19">
        <v>27769.7</v>
      </c>
      <c r="AX116" s="19">
        <v>28112.799999999999</v>
      </c>
      <c r="AY116" s="19">
        <v>28471.3</v>
      </c>
      <c r="AZ116" s="19">
        <v>28846</v>
      </c>
      <c r="BA116" s="19">
        <v>28238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  <c r="CM116" s="19">
        <v>0</v>
      </c>
      <c r="CN116" s="19">
        <v>0</v>
      </c>
      <c r="CO116" s="19">
        <v>0</v>
      </c>
      <c r="CP116" s="19">
        <v>0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</row>
    <row r="117" spans="2:111" x14ac:dyDescent="0.15">
      <c r="B117" s="19" t="str">
        <f t="shared" si="1"/>
        <v>5_男_13</v>
      </c>
      <c r="C117" s="18">
        <v>5</v>
      </c>
      <c r="D117" s="18" t="s">
        <v>9</v>
      </c>
      <c r="E117" s="18">
        <v>13</v>
      </c>
      <c r="F117" s="19">
        <v>3170</v>
      </c>
      <c r="G117" s="19">
        <v>7101.6</v>
      </c>
      <c r="H117" s="19">
        <v>11630.2</v>
      </c>
      <c r="I117" s="19">
        <v>16804.8</v>
      </c>
      <c r="J117" s="19">
        <v>21431.4</v>
      </c>
      <c r="K117" s="19">
        <v>21497.5</v>
      </c>
      <c r="L117" s="19">
        <v>21566.799999999999</v>
      </c>
      <c r="M117" s="19">
        <v>21639.200000000001</v>
      </c>
      <c r="N117" s="19">
        <v>21715.1</v>
      </c>
      <c r="O117" s="19">
        <v>21794.5</v>
      </c>
      <c r="P117" s="19">
        <v>21877.7</v>
      </c>
      <c r="Q117" s="19">
        <v>21964.7</v>
      </c>
      <c r="R117" s="19">
        <v>22055.9</v>
      </c>
      <c r="S117" s="19">
        <v>22151.200000000001</v>
      </c>
      <c r="T117" s="19">
        <v>22251</v>
      </c>
      <c r="U117" s="19">
        <v>22355.3</v>
      </c>
      <c r="V117" s="19">
        <v>22464.5</v>
      </c>
      <c r="W117" s="19">
        <v>22578.6</v>
      </c>
      <c r="X117" s="19">
        <v>22697.8</v>
      </c>
      <c r="Y117" s="19">
        <v>22822.400000000001</v>
      </c>
      <c r="Z117" s="19">
        <v>22952.6</v>
      </c>
      <c r="AA117" s="19">
        <v>23088.5</v>
      </c>
      <c r="AB117" s="19">
        <v>23230.5</v>
      </c>
      <c r="AC117" s="19">
        <v>23378.6</v>
      </c>
      <c r="AD117" s="19">
        <v>23533.200000000001</v>
      </c>
      <c r="AE117" s="19">
        <v>23694.6</v>
      </c>
      <c r="AF117" s="19">
        <v>23862.799999999999</v>
      </c>
      <c r="AG117" s="19">
        <v>24038.3</v>
      </c>
      <c r="AH117" s="19">
        <v>24221.3</v>
      </c>
      <c r="AI117" s="19">
        <v>24412.1</v>
      </c>
      <c r="AJ117" s="19">
        <v>24611</v>
      </c>
      <c r="AK117" s="19">
        <v>24818.3</v>
      </c>
      <c r="AL117" s="19">
        <v>25034.400000000001</v>
      </c>
      <c r="AM117" s="19">
        <v>25259.599999999999</v>
      </c>
      <c r="AN117" s="19">
        <v>25494.2</v>
      </c>
      <c r="AO117" s="19">
        <v>25738.799999999999</v>
      </c>
      <c r="AP117" s="19">
        <v>25993.7</v>
      </c>
      <c r="AQ117" s="19">
        <v>26259.5</v>
      </c>
      <c r="AR117" s="19">
        <v>26536.6</v>
      </c>
      <c r="AS117" s="19">
        <v>26825.599999999999</v>
      </c>
      <c r="AT117" s="19">
        <v>27127.1</v>
      </c>
      <c r="AU117" s="19">
        <v>27441.7</v>
      </c>
      <c r="AV117" s="19">
        <v>27770.1</v>
      </c>
      <c r="AW117" s="19">
        <v>28113.1</v>
      </c>
      <c r="AX117" s="19">
        <v>28471.5</v>
      </c>
      <c r="AY117" s="19">
        <v>28846.2</v>
      </c>
      <c r="AZ117" s="19">
        <v>28238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19">
        <v>0</v>
      </c>
      <c r="CL117" s="19">
        <v>0</v>
      </c>
      <c r="CM117" s="19">
        <v>0</v>
      </c>
      <c r="CN117" s="19">
        <v>0</v>
      </c>
      <c r="CO117" s="19">
        <v>0</v>
      </c>
      <c r="CP117" s="19">
        <v>0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</row>
    <row r="118" spans="2:111" x14ac:dyDescent="0.15">
      <c r="B118" s="19" t="str">
        <f t="shared" si="1"/>
        <v>5_男_14</v>
      </c>
      <c r="C118" s="18">
        <v>5</v>
      </c>
      <c r="D118" s="18" t="s">
        <v>9</v>
      </c>
      <c r="E118" s="18">
        <v>14</v>
      </c>
      <c r="F118" s="19">
        <v>3179.5</v>
      </c>
      <c r="G118" s="19">
        <v>7122.8</v>
      </c>
      <c r="H118" s="19">
        <v>11664.8</v>
      </c>
      <c r="I118" s="19">
        <v>16854.8</v>
      </c>
      <c r="J118" s="19">
        <v>21498</v>
      </c>
      <c r="K118" s="19">
        <v>21567.200000000001</v>
      </c>
      <c r="L118" s="19">
        <v>21639.7</v>
      </c>
      <c r="M118" s="19">
        <v>21715.599999999999</v>
      </c>
      <c r="N118" s="19">
        <v>21795</v>
      </c>
      <c r="O118" s="19">
        <v>21878.2</v>
      </c>
      <c r="P118" s="19">
        <v>21965.3</v>
      </c>
      <c r="Q118" s="19">
        <v>22056.400000000001</v>
      </c>
      <c r="R118" s="19">
        <v>22151.8</v>
      </c>
      <c r="S118" s="19">
        <v>22251.599999999999</v>
      </c>
      <c r="T118" s="19">
        <v>22356</v>
      </c>
      <c r="U118" s="19">
        <v>22465.1</v>
      </c>
      <c r="V118" s="19">
        <v>22579.200000000001</v>
      </c>
      <c r="W118" s="19">
        <v>22698.5</v>
      </c>
      <c r="X118" s="19">
        <v>22823.1</v>
      </c>
      <c r="Y118" s="19">
        <v>22953.3</v>
      </c>
      <c r="Z118" s="19">
        <v>23089.3</v>
      </c>
      <c r="AA118" s="19">
        <v>23231.200000000001</v>
      </c>
      <c r="AB118" s="19">
        <v>23379.4</v>
      </c>
      <c r="AC118" s="19">
        <v>23534</v>
      </c>
      <c r="AD118" s="19">
        <v>23695.4</v>
      </c>
      <c r="AE118" s="19">
        <v>23863.599999999999</v>
      </c>
      <c r="AF118" s="19">
        <v>24039.200000000001</v>
      </c>
      <c r="AG118" s="19">
        <v>24222.2</v>
      </c>
      <c r="AH118" s="19">
        <v>24413</v>
      </c>
      <c r="AI118" s="19">
        <v>24611.9</v>
      </c>
      <c r="AJ118" s="19">
        <v>24819.200000000001</v>
      </c>
      <c r="AK118" s="19">
        <v>25035.200000000001</v>
      </c>
      <c r="AL118" s="19">
        <v>25260.400000000001</v>
      </c>
      <c r="AM118" s="19">
        <v>25495</v>
      </c>
      <c r="AN118" s="19">
        <v>25739.599999999999</v>
      </c>
      <c r="AO118" s="19">
        <v>25994.5</v>
      </c>
      <c r="AP118" s="19">
        <v>26260.2</v>
      </c>
      <c r="AQ118" s="19">
        <v>26537.3</v>
      </c>
      <c r="AR118" s="19">
        <v>26826.2</v>
      </c>
      <c r="AS118" s="19">
        <v>27127.7</v>
      </c>
      <c r="AT118" s="19">
        <v>27442.2</v>
      </c>
      <c r="AU118" s="19">
        <v>27770.6</v>
      </c>
      <c r="AV118" s="19">
        <v>28113.5</v>
      </c>
      <c r="AW118" s="19">
        <v>28471.8</v>
      </c>
      <c r="AX118" s="19">
        <v>28846.3</v>
      </c>
      <c r="AY118" s="19">
        <v>28238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0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</v>
      </c>
      <c r="CD118" s="19">
        <v>0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19">
        <v>0</v>
      </c>
      <c r="CL118" s="19">
        <v>0</v>
      </c>
      <c r="CM118" s="19">
        <v>0</v>
      </c>
      <c r="CN118" s="19">
        <v>0</v>
      </c>
      <c r="CO118" s="19">
        <v>0</v>
      </c>
      <c r="CP118" s="19">
        <v>0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</row>
    <row r="119" spans="2:111" x14ac:dyDescent="0.15">
      <c r="B119" s="19" t="str">
        <f t="shared" si="1"/>
        <v>5_男_15</v>
      </c>
      <c r="C119" s="18">
        <v>5</v>
      </c>
      <c r="D119" s="18" t="s">
        <v>9</v>
      </c>
      <c r="E119" s="18">
        <v>15</v>
      </c>
      <c r="F119" s="19">
        <v>3189.4</v>
      </c>
      <c r="G119" s="19">
        <v>7144.9</v>
      </c>
      <c r="H119" s="19">
        <v>11701</v>
      </c>
      <c r="I119" s="19">
        <v>16907</v>
      </c>
      <c r="J119" s="19">
        <v>21567.7</v>
      </c>
      <c r="K119" s="19">
        <v>21640.2</v>
      </c>
      <c r="L119" s="19">
        <v>21716.1</v>
      </c>
      <c r="M119" s="19">
        <v>21795.599999999999</v>
      </c>
      <c r="N119" s="19">
        <v>21878.799999999999</v>
      </c>
      <c r="O119" s="19">
        <v>21965.9</v>
      </c>
      <c r="P119" s="19">
        <v>22057</v>
      </c>
      <c r="Q119" s="19">
        <v>22152.400000000001</v>
      </c>
      <c r="R119" s="19">
        <v>22252.2</v>
      </c>
      <c r="S119" s="19">
        <v>22356.6</v>
      </c>
      <c r="T119" s="19">
        <v>22465.8</v>
      </c>
      <c r="U119" s="19">
        <v>22579.9</v>
      </c>
      <c r="V119" s="19">
        <v>22699.200000000001</v>
      </c>
      <c r="W119" s="19">
        <v>22823.9</v>
      </c>
      <c r="X119" s="19">
        <v>22954.1</v>
      </c>
      <c r="Y119" s="19">
        <v>23090</v>
      </c>
      <c r="Z119" s="19">
        <v>23232</v>
      </c>
      <c r="AA119" s="19">
        <v>23380.2</v>
      </c>
      <c r="AB119" s="19">
        <v>23534.799999999999</v>
      </c>
      <c r="AC119" s="19">
        <v>23696.2</v>
      </c>
      <c r="AD119" s="19">
        <v>23864.5</v>
      </c>
      <c r="AE119" s="19">
        <v>24040</v>
      </c>
      <c r="AF119" s="19">
        <v>24223</v>
      </c>
      <c r="AG119" s="19">
        <v>24413.8</v>
      </c>
      <c r="AH119" s="19">
        <v>24612.7</v>
      </c>
      <c r="AI119" s="19">
        <v>24820</v>
      </c>
      <c r="AJ119" s="19">
        <v>25036.1</v>
      </c>
      <c r="AK119" s="19">
        <v>25261.200000000001</v>
      </c>
      <c r="AL119" s="19">
        <v>25495.9</v>
      </c>
      <c r="AM119" s="19">
        <v>25740.400000000001</v>
      </c>
      <c r="AN119" s="19">
        <v>25995.3</v>
      </c>
      <c r="AO119" s="19">
        <v>26261</v>
      </c>
      <c r="AP119" s="19">
        <v>26538</v>
      </c>
      <c r="AQ119" s="19">
        <v>26826.9</v>
      </c>
      <c r="AR119" s="19">
        <v>27128.3</v>
      </c>
      <c r="AS119" s="19">
        <v>27442.7</v>
      </c>
      <c r="AT119" s="19">
        <v>27771</v>
      </c>
      <c r="AU119" s="19">
        <v>28113.8</v>
      </c>
      <c r="AV119" s="19">
        <v>28472</v>
      </c>
      <c r="AW119" s="19">
        <v>28846.400000000001</v>
      </c>
      <c r="AX119" s="19">
        <v>28238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19">
        <v>0</v>
      </c>
      <c r="CL119" s="19">
        <v>0</v>
      </c>
      <c r="CM119" s="19">
        <v>0</v>
      </c>
      <c r="CN119" s="19">
        <v>0</v>
      </c>
      <c r="CO119" s="19">
        <v>0</v>
      </c>
      <c r="CP119" s="19">
        <v>0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</row>
    <row r="120" spans="2:111" x14ac:dyDescent="0.15">
      <c r="B120" s="19" t="str">
        <f t="shared" si="1"/>
        <v>5_男_16</v>
      </c>
      <c r="C120" s="18">
        <v>5</v>
      </c>
      <c r="D120" s="18" t="s">
        <v>9</v>
      </c>
      <c r="E120" s="18">
        <v>16</v>
      </c>
      <c r="F120" s="19">
        <v>3199.7</v>
      </c>
      <c r="G120" s="19">
        <v>7168.1</v>
      </c>
      <c r="H120" s="19">
        <v>11738.9</v>
      </c>
      <c r="I120" s="19">
        <v>16961.8</v>
      </c>
      <c r="J120" s="19">
        <v>21640.7</v>
      </c>
      <c r="K120" s="19">
        <v>21716.6</v>
      </c>
      <c r="L120" s="19">
        <v>21796.1</v>
      </c>
      <c r="M120" s="19">
        <v>21879.3</v>
      </c>
      <c r="N120" s="19">
        <v>21966.400000000001</v>
      </c>
      <c r="O120" s="19">
        <v>22057.599999999999</v>
      </c>
      <c r="P120" s="19">
        <v>22153</v>
      </c>
      <c r="Q120" s="19">
        <v>22252.9</v>
      </c>
      <c r="R120" s="19">
        <v>22357.3</v>
      </c>
      <c r="S120" s="19">
        <v>22466.5</v>
      </c>
      <c r="T120" s="19">
        <v>22580.6</v>
      </c>
      <c r="U120" s="19">
        <v>22699.9</v>
      </c>
      <c r="V120" s="19">
        <v>22824.6</v>
      </c>
      <c r="W120" s="19">
        <v>22954.799999999999</v>
      </c>
      <c r="X120" s="19">
        <v>23090.799999999999</v>
      </c>
      <c r="Y120" s="19">
        <v>23232.799999999999</v>
      </c>
      <c r="Z120" s="19">
        <v>23381</v>
      </c>
      <c r="AA120" s="19">
        <v>23535.599999999999</v>
      </c>
      <c r="AB120" s="19">
        <v>23697</v>
      </c>
      <c r="AC120" s="19">
        <v>23865.3</v>
      </c>
      <c r="AD120" s="19">
        <v>24040.9</v>
      </c>
      <c r="AE120" s="19">
        <v>24223.9</v>
      </c>
      <c r="AF120" s="19">
        <v>24414.7</v>
      </c>
      <c r="AG120" s="19">
        <v>24613.599999999999</v>
      </c>
      <c r="AH120" s="19">
        <v>24820.9</v>
      </c>
      <c r="AI120" s="19">
        <v>25036.9</v>
      </c>
      <c r="AJ120" s="19">
        <v>25262.1</v>
      </c>
      <c r="AK120" s="19">
        <v>25496.7</v>
      </c>
      <c r="AL120" s="19">
        <v>25741.200000000001</v>
      </c>
      <c r="AM120" s="19">
        <v>25996.1</v>
      </c>
      <c r="AN120" s="19">
        <v>26261.8</v>
      </c>
      <c r="AO120" s="19">
        <v>26538.7</v>
      </c>
      <c r="AP120" s="19">
        <v>26827.599999999999</v>
      </c>
      <c r="AQ120" s="19">
        <v>27128.9</v>
      </c>
      <c r="AR120" s="19">
        <v>27443.3</v>
      </c>
      <c r="AS120" s="19">
        <v>27771.5</v>
      </c>
      <c r="AT120" s="19">
        <v>28114.2</v>
      </c>
      <c r="AU120" s="19">
        <v>28472.3</v>
      </c>
      <c r="AV120" s="19">
        <v>28846.6</v>
      </c>
      <c r="AW120" s="19">
        <v>28238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19">
        <v>0</v>
      </c>
      <c r="CL120" s="19">
        <v>0</v>
      </c>
      <c r="CM120" s="19">
        <v>0</v>
      </c>
      <c r="CN120" s="19">
        <v>0</v>
      </c>
      <c r="CO120" s="19">
        <v>0</v>
      </c>
      <c r="CP120" s="19">
        <v>0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19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</row>
    <row r="121" spans="2:111" x14ac:dyDescent="0.15">
      <c r="B121" s="19" t="str">
        <f t="shared" si="1"/>
        <v>5_男_17</v>
      </c>
      <c r="C121" s="18">
        <v>5</v>
      </c>
      <c r="D121" s="18" t="s">
        <v>9</v>
      </c>
      <c r="E121" s="18">
        <v>17</v>
      </c>
      <c r="F121" s="19">
        <v>3210.6</v>
      </c>
      <c r="G121" s="19">
        <v>7192.4</v>
      </c>
      <c r="H121" s="19">
        <v>11778.6</v>
      </c>
      <c r="I121" s="19">
        <v>17019.099999999999</v>
      </c>
      <c r="J121" s="19">
        <v>21717.200000000001</v>
      </c>
      <c r="K121" s="19">
        <v>21796.7</v>
      </c>
      <c r="L121" s="19">
        <v>21879.9</v>
      </c>
      <c r="M121" s="19">
        <v>21967</v>
      </c>
      <c r="N121" s="19">
        <v>22058.2</v>
      </c>
      <c r="O121" s="19">
        <v>22153.7</v>
      </c>
      <c r="P121" s="19">
        <v>22253.5</v>
      </c>
      <c r="Q121" s="19">
        <v>22358</v>
      </c>
      <c r="R121" s="19">
        <v>22467.200000000001</v>
      </c>
      <c r="S121" s="19">
        <v>22581.3</v>
      </c>
      <c r="T121" s="19">
        <v>22700.7</v>
      </c>
      <c r="U121" s="19">
        <v>22825.4</v>
      </c>
      <c r="V121" s="19">
        <v>22955.599999999999</v>
      </c>
      <c r="W121" s="19">
        <v>23091.599999999999</v>
      </c>
      <c r="X121" s="19">
        <v>23233.599999999999</v>
      </c>
      <c r="Y121" s="19">
        <v>23381.8</v>
      </c>
      <c r="Z121" s="19">
        <v>23536.5</v>
      </c>
      <c r="AA121" s="19">
        <v>23697.9</v>
      </c>
      <c r="AB121" s="19">
        <v>23866.2</v>
      </c>
      <c r="AC121" s="19">
        <v>24041.7</v>
      </c>
      <c r="AD121" s="19">
        <v>24224.799999999999</v>
      </c>
      <c r="AE121" s="19">
        <v>24415.599999999999</v>
      </c>
      <c r="AF121" s="19">
        <v>24614.5</v>
      </c>
      <c r="AG121" s="19">
        <v>24821.8</v>
      </c>
      <c r="AH121" s="19">
        <v>25037.8</v>
      </c>
      <c r="AI121" s="19">
        <v>25263</v>
      </c>
      <c r="AJ121" s="19">
        <v>25497.599999999999</v>
      </c>
      <c r="AK121" s="19">
        <v>25742.1</v>
      </c>
      <c r="AL121" s="19">
        <v>25996.9</v>
      </c>
      <c r="AM121" s="19">
        <v>26262.6</v>
      </c>
      <c r="AN121" s="19">
        <v>26539.5</v>
      </c>
      <c r="AO121" s="19">
        <v>26828.3</v>
      </c>
      <c r="AP121" s="19">
        <v>27129.5</v>
      </c>
      <c r="AQ121" s="19">
        <v>27443.9</v>
      </c>
      <c r="AR121" s="19">
        <v>27772</v>
      </c>
      <c r="AS121" s="19">
        <v>28114.6</v>
      </c>
      <c r="AT121" s="19">
        <v>28472.6</v>
      </c>
      <c r="AU121" s="19">
        <v>28846.7</v>
      </c>
      <c r="AV121" s="19">
        <v>28238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9">
        <v>0</v>
      </c>
      <c r="CH121" s="19">
        <v>0</v>
      </c>
      <c r="CI121" s="19">
        <v>0</v>
      </c>
      <c r="CJ121" s="19">
        <v>0</v>
      </c>
      <c r="CK121" s="19">
        <v>0</v>
      </c>
      <c r="CL121" s="19">
        <v>0</v>
      </c>
      <c r="CM121" s="19">
        <v>0</v>
      </c>
      <c r="CN121" s="19">
        <v>0</v>
      </c>
      <c r="CO121" s="19">
        <v>0</v>
      </c>
      <c r="CP121" s="19">
        <v>0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0</v>
      </c>
      <c r="CX121" s="19">
        <v>0</v>
      </c>
      <c r="CY121" s="19">
        <v>0</v>
      </c>
      <c r="CZ121" s="19">
        <v>0</v>
      </c>
      <c r="DA121" s="19">
        <v>0</v>
      </c>
      <c r="DB121" s="19">
        <v>0</v>
      </c>
      <c r="DC121" s="19">
        <v>0</v>
      </c>
      <c r="DD121" s="19">
        <v>0</v>
      </c>
      <c r="DE121" s="19">
        <v>0</v>
      </c>
      <c r="DF121" s="19">
        <v>0</v>
      </c>
      <c r="DG121" s="19">
        <v>0</v>
      </c>
    </row>
    <row r="122" spans="2:111" x14ac:dyDescent="0.15">
      <c r="B122" s="19" t="str">
        <f t="shared" si="1"/>
        <v>5_男_18</v>
      </c>
      <c r="C122" s="18">
        <v>5</v>
      </c>
      <c r="D122" s="18" t="s">
        <v>9</v>
      </c>
      <c r="E122" s="18">
        <v>18</v>
      </c>
      <c r="F122" s="19">
        <v>3221.9</v>
      </c>
      <c r="G122" s="19">
        <v>7217.8</v>
      </c>
      <c r="H122" s="19">
        <v>11820.2</v>
      </c>
      <c r="I122" s="19">
        <v>17079.2</v>
      </c>
      <c r="J122" s="19">
        <v>21797.3</v>
      </c>
      <c r="K122" s="19">
        <v>21880.5</v>
      </c>
      <c r="L122" s="19">
        <v>21967.7</v>
      </c>
      <c r="M122" s="19">
        <v>22058.9</v>
      </c>
      <c r="N122" s="19">
        <v>22154.3</v>
      </c>
      <c r="O122" s="19">
        <v>22254.2</v>
      </c>
      <c r="P122" s="19">
        <v>22358.7</v>
      </c>
      <c r="Q122" s="19">
        <v>22467.9</v>
      </c>
      <c r="R122" s="19">
        <v>22582.1</v>
      </c>
      <c r="S122" s="19">
        <v>22701.4</v>
      </c>
      <c r="T122" s="19">
        <v>22826.1</v>
      </c>
      <c r="U122" s="19">
        <v>22956.400000000001</v>
      </c>
      <c r="V122" s="19">
        <v>23092.400000000001</v>
      </c>
      <c r="W122" s="19">
        <v>23234.400000000001</v>
      </c>
      <c r="X122" s="19">
        <v>23382.7</v>
      </c>
      <c r="Y122" s="19">
        <v>23537.4</v>
      </c>
      <c r="Z122" s="19">
        <v>23698.799999999999</v>
      </c>
      <c r="AA122" s="19">
        <v>23867.1</v>
      </c>
      <c r="AB122" s="19">
        <v>24042.7</v>
      </c>
      <c r="AC122" s="19">
        <v>24225.7</v>
      </c>
      <c r="AD122" s="19">
        <v>24416.5</v>
      </c>
      <c r="AE122" s="19">
        <v>24615.4</v>
      </c>
      <c r="AF122" s="19">
        <v>24822.7</v>
      </c>
      <c r="AG122" s="19">
        <v>25038.799999999999</v>
      </c>
      <c r="AH122" s="19">
        <v>25263.9</v>
      </c>
      <c r="AI122" s="19">
        <v>25498.5</v>
      </c>
      <c r="AJ122" s="19">
        <v>25743</v>
      </c>
      <c r="AK122" s="19">
        <v>25997.8</v>
      </c>
      <c r="AL122" s="19">
        <v>26263.4</v>
      </c>
      <c r="AM122" s="19">
        <v>26540.3</v>
      </c>
      <c r="AN122" s="19">
        <v>26829</v>
      </c>
      <c r="AO122" s="19">
        <v>27130.2</v>
      </c>
      <c r="AP122" s="19">
        <v>27444.400000000001</v>
      </c>
      <c r="AQ122" s="19">
        <v>27772.5</v>
      </c>
      <c r="AR122" s="19">
        <v>28115</v>
      </c>
      <c r="AS122" s="19">
        <v>28472.9</v>
      </c>
      <c r="AT122" s="19">
        <v>28846.9</v>
      </c>
      <c r="AU122" s="19">
        <v>28238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0</v>
      </c>
      <c r="CN122" s="19">
        <v>0</v>
      </c>
      <c r="CO122" s="19">
        <v>0</v>
      </c>
      <c r="CP122" s="19">
        <v>0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</row>
    <row r="123" spans="2:111" x14ac:dyDescent="0.15">
      <c r="B123" s="19" t="str">
        <f t="shared" si="1"/>
        <v>5_男_19</v>
      </c>
      <c r="C123" s="18">
        <v>5</v>
      </c>
      <c r="D123" s="18" t="s">
        <v>9</v>
      </c>
      <c r="E123" s="18">
        <v>19</v>
      </c>
      <c r="F123" s="19">
        <v>3233.9</v>
      </c>
      <c r="G123" s="19">
        <v>7244.4</v>
      </c>
      <c r="H123" s="19">
        <v>11863.8</v>
      </c>
      <c r="I123" s="19">
        <v>17142.099999999999</v>
      </c>
      <c r="J123" s="19">
        <v>21881.200000000001</v>
      </c>
      <c r="K123" s="19">
        <v>21968.3</v>
      </c>
      <c r="L123" s="19">
        <v>22059.5</v>
      </c>
      <c r="M123" s="19">
        <v>22155</v>
      </c>
      <c r="N123" s="19">
        <v>22254.9</v>
      </c>
      <c r="O123" s="19">
        <v>22359.4</v>
      </c>
      <c r="P123" s="19">
        <v>22468.6</v>
      </c>
      <c r="Q123" s="19">
        <v>22582.799999999999</v>
      </c>
      <c r="R123" s="19">
        <v>22702.2</v>
      </c>
      <c r="S123" s="19">
        <v>22826.9</v>
      </c>
      <c r="T123" s="19">
        <v>22957.200000000001</v>
      </c>
      <c r="U123" s="19">
        <v>23093.3</v>
      </c>
      <c r="V123" s="19">
        <v>23235.3</v>
      </c>
      <c r="W123" s="19">
        <v>23383.599999999999</v>
      </c>
      <c r="X123" s="19">
        <v>23538.3</v>
      </c>
      <c r="Y123" s="19">
        <v>23699.7</v>
      </c>
      <c r="Z123" s="19">
        <v>23868</v>
      </c>
      <c r="AA123" s="19">
        <v>24043.599999999999</v>
      </c>
      <c r="AB123" s="19">
        <v>24226.6</v>
      </c>
      <c r="AC123" s="19">
        <v>24417.5</v>
      </c>
      <c r="AD123" s="19">
        <v>24616.400000000001</v>
      </c>
      <c r="AE123" s="19">
        <v>24823.7</v>
      </c>
      <c r="AF123" s="19">
        <v>25039.7</v>
      </c>
      <c r="AG123" s="19">
        <v>25264.799999999999</v>
      </c>
      <c r="AH123" s="19">
        <v>25499.4</v>
      </c>
      <c r="AI123" s="19">
        <v>25743.9</v>
      </c>
      <c r="AJ123" s="19">
        <v>25998.7</v>
      </c>
      <c r="AK123" s="19">
        <v>26264.2</v>
      </c>
      <c r="AL123" s="19">
        <v>26541.1</v>
      </c>
      <c r="AM123" s="19">
        <v>26829.7</v>
      </c>
      <c r="AN123" s="19">
        <v>27130.9</v>
      </c>
      <c r="AO123" s="19">
        <v>27445</v>
      </c>
      <c r="AP123" s="19">
        <v>27773</v>
      </c>
      <c r="AQ123" s="19">
        <v>28115.4</v>
      </c>
      <c r="AR123" s="19">
        <v>28473.1</v>
      </c>
      <c r="AS123" s="19">
        <v>28847</v>
      </c>
      <c r="AT123" s="19">
        <v>28238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0</v>
      </c>
      <c r="CN123" s="19">
        <v>0</v>
      </c>
      <c r="CO123" s="19">
        <v>0</v>
      </c>
      <c r="CP123" s="19">
        <v>0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</row>
    <row r="124" spans="2:111" x14ac:dyDescent="0.15">
      <c r="B124" s="19" t="str">
        <f t="shared" si="1"/>
        <v>5_男_20</v>
      </c>
      <c r="C124" s="18">
        <v>5</v>
      </c>
      <c r="D124" s="18" t="s">
        <v>9</v>
      </c>
      <c r="E124" s="18">
        <v>20</v>
      </c>
      <c r="F124" s="19">
        <v>3246.3</v>
      </c>
      <c r="G124" s="19">
        <v>7272.4</v>
      </c>
      <c r="H124" s="19">
        <v>11909.5</v>
      </c>
      <c r="I124" s="19">
        <v>17208</v>
      </c>
      <c r="J124" s="19">
        <v>21969</v>
      </c>
      <c r="K124" s="19">
        <v>22060.2</v>
      </c>
      <c r="L124" s="19">
        <v>22155.7</v>
      </c>
      <c r="M124" s="19">
        <v>22255.599999999999</v>
      </c>
      <c r="N124" s="19">
        <v>22360.1</v>
      </c>
      <c r="O124" s="19">
        <v>22469.4</v>
      </c>
      <c r="P124" s="19">
        <v>22583.599999999999</v>
      </c>
      <c r="Q124" s="19">
        <v>22703</v>
      </c>
      <c r="R124" s="19">
        <v>22827.8</v>
      </c>
      <c r="S124" s="19">
        <v>22958.1</v>
      </c>
      <c r="T124" s="19">
        <v>23094.1</v>
      </c>
      <c r="U124" s="19">
        <v>23236.2</v>
      </c>
      <c r="V124" s="19">
        <v>23384.5</v>
      </c>
      <c r="W124" s="19">
        <v>23539.200000000001</v>
      </c>
      <c r="X124" s="19">
        <v>23700.6</v>
      </c>
      <c r="Y124" s="19">
        <v>23869</v>
      </c>
      <c r="Z124" s="19">
        <v>24044.6</v>
      </c>
      <c r="AA124" s="19">
        <v>24227.599999999999</v>
      </c>
      <c r="AB124" s="19">
        <v>24418.5</v>
      </c>
      <c r="AC124" s="19">
        <v>24617.4</v>
      </c>
      <c r="AD124" s="19">
        <v>24824.7</v>
      </c>
      <c r="AE124" s="19">
        <v>25040.7</v>
      </c>
      <c r="AF124" s="19">
        <v>25265.8</v>
      </c>
      <c r="AG124" s="19">
        <v>25500.400000000001</v>
      </c>
      <c r="AH124" s="19">
        <v>25744.799999999999</v>
      </c>
      <c r="AI124" s="19">
        <v>25999.599999999999</v>
      </c>
      <c r="AJ124" s="19">
        <v>26265.1</v>
      </c>
      <c r="AK124" s="19">
        <v>26541.9</v>
      </c>
      <c r="AL124" s="19">
        <v>26830.5</v>
      </c>
      <c r="AM124" s="19">
        <v>27131.599999999999</v>
      </c>
      <c r="AN124" s="19">
        <v>27445.7</v>
      </c>
      <c r="AO124" s="19">
        <v>27773.5</v>
      </c>
      <c r="AP124" s="19">
        <v>28115.8</v>
      </c>
      <c r="AQ124" s="19">
        <v>28473.4</v>
      </c>
      <c r="AR124" s="19">
        <v>28847.200000000001</v>
      </c>
      <c r="AS124" s="19">
        <v>28238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</row>
    <row r="125" spans="2:111" x14ac:dyDescent="0.15">
      <c r="B125" s="19" t="str">
        <f t="shared" si="1"/>
        <v>5_男_21</v>
      </c>
      <c r="C125" s="18">
        <v>5</v>
      </c>
      <c r="D125" s="18" t="s">
        <v>9</v>
      </c>
      <c r="E125" s="18">
        <v>21</v>
      </c>
      <c r="F125" s="19">
        <v>3259.4</v>
      </c>
      <c r="G125" s="19">
        <v>7301.6</v>
      </c>
      <c r="H125" s="19">
        <v>11957.3</v>
      </c>
      <c r="I125" s="19">
        <v>17276.900000000001</v>
      </c>
      <c r="J125" s="19">
        <v>22060.9</v>
      </c>
      <c r="K125" s="19">
        <v>22156.400000000001</v>
      </c>
      <c r="L125" s="19">
        <v>22256.400000000001</v>
      </c>
      <c r="M125" s="19">
        <v>22360.9</v>
      </c>
      <c r="N125" s="19">
        <v>22470.2</v>
      </c>
      <c r="O125" s="19">
        <v>22584.400000000001</v>
      </c>
      <c r="P125" s="19">
        <v>22703.9</v>
      </c>
      <c r="Q125" s="19">
        <v>22828.6</v>
      </c>
      <c r="R125" s="19">
        <v>22958.9</v>
      </c>
      <c r="S125" s="19">
        <v>23095</v>
      </c>
      <c r="T125" s="19">
        <v>23237.1</v>
      </c>
      <c r="U125" s="19">
        <v>23385.4</v>
      </c>
      <c r="V125" s="19">
        <v>23540.1</v>
      </c>
      <c r="W125" s="19">
        <v>23701.599999999999</v>
      </c>
      <c r="X125" s="19">
        <v>23870</v>
      </c>
      <c r="Y125" s="19">
        <v>24045.5</v>
      </c>
      <c r="Z125" s="19">
        <v>24228.6</v>
      </c>
      <c r="AA125" s="19">
        <v>24419.5</v>
      </c>
      <c r="AB125" s="19">
        <v>24618.400000000001</v>
      </c>
      <c r="AC125" s="19">
        <v>24825.7</v>
      </c>
      <c r="AD125" s="19">
        <v>25041.7</v>
      </c>
      <c r="AE125" s="19">
        <v>25266.799999999999</v>
      </c>
      <c r="AF125" s="19">
        <v>25501.3</v>
      </c>
      <c r="AG125" s="19">
        <v>25745.8</v>
      </c>
      <c r="AH125" s="19">
        <v>26000.5</v>
      </c>
      <c r="AI125" s="19">
        <v>26266</v>
      </c>
      <c r="AJ125" s="19">
        <v>26542.7</v>
      </c>
      <c r="AK125" s="19">
        <v>26831.3</v>
      </c>
      <c r="AL125" s="19">
        <v>27132.3</v>
      </c>
      <c r="AM125" s="19">
        <v>27446.3</v>
      </c>
      <c r="AN125" s="19">
        <v>27774.1</v>
      </c>
      <c r="AO125" s="19">
        <v>28116.3</v>
      </c>
      <c r="AP125" s="19">
        <v>28473.8</v>
      </c>
      <c r="AQ125" s="19">
        <v>28847.4</v>
      </c>
      <c r="AR125" s="19">
        <v>28238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0</v>
      </c>
      <c r="CR125" s="19">
        <v>0</v>
      </c>
      <c r="CS125" s="19">
        <v>0</v>
      </c>
      <c r="CT125" s="19">
        <v>0</v>
      </c>
      <c r="CU125" s="19">
        <v>0</v>
      </c>
      <c r="CV125" s="19">
        <v>0</v>
      </c>
      <c r="CW125" s="19">
        <v>0</v>
      </c>
      <c r="CX125" s="19">
        <v>0</v>
      </c>
      <c r="CY125" s="19">
        <v>0</v>
      </c>
      <c r="CZ125" s="19">
        <v>0</v>
      </c>
      <c r="DA125" s="19">
        <v>0</v>
      </c>
      <c r="DB125" s="19">
        <v>0</v>
      </c>
      <c r="DC125" s="19">
        <v>0</v>
      </c>
      <c r="DD125" s="19">
        <v>0</v>
      </c>
      <c r="DE125" s="19">
        <v>0</v>
      </c>
      <c r="DF125" s="19">
        <v>0</v>
      </c>
      <c r="DG125" s="19">
        <v>0</v>
      </c>
    </row>
    <row r="126" spans="2:111" x14ac:dyDescent="0.15">
      <c r="B126" s="19" t="str">
        <f t="shared" si="1"/>
        <v>5_男_22</v>
      </c>
      <c r="C126" s="18">
        <v>5</v>
      </c>
      <c r="D126" s="18" t="s">
        <v>9</v>
      </c>
      <c r="E126" s="18">
        <v>22</v>
      </c>
      <c r="F126" s="19">
        <v>3273.1</v>
      </c>
      <c r="G126" s="19">
        <v>7332.2</v>
      </c>
      <c r="H126" s="19">
        <v>12007.3</v>
      </c>
      <c r="I126" s="19">
        <v>17349.2</v>
      </c>
      <c r="J126" s="19">
        <v>22157.200000000001</v>
      </c>
      <c r="K126" s="19">
        <v>22257.1</v>
      </c>
      <c r="L126" s="19">
        <v>22361.7</v>
      </c>
      <c r="M126" s="19">
        <v>22471</v>
      </c>
      <c r="N126" s="19">
        <v>22585.3</v>
      </c>
      <c r="O126" s="19">
        <v>22704.7</v>
      </c>
      <c r="P126" s="19">
        <v>22829.5</v>
      </c>
      <c r="Q126" s="19">
        <v>22959.8</v>
      </c>
      <c r="R126" s="19">
        <v>23095.9</v>
      </c>
      <c r="S126" s="19">
        <v>23238</v>
      </c>
      <c r="T126" s="19">
        <v>23386.400000000001</v>
      </c>
      <c r="U126" s="19">
        <v>23541.1</v>
      </c>
      <c r="V126" s="19">
        <v>23702.6</v>
      </c>
      <c r="W126" s="19">
        <v>23871</v>
      </c>
      <c r="X126" s="19">
        <v>24046.6</v>
      </c>
      <c r="Y126" s="19">
        <v>24229.7</v>
      </c>
      <c r="Z126" s="19">
        <v>24420.5</v>
      </c>
      <c r="AA126" s="19">
        <v>24619.4</v>
      </c>
      <c r="AB126" s="19">
        <v>24826.7</v>
      </c>
      <c r="AC126" s="19">
        <v>25042.7</v>
      </c>
      <c r="AD126" s="19">
        <v>25267.8</v>
      </c>
      <c r="AE126" s="19">
        <v>25502.400000000001</v>
      </c>
      <c r="AF126" s="19">
        <v>25746.799999999999</v>
      </c>
      <c r="AG126" s="19">
        <v>26001.4</v>
      </c>
      <c r="AH126" s="19">
        <v>26266.9</v>
      </c>
      <c r="AI126" s="19">
        <v>26543.599999999999</v>
      </c>
      <c r="AJ126" s="19">
        <v>26832.1</v>
      </c>
      <c r="AK126" s="19">
        <v>27133</v>
      </c>
      <c r="AL126" s="19">
        <v>27447</v>
      </c>
      <c r="AM126" s="19">
        <v>27774.6</v>
      </c>
      <c r="AN126" s="19">
        <v>28116.7</v>
      </c>
      <c r="AO126" s="19">
        <v>28474.1</v>
      </c>
      <c r="AP126" s="19">
        <v>28847.5</v>
      </c>
      <c r="AQ126" s="19">
        <v>28238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</v>
      </c>
      <c r="CR126" s="19">
        <v>0</v>
      </c>
      <c r="CS126" s="19">
        <v>0</v>
      </c>
      <c r="CT126" s="19">
        <v>0</v>
      </c>
      <c r="CU126" s="19">
        <v>0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</row>
    <row r="127" spans="2:111" x14ac:dyDescent="0.15">
      <c r="B127" s="19" t="str">
        <f t="shared" si="1"/>
        <v>5_男_23</v>
      </c>
      <c r="C127" s="18">
        <v>5</v>
      </c>
      <c r="D127" s="18" t="s">
        <v>9</v>
      </c>
      <c r="E127" s="18">
        <v>23</v>
      </c>
      <c r="F127" s="19">
        <v>3287.4</v>
      </c>
      <c r="G127" s="19">
        <v>7364.3</v>
      </c>
      <c r="H127" s="19">
        <v>12059.7</v>
      </c>
      <c r="I127" s="19">
        <v>17424.8</v>
      </c>
      <c r="J127" s="19">
        <v>22257.9</v>
      </c>
      <c r="K127" s="19">
        <v>22362.5</v>
      </c>
      <c r="L127" s="19">
        <v>22471.8</v>
      </c>
      <c r="M127" s="19">
        <v>22586.1</v>
      </c>
      <c r="N127" s="19">
        <v>22705.599999999999</v>
      </c>
      <c r="O127" s="19">
        <v>22830.400000000001</v>
      </c>
      <c r="P127" s="19">
        <v>22960.799999999999</v>
      </c>
      <c r="Q127" s="19">
        <v>23096.9</v>
      </c>
      <c r="R127" s="19">
        <v>23239</v>
      </c>
      <c r="S127" s="19">
        <v>23387.3</v>
      </c>
      <c r="T127" s="19">
        <v>23542.1</v>
      </c>
      <c r="U127" s="19">
        <v>23703.599999999999</v>
      </c>
      <c r="V127" s="19">
        <v>23872</v>
      </c>
      <c r="W127" s="19">
        <v>24047.599999999999</v>
      </c>
      <c r="X127" s="19">
        <v>24230.7</v>
      </c>
      <c r="Y127" s="19">
        <v>24421.599999999999</v>
      </c>
      <c r="Z127" s="19">
        <v>24620.5</v>
      </c>
      <c r="AA127" s="19">
        <v>24827.8</v>
      </c>
      <c r="AB127" s="19">
        <v>25043.8</v>
      </c>
      <c r="AC127" s="19">
        <v>25268.9</v>
      </c>
      <c r="AD127" s="19">
        <v>25503.4</v>
      </c>
      <c r="AE127" s="19">
        <v>25747.8</v>
      </c>
      <c r="AF127" s="19">
        <v>26002.400000000001</v>
      </c>
      <c r="AG127" s="19">
        <v>26267.8</v>
      </c>
      <c r="AH127" s="19">
        <v>26544.5</v>
      </c>
      <c r="AI127" s="19">
        <v>26832.9</v>
      </c>
      <c r="AJ127" s="19">
        <v>27133.8</v>
      </c>
      <c r="AK127" s="19">
        <v>27447.599999999999</v>
      </c>
      <c r="AL127" s="19">
        <v>27775.200000000001</v>
      </c>
      <c r="AM127" s="19">
        <v>28117.200000000001</v>
      </c>
      <c r="AN127" s="19">
        <v>28474.400000000001</v>
      </c>
      <c r="AO127" s="19">
        <v>28847.7</v>
      </c>
      <c r="AP127" s="19">
        <v>28238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</row>
    <row r="128" spans="2:111" x14ac:dyDescent="0.15">
      <c r="B128" s="19" t="str">
        <f t="shared" si="1"/>
        <v>5_男_24</v>
      </c>
      <c r="C128" s="18">
        <v>5</v>
      </c>
      <c r="D128" s="18" t="s">
        <v>9</v>
      </c>
      <c r="E128" s="18">
        <v>24</v>
      </c>
      <c r="F128" s="19">
        <v>3302.4</v>
      </c>
      <c r="G128" s="19">
        <v>7397.8</v>
      </c>
      <c r="H128" s="19">
        <v>12114.6</v>
      </c>
      <c r="I128" s="19">
        <v>17503.900000000001</v>
      </c>
      <c r="J128" s="19">
        <v>22363.3</v>
      </c>
      <c r="K128" s="19">
        <v>22472.7</v>
      </c>
      <c r="L128" s="19">
        <v>22587</v>
      </c>
      <c r="M128" s="19">
        <v>22706.5</v>
      </c>
      <c r="N128" s="19">
        <v>22831.3</v>
      </c>
      <c r="O128" s="19">
        <v>22961.7</v>
      </c>
      <c r="P128" s="19">
        <v>23097.9</v>
      </c>
      <c r="Q128" s="19">
        <v>23240</v>
      </c>
      <c r="R128" s="19">
        <v>23388.400000000001</v>
      </c>
      <c r="S128" s="19">
        <v>23543.200000000001</v>
      </c>
      <c r="T128" s="19">
        <v>23704.7</v>
      </c>
      <c r="U128" s="19">
        <v>23873.1</v>
      </c>
      <c r="V128" s="19">
        <v>24048.7</v>
      </c>
      <c r="W128" s="19">
        <v>24231.8</v>
      </c>
      <c r="X128" s="19">
        <v>24422.7</v>
      </c>
      <c r="Y128" s="19">
        <v>24621.599999999999</v>
      </c>
      <c r="Z128" s="19">
        <v>24828.9</v>
      </c>
      <c r="AA128" s="19">
        <v>25044.9</v>
      </c>
      <c r="AB128" s="19">
        <v>25270</v>
      </c>
      <c r="AC128" s="19">
        <v>25504.5</v>
      </c>
      <c r="AD128" s="19">
        <v>25748.799999999999</v>
      </c>
      <c r="AE128" s="19">
        <v>26003.4</v>
      </c>
      <c r="AF128" s="19">
        <v>26268.799999999999</v>
      </c>
      <c r="AG128" s="19">
        <v>26545.4</v>
      </c>
      <c r="AH128" s="19">
        <v>26833.8</v>
      </c>
      <c r="AI128" s="19">
        <v>27134.6</v>
      </c>
      <c r="AJ128" s="19">
        <v>27448.3</v>
      </c>
      <c r="AK128" s="19">
        <v>27775.8</v>
      </c>
      <c r="AL128" s="19">
        <v>28117.7</v>
      </c>
      <c r="AM128" s="19">
        <v>28474.7</v>
      </c>
      <c r="AN128" s="19">
        <v>28847.9</v>
      </c>
      <c r="AO128" s="19">
        <v>28238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0</v>
      </c>
      <c r="CR128" s="19">
        <v>0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</row>
    <row r="129" spans="2:111" x14ac:dyDescent="0.15">
      <c r="B129" s="19" t="str">
        <f t="shared" si="1"/>
        <v>5_男_25</v>
      </c>
      <c r="C129" s="18">
        <v>5</v>
      </c>
      <c r="D129" s="18" t="s">
        <v>9</v>
      </c>
      <c r="E129" s="18">
        <v>25</v>
      </c>
      <c r="F129" s="19">
        <v>3318.1</v>
      </c>
      <c r="G129" s="19">
        <v>7432.9</v>
      </c>
      <c r="H129" s="19">
        <v>12172</v>
      </c>
      <c r="I129" s="19">
        <v>17586.599999999999</v>
      </c>
      <c r="J129" s="19">
        <v>22473.599999999999</v>
      </c>
      <c r="K129" s="19">
        <v>22587.9</v>
      </c>
      <c r="L129" s="19">
        <v>22707.4</v>
      </c>
      <c r="M129" s="19">
        <v>22832.3</v>
      </c>
      <c r="N129" s="19">
        <v>22962.7</v>
      </c>
      <c r="O129" s="19">
        <v>23098.9</v>
      </c>
      <c r="P129" s="19">
        <v>23241</v>
      </c>
      <c r="Q129" s="19">
        <v>23389.4</v>
      </c>
      <c r="R129" s="19">
        <v>23544.2</v>
      </c>
      <c r="S129" s="19">
        <v>23705.7</v>
      </c>
      <c r="T129" s="19">
        <v>23874.2</v>
      </c>
      <c r="U129" s="19">
        <v>24049.8</v>
      </c>
      <c r="V129" s="19">
        <v>24232.9</v>
      </c>
      <c r="W129" s="19">
        <v>24423.8</v>
      </c>
      <c r="X129" s="19">
        <v>24622.7</v>
      </c>
      <c r="Y129" s="19">
        <v>24830</v>
      </c>
      <c r="Z129" s="19">
        <v>25046</v>
      </c>
      <c r="AA129" s="19">
        <v>25271.1</v>
      </c>
      <c r="AB129" s="19">
        <v>25505.599999999999</v>
      </c>
      <c r="AC129" s="19">
        <v>25749.9</v>
      </c>
      <c r="AD129" s="19">
        <v>26004.5</v>
      </c>
      <c r="AE129" s="19">
        <v>26269.8</v>
      </c>
      <c r="AF129" s="19">
        <v>26546.400000000001</v>
      </c>
      <c r="AG129" s="19">
        <v>26834.7</v>
      </c>
      <c r="AH129" s="19">
        <v>27135.4</v>
      </c>
      <c r="AI129" s="19">
        <v>27449.1</v>
      </c>
      <c r="AJ129" s="19">
        <v>27776.400000000001</v>
      </c>
      <c r="AK129" s="19">
        <v>28118.2</v>
      </c>
      <c r="AL129" s="19">
        <v>28475.1</v>
      </c>
      <c r="AM129" s="19">
        <v>28848.1</v>
      </c>
      <c r="AN129" s="19">
        <v>28238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>
        <v>0</v>
      </c>
      <c r="BW129" s="19">
        <v>0</v>
      </c>
      <c r="BX129" s="19">
        <v>0</v>
      </c>
      <c r="BY129" s="19">
        <v>0</v>
      </c>
      <c r="BZ129" s="19">
        <v>0</v>
      </c>
      <c r="CA129" s="19">
        <v>0</v>
      </c>
      <c r="CB129" s="19">
        <v>0</v>
      </c>
      <c r="CC129" s="19">
        <v>0</v>
      </c>
      <c r="CD129" s="19">
        <v>0</v>
      </c>
      <c r="CE129" s="19">
        <v>0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0</v>
      </c>
      <c r="CN129" s="19">
        <v>0</v>
      </c>
      <c r="CO129" s="19">
        <v>0</v>
      </c>
      <c r="CP129" s="19">
        <v>0</v>
      </c>
      <c r="CQ129" s="19">
        <v>0</v>
      </c>
      <c r="CR129" s="19">
        <v>0</v>
      </c>
      <c r="CS129" s="19">
        <v>0</v>
      </c>
      <c r="CT129" s="19">
        <v>0</v>
      </c>
      <c r="CU129" s="19">
        <v>0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G129" s="19">
        <v>0</v>
      </c>
    </row>
    <row r="130" spans="2:111" x14ac:dyDescent="0.15">
      <c r="B130" s="19" t="str">
        <f t="shared" si="1"/>
        <v>5_男_26</v>
      </c>
      <c r="C130" s="18">
        <v>5</v>
      </c>
      <c r="D130" s="18" t="s">
        <v>9</v>
      </c>
      <c r="E130" s="18">
        <v>26</v>
      </c>
      <c r="F130" s="19">
        <v>3334.5</v>
      </c>
      <c r="G130" s="19">
        <v>7469.6</v>
      </c>
      <c r="H130" s="19">
        <v>12232</v>
      </c>
      <c r="I130" s="19">
        <v>17673.2</v>
      </c>
      <c r="J130" s="19">
        <v>22588.799999999999</v>
      </c>
      <c r="K130" s="19">
        <v>22708.400000000001</v>
      </c>
      <c r="L130" s="19">
        <v>22833.3</v>
      </c>
      <c r="M130" s="19">
        <v>22963.7</v>
      </c>
      <c r="N130" s="19">
        <v>23099.9</v>
      </c>
      <c r="O130" s="19">
        <v>23242.1</v>
      </c>
      <c r="P130" s="19">
        <v>23390.5</v>
      </c>
      <c r="Q130" s="19">
        <v>23545.3</v>
      </c>
      <c r="R130" s="19">
        <v>23706.9</v>
      </c>
      <c r="S130" s="19">
        <v>23875.3</v>
      </c>
      <c r="T130" s="19">
        <v>24051</v>
      </c>
      <c r="U130" s="19">
        <v>24234.1</v>
      </c>
      <c r="V130" s="19">
        <v>24425</v>
      </c>
      <c r="W130" s="19">
        <v>24623.9</v>
      </c>
      <c r="X130" s="19">
        <v>24831.200000000001</v>
      </c>
      <c r="Y130" s="19">
        <v>25047.200000000001</v>
      </c>
      <c r="Z130" s="19">
        <v>25272.2</v>
      </c>
      <c r="AA130" s="19">
        <v>25506.7</v>
      </c>
      <c r="AB130" s="19">
        <v>25751</v>
      </c>
      <c r="AC130" s="19">
        <v>26005.599999999999</v>
      </c>
      <c r="AD130" s="19">
        <v>26270.799999999999</v>
      </c>
      <c r="AE130" s="19">
        <v>26547.3</v>
      </c>
      <c r="AF130" s="19">
        <v>26835.599999999999</v>
      </c>
      <c r="AG130" s="19">
        <v>27136.2</v>
      </c>
      <c r="AH130" s="19">
        <v>27449.8</v>
      </c>
      <c r="AI130" s="19">
        <v>27777</v>
      </c>
      <c r="AJ130" s="19">
        <v>28118.7</v>
      </c>
      <c r="AK130" s="19">
        <v>28475.5</v>
      </c>
      <c r="AL130" s="19">
        <v>28848.3</v>
      </c>
      <c r="AM130" s="19">
        <v>28238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>
        <v>0</v>
      </c>
      <c r="BW130" s="19">
        <v>0</v>
      </c>
      <c r="BX130" s="19">
        <v>0</v>
      </c>
      <c r="BY130" s="19">
        <v>0</v>
      </c>
      <c r="BZ130" s="19">
        <v>0</v>
      </c>
      <c r="CA130" s="19">
        <v>0</v>
      </c>
      <c r="CB130" s="19">
        <v>0</v>
      </c>
      <c r="CC130" s="19">
        <v>0</v>
      </c>
      <c r="CD130" s="19">
        <v>0</v>
      </c>
      <c r="CE130" s="19">
        <v>0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19">
        <v>0</v>
      </c>
      <c r="CL130" s="19">
        <v>0</v>
      </c>
      <c r="CM130" s="19">
        <v>0</v>
      </c>
      <c r="CN130" s="19">
        <v>0</v>
      </c>
      <c r="CO130" s="19">
        <v>0</v>
      </c>
      <c r="CP130" s="19">
        <v>0</v>
      </c>
      <c r="CQ130" s="19">
        <v>0</v>
      </c>
      <c r="CR130" s="19">
        <v>0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</row>
    <row r="131" spans="2:111" x14ac:dyDescent="0.15">
      <c r="B131" s="19" t="str">
        <f t="shared" ref="B131:B194" si="2">C131&amp;"_"&amp;D131&amp;"_"&amp;E131</f>
        <v>5_男_27</v>
      </c>
      <c r="C131" s="18">
        <v>5</v>
      </c>
      <c r="D131" s="18" t="s">
        <v>9</v>
      </c>
      <c r="E131" s="18">
        <v>27</v>
      </c>
      <c r="F131" s="19">
        <v>3351.7</v>
      </c>
      <c r="G131" s="19">
        <v>7508</v>
      </c>
      <c r="H131" s="19">
        <v>12294.7</v>
      </c>
      <c r="I131" s="19">
        <v>17763.7</v>
      </c>
      <c r="J131" s="19">
        <v>22709.4</v>
      </c>
      <c r="K131" s="19">
        <v>22834.3</v>
      </c>
      <c r="L131" s="19">
        <v>22964.7</v>
      </c>
      <c r="M131" s="19">
        <v>23101</v>
      </c>
      <c r="N131" s="19">
        <v>23243.200000000001</v>
      </c>
      <c r="O131" s="19">
        <v>23391.599999999999</v>
      </c>
      <c r="P131" s="19">
        <v>23546.5</v>
      </c>
      <c r="Q131" s="19">
        <v>23708</v>
      </c>
      <c r="R131" s="19">
        <v>23876.5</v>
      </c>
      <c r="S131" s="19">
        <v>24052.2</v>
      </c>
      <c r="T131" s="19">
        <v>24235.3</v>
      </c>
      <c r="U131" s="19">
        <v>24426.2</v>
      </c>
      <c r="V131" s="19">
        <v>24625.1</v>
      </c>
      <c r="W131" s="19">
        <v>24832.400000000001</v>
      </c>
      <c r="X131" s="19">
        <v>25048.400000000001</v>
      </c>
      <c r="Y131" s="19">
        <v>25273.4</v>
      </c>
      <c r="Z131" s="19">
        <v>25507.9</v>
      </c>
      <c r="AA131" s="19">
        <v>25752.1</v>
      </c>
      <c r="AB131" s="19">
        <v>26006.7</v>
      </c>
      <c r="AC131" s="19">
        <v>26271.9</v>
      </c>
      <c r="AD131" s="19">
        <v>26548.3</v>
      </c>
      <c r="AE131" s="19">
        <v>26836.5</v>
      </c>
      <c r="AF131" s="19">
        <v>27137.1</v>
      </c>
      <c r="AG131" s="19">
        <v>27450.6</v>
      </c>
      <c r="AH131" s="19">
        <v>27777.7</v>
      </c>
      <c r="AI131" s="19">
        <v>28119.200000000001</v>
      </c>
      <c r="AJ131" s="19">
        <v>28475.8</v>
      </c>
      <c r="AK131" s="19">
        <v>28848.5</v>
      </c>
      <c r="AL131" s="19">
        <v>28238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0</v>
      </c>
      <c r="CC131" s="19">
        <v>0</v>
      </c>
      <c r="CD131" s="19">
        <v>0</v>
      </c>
      <c r="CE131" s="19">
        <v>0</v>
      </c>
      <c r="CF131" s="19">
        <v>0</v>
      </c>
      <c r="CG131" s="19">
        <v>0</v>
      </c>
      <c r="CH131" s="19">
        <v>0</v>
      </c>
      <c r="CI131" s="19">
        <v>0</v>
      </c>
      <c r="CJ131" s="19">
        <v>0</v>
      </c>
      <c r="CK131" s="19">
        <v>0</v>
      </c>
      <c r="CL131" s="19">
        <v>0</v>
      </c>
      <c r="CM131" s="19">
        <v>0</v>
      </c>
      <c r="CN131" s="19">
        <v>0</v>
      </c>
      <c r="CO131" s="19">
        <v>0</v>
      </c>
      <c r="CP131" s="19">
        <v>0</v>
      </c>
      <c r="CQ131" s="19">
        <v>0</v>
      </c>
      <c r="CR131" s="19">
        <v>0</v>
      </c>
      <c r="CS131" s="19">
        <v>0</v>
      </c>
      <c r="CT131" s="19">
        <v>0</v>
      </c>
      <c r="CU131" s="19">
        <v>0</v>
      </c>
      <c r="CV131" s="19">
        <v>0</v>
      </c>
      <c r="CW131" s="19">
        <v>0</v>
      </c>
      <c r="CX131" s="19">
        <v>0</v>
      </c>
      <c r="CY131" s="19">
        <v>0</v>
      </c>
      <c r="CZ131" s="19">
        <v>0</v>
      </c>
      <c r="DA131" s="19">
        <v>0</v>
      </c>
      <c r="DB131" s="19">
        <v>0</v>
      </c>
      <c r="DC131" s="19">
        <v>0</v>
      </c>
      <c r="DD131" s="19">
        <v>0</v>
      </c>
      <c r="DE131" s="19">
        <v>0</v>
      </c>
      <c r="DF131" s="19">
        <v>0</v>
      </c>
      <c r="DG131" s="19">
        <v>0</v>
      </c>
    </row>
    <row r="132" spans="2:111" x14ac:dyDescent="0.15">
      <c r="B132" s="19" t="str">
        <f t="shared" si="2"/>
        <v>5_男_28</v>
      </c>
      <c r="C132" s="18">
        <v>5</v>
      </c>
      <c r="D132" s="18" t="s">
        <v>9</v>
      </c>
      <c r="E132" s="18">
        <v>28</v>
      </c>
      <c r="F132" s="19">
        <v>3369.7</v>
      </c>
      <c r="G132" s="19">
        <v>7548.2</v>
      </c>
      <c r="H132" s="19">
        <v>12360.3</v>
      </c>
      <c r="I132" s="19">
        <v>17858.3</v>
      </c>
      <c r="J132" s="19">
        <v>22835.3</v>
      </c>
      <c r="K132" s="19">
        <v>22965.8</v>
      </c>
      <c r="L132" s="19">
        <v>23102.1</v>
      </c>
      <c r="M132" s="19">
        <v>23244.3</v>
      </c>
      <c r="N132" s="19">
        <v>23392.7</v>
      </c>
      <c r="O132" s="19">
        <v>23547.599999999999</v>
      </c>
      <c r="P132" s="19">
        <v>23709.200000000001</v>
      </c>
      <c r="Q132" s="19">
        <v>23877.7</v>
      </c>
      <c r="R132" s="19">
        <v>24053.4</v>
      </c>
      <c r="S132" s="19">
        <v>24236.5</v>
      </c>
      <c r="T132" s="19">
        <v>24427.4</v>
      </c>
      <c r="U132" s="19">
        <v>24626.400000000001</v>
      </c>
      <c r="V132" s="19">
        <v>24833.7</v>
      </c>
      <c r="W132" s="19">
        <v>25049.599999999999</v>
      </c>
      <c r="X132" s="19">
        <v>25274.6</v>
      </c>
      <c r="Y132" s="19">
        <v>25509.1</v>
      </c>
      <c r="Z132" s="19">
        <v>25753.3</v>
      </c>
      <c r="AA132" s="19">
        <v>26007.8</v>
      </c>
      <c r="AB132" s="19">
        <v>26273</v>
      </c>
      <c r="AC132" s="19">
        <v>26549.4</v>
      </c>
      <c r="AD132" s="19">
        <v>26837.5</v>
      </c>
      <c r="AE132" s="19">
        <v>27138</v>
      </c>
      <c r="AF132" s="19">
        <v>27451.3</v>
      </c>
      <c r="AG132" s="19">
        <v>27778.400000000001</v>
      </c>
      <c r="AH132" s="19">
        <v>28119.7</v>
      </c>
      <c r="AI132" s="19">
        <v>28476.2</v>
      </c>
      <c r="AJ132" s="19">
        <v>28848.7</v>
      </c>
      <c r="AK132" s="19">
        <v>28238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</v>
      </c>
      <c r="CR132" s="19">
        <v>0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</row>
    <row r="133" spans="2:111" x14ac:dyDescent="0.15">
      <c r="B133" s="19" t="str">
        <f t="shared" si="2"/>
        <v>5_男_29</v>
      </c>
      <c r="C133" s="18">
        <v>5</v>
      </c>
      <c r="D133" s="18" t="s">
        <v>9</v>
      </c>
      <c r="E133" s="18">
        <v>29</v>
      </c>
      <c r="F133" s="19">
        <v>3388.5</v>
      </c>
      <c r="G133" s="19">
        <v>7590.2</v>
      </c>
      <c r="H133" s="19">
        <v>12428.9</v>
      </c>
      <c r="I133" s="19">
        <v>17957.099999999999</v>
      </c>
      <c r="J133" s="19">
        <v>22966.9</v>
      </c>
      <c r="K133" s="19">
        <v>23103.200000000001</v>
      </c>
      <c r="L133" s="19">
        <v>23245.5</v>
      </c>
      <c r="M133" s="19">
        <v>23393.9</v>
      </c>
      <c r="N133" s="19">
        <v>23548.799999999999</v>
      </c>
      <c r="O133" s="19">
        <v>23710.400000000001</v>
      </c>
      <c r="P133" s="19">
        <v>23878.9</v>
      </c>
      <c r="Q133" s="19">
        <v>24054.6</v>
      </c>
      <c r="R133" s="19">
        <v>24237.8</v>
      </c>
      <c r="S133" s="19">
        <v>24428.7</v>
      </c>
      <c r="T133" s="19">
        <v>24627.599999999999</v>
      </c>
      <c r="U133" s="19">
        <v>24834.9</v>
      </c>
      <c r="V133" s="19">
        <v>25050.9</v>
      </c>
      <c r="W133" s="19">
        <v>25275.9</v>
      </c>
      <c r="X133" s="19">
        <v>25510.3</v>
      </c>
      <c r="Y133" s="19">
        <v>25754.5</v>
      </c>
      <c r="Z133" s="19">
        <v>26009</v>
      </c>
      <c r="AA133" s="19">
        <v>26274.1</v>
      </c>
      <c r="AB133" s="19">
        <v>26550.5</v>
      </c>
      <c r="AC133" s="19">
        <v>26838.5</v>
      </c>
      <c r="AD133" s="19">
        <v>27138.9</v>
      </c>
      <c r="AE133" s="19">
        <v>27452.1</v>
      </c>
      <c r="AF133" s="19">
        <v>27779</v>
      </c>
      <c r="AG133" s="19">
        <v>28120.3</v>
      </c>
      <c r="AH133" s="19">
        <v>28476.6</v>
      </c>
      <c r="AI133" s="19">
        <v>28848.9</v>
      </c>
      <c r="AJ133" s="19">
        <v>28238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>
        <v>0</v>
      </c>
      <c r="BW133" s="19">
        <v>0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0</v>
      </c>
      <c r="CN133" s="19">
        <v>0</v>
      </c>
      <c r="CO133" s="19">
        <v>0</v>
      </c>
      <c r="CP133" s="19">
        <v>0</v>
      </c>
      <c r="CQ133" s="19">
        <v>0</v>
      </c>
      <c r="CR133" s="19">
        <v>0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0</v>
      </c>
      <c r="DD133" s="19">
        <v>0</v>
      </c>
      <c r="DE133" s="19">
        <v>0</v>
      </c>
      <c r="DF133" s="19">
        <v>0</v>
      </c>
      <c r="DG133" s="19">
        <v>0</v>
      </c>
    </row>
    <row r="134" spans="2:111" x14ac:dyDescent="0.15">
      <c r="B134" s="19" t="str">
        <f t="shared" si="2"/>
        <v>5_男_30</v>
      </c>
      <c r="C134" s="18">
        <v>5</v>
      </c>
      <c r="D134" s="18" t="s">
        <v>9</v>
      </c>
      <c r="E134" s="18">
        <v>30</v>
      </c>
      <c r="F134" s="19">
        <v>3408.1</v>
      </c>
      <c r="G134" s="19">
        <v>7634</v>
      </c>
      <c r="H134" s="19">
        <v>12500.6</v>
      </c>
      <c r="I134" s="19">
        <v>18060.400000000001</v>
      </c>
      <c r="J134" s="19">
        <v>23104.3</v>
      </c>
      <c r="K134" s="19">
        <v>23246.6</v>
      </c>
      <c r="L134" s="19">
        <v>23395.1</v>
      </c>
      <c r="M134" s="19">
        <v>23550.1</v>
      </c>
      <c r="N134" s="19">
        <v>23711.7</v>
      </c>
      <c r="O134" s="19">
        <v>23880.2</v>
      </c>
      <c r="P134" s="19">
        <v>24055.9</v>
      </c>
      <c r="Q134" s="19">
        <v>24239.1</v>
      </c>
      <c r="R134" s="19">
        <v>24430</v>
      </c>
      <c r="S134" s="19">
        <v>24629</v>
      </c>
      <c r="T134" s="19">
        <v>24836.3</v>
      </c>
      <c r="U134" s="19">
        <v>25052.2</v>
      </c>
      <c r="V134" s="19">
        <v>25277.200000000001</v>
      </c>
      <c r="W134" s="19">
        <v>25511.599999999999</v>
      </c>
      <c r="X134" s="19">
        <v>25755.8</v>
      </c>
      <c r="Y134" s="19">
        <v>26010.2</v>
      </c>
      <c r="Z134" s="19">
        <v>26275.3</v>
      </c>
      <c r="AA134" s="19">
        <v>26551.5</v>
      </c>
      <c r="AB134" s="19">
        <v>26839.5</v>
      </c>
      <c r="AC134" s="19">
        <v>27139.8</v>
      </c>
      <c r="AD134" s="19">
        <v>27453</v>
      </c>
      <c r="AE134" s="19">
        <v>27779.8</v>
      </c>
      <c r="AF134" s="19">
        <v>28120.799999999999</v>
      </c>
      <c r="AG134" s="19">
        <v>28477</v>
      </c>
      <c r="AH134" s="19">
        <v>28849.1</v>
      </c>
      <c r="AI134" s="19">
        <v>28238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0</v>
      </c>
      <c r="CQ134" s="19">
        <v>0</v>
      </c>
      <c r="CR134" s="19">
        <v>0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</row>
    <row r="135" spans="2:111" x14ac:dyDescent="0.15">
      <c r="B135" s="19" t="str">
        <f t="shared" si="2"/>
        <v>5_男_31</v>
      </c>
      <c r="C135" s="18">
        <v>5</v>
      </c>
      <c r="D135" s="18" t="s">
        <v>9</v>
      </c>
      <c r="E135" s="18">
        <v>31</v>
      </c>
      <c r="F135" s="19">
        <v>3428.6</v>
      </c>
      <c r="G135" s="19">
        <v>7679.8</v>
      </c>
      <c r="H135" s="19">
        <v>12575.4</v>
      </c>
      <c r="I135" s="19">
        <v>18168.2</v>
      </c>
      <c r="J135" s="19">
        <v>23247.9</v>
      </c>
      <c r="K135" s="19">
        <v>23396.400000000001</v>
      </c>
      <c r="L135" s="19">
        <v>23551.3</v>
      </c>
      <c r="M135" s="19">
        <v>23713</v>
      </c>
      <c r="N135" s="19">
        <v>23881.5</v>
      </c>
      <c r="O135" s="19">
        <v>24057.200000000001</v>
      </c>
      <c r="P135" s="19">
        <v>24240.400000000001</v>
      </c>
      <c r="Q135" s="19">
        <v>24431.4</v>
      </c>
      <c r="R135" s="19">
        <v>24630.3</v>
      </c>
      <c r="S135" s="19">
        <v>24837.599999999999</v>
      </c>
      <c r="T135" s="19">
        <v>25053.599999999999</v>
      </c>
      <c r="U135" s="19">
        <v>25278.5</v>
      </c>
      <c r="V135" s="19">
        <v>25512.9</v>
      </c>
      <c r="W135" s="19">
        <v>25757.1</v>
      </c>
      <c r="X135" s="19">
        <v>26011.4</v>
      </c>
      <c r="Y135" s="19">
        <v>26276.5</v>
      </c>
      <c r="Z135" s="19">
        <v>26552.7</v>
      </c>
      <c r="AA135" s="19">
        <v>26840.6</v>
      </c>
      <c r="AB135" s="19">
        <v>27140.799999999999</v>
      </c>
      <c r="AC135" s="19">
        <v>27453.8</v>
      </c>
      <c r="AD135" s="19">
        <v>27780.5</v>
      </c>
      <c r="AE135" s="19">
        <v>28121.4</v>
      </c>
      <c r="AF135" s="19">
        <v>28477.4</v>
      </c>
      <c r="AG135" s="19">
        <v>28849.3</v>
      </c>
      <c r="AH135" s="19">
        <v>28238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0</v>
      </c>
      <c r="CQ135" s="19">
        <v>0</v>
      </c>
      <c r="CR135" s="19">
        <v>0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</row>
    <row r="136" spans="2:111" x14ac:dyDescent="0.15">
      <c r="B136" s="19" t="str">
        <f t="shared" si="2"/>
        <v>5_男_32</v>
      </c>
      <c r="C136" s="18">
        <v>5</v>
      </c>
      <c r="D136" s="18" t="s">
        <v>9</v>
      </c>
      <c r="E136" s="18">
        <v>32</v>
      </c>
      <c r="F136" s="19">
        <v>3450</v>
      </c>
      <c r="G136" s="19">
        <v>7727.7</v>
      </c>
      <c r="H136" s="19">
        <v>12653.5</v>
      </c>
      <c r="I136" s="19">
        <v>18280.7</v>
      </c>
      <c r="J136" s="19">
        <v>23397.599999999999</v>
      </c>
      <c r="K136" s="19">
        <v>23552.6</v>
      </c>
      <c r="L136" s="19">
        <v>23714.3</v>
      </c>
      <c r="M136" s="19">
        <v>23882.799999999999</v>
      </c>
      <c r="N136" s="19">
        <v>24058.6</v>
      </c>
      <c r="O136" s="19">
        <v>24241.8</v>
      </c>
      <c r="P136" s="19">
        <v>24432.7</v>
      </c>
      <c r="Q136" s="19">
        <v>24631.7</v>
      </c>
      <c r="R136" s="19">
        <v>24839</v>
      </c>
      <c r="S136" s="19">
        <v>25054.9</v>
      </c>
      <c r="T136" s="19">
        <v>25279.9</v>
      </c>
      <c r="U136" s="19">
        <v>25514.2</v>
      </c>
      <c r="V136" s="19">
        <v>25758.400000000001</v>
      </c>
      <c r="W136" s="19">
        <v>26012.7</v>
      </c>
      <c r="X136" s="19">
        <v>26277.7</v>
      </c>
      <c r="Y136" s="19">
        <v>26553.8</v>
      </c>
      <c r="Z136" s="19">
        <v>26841.7</v>
      </c>
      <c r="AA136" s="19">
        <v>27141.7</v>
      </c>
      <c r="AB136" s="19">
        <v>27454.7</v>
      </c>
      <c r="AC136" s="19">
        <v>27781.200000000001</v>
      </c>
      <c r="AD136" s="19">
        <v>28122</v>
      </c>
      <c r="AE136" s="19">
        <v>28477.8</v>
      </c>
      <c r="AF136" s="19">
        <v>28849.5</v>
      </c>
      <c r="AG136" s="19">
        <v>28238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0</v>
      </c>
      <c r="CR136" s="19">
        <v>0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</row>
    <row r="137" spans="2:111" x14ac:dyDescent="0.15">
      <c r="B137" s="19" t="str">
        <f t="shared" si="2"/>
        <v>5_男_33</v>
      </c>
      <c r="C137" s="18">
        <v>5</v>
      </c>
      <c r="D137" s="18" t="s">
        <v>9</v>
      </c>
      <c r="E137" s="18">
        <v>33</v>
      </c>
      <c r="F137" s="19">
        <v>3472.4</v>
      </c>
      <c r="G137" s="19">
        <v>7777.6</v>
      </c>
      <c r="H137" s="19">
        <v>12735</v>
      </c>
      <c r="I137" s="19">
        <v>18398.2</v>
      </c>
      <c r="J137" s="19">
        <v>23554</v>
      </c>
      <c r="K137" s="19">
        <v>23715.599999999999</v>
      </c>
      <c r="L137" s="19">
        <v>23884.2</v>
      </c>
      <c r="M137" s="19">
        <v>24060</v>
      </c>
      <c r="N137" s="19">
        <v>24243.200000000001</v>
      </c>
      <c r="O137" s="19">
        <v>24434.2</v>
      </c>
      <c r="P137" s="19">
        <v>24633.1</v>
      </c>
      <c r="Q137" s="19">
        <v>24840.400000000001</v>
      </c>
      <c r="R137" s="19">
        <v>25056.400000000001</v>
      </c>
      <c r="S137" s="19">
        <v>25281.3</v>
      </c>
      <c r="T137" s="19">
        <v>25515.599999999999</v>
      </c>
      <c r="U137" s="19">
        <v>25759.7</v>
      </c>
      <c r="V137" s="19">
        <v>26014</v>
      </c>
      <c r="W137" s="19">
        <v>26278.9</v>
      </c>
      <c r="X137" s="19">
        <v>26555</v>
      </c>
      <c r="Y137" s="19">
        <v>26842.799999999999</v>
      </c>
      <c r="Z137" s="19">
        <v>27142.799999999999</v>
      </c>
      <c r="AA137" s="19">
        <v>27455.599999999999</v>
      </c>
      <c r="AB137" s="19">
        <v>27782</v>
      </c>
      <c r="AC137" s="19">
        <v>28122.6</v>
      </c>
      <c r="AD137" s="19">
        <v>28478.3</v>
      </c>
      <c r="AE137" s="19">
        <v>28849.8</v>
      </c>
      <c r="AF137" s="19">
        <v>28238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>
        <v>0</v>
      </c>
      <c r="BW137" s="19">
        <v>0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0</v>
      </c>
      <c r="CD137" s="19">
        <v>0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0</v>
      </c>
      <c r="CN137" s="19">
        <v>0</v>
      </c>
      <c r="CO137" s="19">
        <v>0</v>
      </c>
      <c r="CP137" s="19">
        <v>0</v>
      </c>
      <c r="CQ137" s="19">
        <v>0</v>
      </c>
      <c r="CR137" s="19">
        <v>0</v>
      </c>
      <c r="CS137" s="19">
        <v>0</v>
      </c>
      <c r="CT137" s="19">
        <v>0</v>
      </c>
      <c r="CU137" s="19">
        <v>0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</row>
    <row r="138" spans="2:111" x14ac:dyDescent="0.15">
      <c r="B138" s="19" t="str">
        <f t="shared" si="2"/>
        <v>5_男_34</v>
      </c>
      <c r="C138" s="18">
        <v>5</v>
      </c>
      <c r="D138" s="18" t="s">
        <v>9</v>
      </c>
      <c r="E138" s="18">
        <v>34</v>
      </c>
      <c r="F138" s="19">
        <v>3495.7</v>
      </c>
      <c r="G138" s="19">
        <v>7829.7</v>
      </c>
      <c r="H138" s="19">
        <v>12820.1</v>
      </c>
      <c r="I138" s="19">
        <v>18520.7</v>
      </c>
      <c r="J138" s="19">
        <v>23717</v>
      </c>
      <c r="K138" s="19">
        <v>23885.599999999999</v>
      </c>
      <c r="L138" s="19">
        <v>24061.4</v>
      </c>
      <c r="M138" s="19">
        <v>24244.7</v>
      </c>
      <c r="N138" s="19">
        <v>24435.599999999999</v>
      </c>
      <c r="O138" s="19">
        <v>24634.6</v>
      </c>
      <c r="P138" s="19">
        <v>24841.9</v>
      </c>
      <c r="Q138" s="19">
        <v>25057.8</v>
      </c>
      <c r="R138" s="19">
        <v>25282.7</v>
      </c>
      <c r="S138" s="19">
        <v>25517</v>
      </c>
      <c r="T138" s="19">
        <v>25761.1</v>
      </c>
      <c r="U138" s="19">
        <v>26015.4</v>
      </c>
      <c r="V138" s="19">
        <v>26280.2</v>
      </c>
      <c r="W138" s="19">
        <v>26556.2</v>
      </c>
      <c r="X138" s="19">
        <v>26843.9</v>
      </c>
      <c r="Y138" s="19">
        <v>27143.8</v>
      </c>
      <c r="Z138" s="19">
        <v>27456.5</v>
      </c>
      <c r="AA138" s="19">
        <v>27782.799999999999</v>
      </c>
      <c r="AB138" s="19">
        <v>28123.3</v>
      </c>
      <c r="AC138" s="19">
        <v>28478.7</v>
      </c>
      <c r="AD138" s="19">
        <v>28850</v>
      </c>
      <c r="AE138" s="19">
        <v>28238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0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0</v>
      </c>
      <c r="CT138" s="19">
        <v>0</v>
      </c>
      <c r="CU138" s="19">
        <v>0</v>
      </c>
      <c r="CV138" s="19">
        <v>0</v>
      </c>
      <c r="CW138" s="19">
        <v>0</v>
      </c>
      <c r="CX138" s="19">
        <v>0</v>
      </c>
      <c r="CY138" s="19">
        <v>0</v>
      </c>
      <c r="CZ138" s="19">
        <v>0</v>
      </c>
      <c r="DA138" s="19">
        <v>0</v>
      </c>
      <c r="DB138" s="19">
        <v>0</v>
      </c>
      <c r="DC138" s="19">
        <v>0</v>
      </c>
      <c r="DD138" s="19">
        <v>0</v>
      </c>
      <c r="DE138" s="19">
        <v>0</v>
      </c>
      <c r="DF138" s="19">
        <v>0</v>
      </c>
      <c r="DG138" s="19">
        <v>0</v>
      </c>
    </row>
    <row r="139" spans="2:111" x14ac:dyDescent="0.15">
      <c r="B139" s="19" t="str">
        <f t="shared" si="2"/>
        <v>5_男_35</v>
      </c>
      <c r="C139" s="18">
        <v>5</v>
      </c>
      <c r="D139" s="18" t="s">
        <v>9</v>
      </c>
      <c r="E139" s="18">
        <v>35</v>
      </c>
      <c r="F139" s="19">
        <v>3520.1</v>
      </c>
      <c r="G139" s="19">
        <v>7884.1</v>
      </c>
      <c r="H139" s="19">
        <v>12908.8</v>
      </c>
      <c r="I139" s="19">
        <v>18648.5</v>
      </c>
      <c r="J139" s="19">
        <v>23887.1</v>
      </c>
      <c r="K139" s="19">
        <v>24062.9</v>
      </c>
      <c r="L139" s="19">
        <v>24246.2</v>
      </c>
      <c r="M139" s="19">
        <v>24437.1</v>
      </c>
      <c r="N139" s="19">
        <v>24636.1</v>
      </c>
      <c r="O139" s="19">
        <v>24843.4</v>
      </c>
      <c r="P139" s="19">
        <v>25059.3</v>
      </c>
      <c r="Q139" s="19">
        <v>25284.2</v>
      </c>
      <c r="R139" s="19">
        <v>25518.5</v>
      </c>
      <c r="S139" s="19">
        <v>25762.5</v>
      </c>
      <c r="T139" s="19">
        <v>26016.7</v>
      </c>
      <c r="U139" s="19">
        <v>26281.599999999999</v>
      </c>
      <c r="V139" s="19">
        <v>26557.5</v>
      </c>
      <c r="W139" s="19">
        <v>26845.1</v>
      </c>
      <c r="X139" s="19">
        <v>27144.9</v>
      </c>
      <c r="Y139" s="19">
        <v>27457.5</v>
      </c>
      <c r="Z139" s="19">
        <v>27783.599999999999</v>
      </c>
      <c r="AA139" s="19">
        <v>28123.9</v>
      </c>
      <c r="AB139" s="19">
        <v>28479.200000000001</v>
      </c>
      <c r="AC139" s="19">
        <v>28850.2</v>
      </c>
      <c r="AD139" s="19">
        <v>28238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0</v>
      </c>
      <c r="CD139" s="19">
        <v>0</v>
      </c>
      <c r="CE139" s="19">
        <v>0</v>
      </c>
      <c r="CF139" s="19">
        <v>0</v>
      </c>
      <c r="CG139" s="19">
        <v>0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0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</v>
      </c>
      <c r="CT139" s="19">
        <v>0</v>
      </c>
      <c r="CU139" s="19">
        <v>0</v>
      </c>
      <c r="CV139" s="19">
        <v>0</v>
      </c>
      <c r="CW139" s="19">
        <v>0</v>
      </c>
      <c r="CX139" s="19">
        <v>0</v>
      </c>
      <c r="CY139" s="19">
        <v>0</v>
      </c>
      <c r="CZ139" s="19">
        <v>0</v>
      </c>
      <c r="DA139" s="19">
        <v>0</v>
      </c>
      <c r="DB139" s="19">
        <v>0</v>
      </c>
      <c r="DC139" s="19">
        <v>0</v>
      </c>
      <c r="DD139" s="19">
        <v>0</v>
      </c>
      <c r="DE139" s="19">
        <v>0</v>
      </c>
      <c r="DF139" s="19">
        <v>0</v>
      </c>
      <c r="DG139" s="19">
        <v>0</v>
      </c>
    </row>
    <row r="140" spans="2:111" x14ac:dyDescent="0.15">
      <c r="B140" s="19" t="str">
        <f t="shared" si="2"/>
        <v>5_男_36</v>
      </c>
      <c r="C140" s="18">
        <v>5</v>
      </c>
      <c r="D140" s="18" t="s">
        <v>9</v>
      </c>
      <c r="E140" s="18">
        <v>36</v>
      </c>
      <c r="F140" s="19">
        <v>3545.5</v>
      </c>
      <c r="G140" s="19">
        <v>7940.8</v>
      </c>
      <c r="H140" s="19">
        <v>13001.3</v>
      </c>
      <c r="I140" s="19">
        <v>18781.8</v>
      </c>
      <c r="J140" s="19">
        <v>24064.400000000001</v>
      </c>
      <c r="K140" s="19">
        <v>24247.7</v>
      </c>
      <c r="L140" s="19">
        <v>24438.7</v>
      </c>
      <c r="M140" s="19">
        <v>24637.599999999999</v>
      </c>
      <c r="N140" s="19">
        <v>24844.9</v>
      </c>
      <c r="O140" s="19">
        <v>25060.799999999999</v>
      </c>
      <c r="P140" s="19">
        <v>25285.7</v>
      </c>
      <c r="Q140" s="19">
        <v>25520</v>
      </c>
      <c r="R140" s="19">
        <v>25764</v>
      </c>
      <c r="S140" s="19">
        <v>26018.1</v>
      </c>
      <c r="T140" s="19">
        <v>26282.9</v>
      </c>
      <c r="U140" s="19">
        <v>26558.799999999999</v>
      </c>
      <c r="V140" s="19">
        <v>26846.3</v>
      </c>
      <c r="W140" s="19">
        <v>27146</v>
      </c>
      <c r="X140" s="19">
        <v>27458.400000000001</v>
      </c>
      <c r="Y140" s="19">
        <v>27784.400000000001</v>
      </c>
      <c r="Z140" s="19">
        <v>28124.6</v>
      </c>
      <c r="AA140" s="19">
        <v>28479.599999999999</v>
      </c>
      <c r="AB140" s="19">
        <v>28850.5</v>
      </c>
      <c r="AC140" s="19">
        <v>28238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0</v>
      </c>
      <c r="CT140" s="19">
        <v>0</v>
      </c>
      <c r="CU140" s="19">
        <v>0</v>
      </c>
      <c r="CV140" s="19">
        <v>0</v>
      </c>
      <c r="CW140" s="19">
        <v>0</v>
      </c>
      <c r="CX140" s="19">
        <v>0</v>
      </c>
      <c r="CY140" s="19">
        <v>0</v>
      </c>
      <c r="CZ140" s="19">
        <v>0</v>
      </c>
      <c r="DA140" s="19">
        <v>0</v>
      </c>
      <c r="DB140" s="19">
        <v>0</v>
      </c>
      <c r="DC140" s="19">
        <v>0</v>
      </c>
      <c r="DD140" s="19">
        <v>0</v>
      </c>
      <c r="DE140" s="19">
        <v>0</v>
      </c>
      <c r="DF140" s="19">
        <v>0</v>
      </c>
      <c r="DG140" s="19">
        <v>0</v>
      </c>
    </row>
    <row r="141" spans="2:111" x14ac:dyDescent="0.15">
      <c r="B141" s="19" t="str">
        <f t="shared" si="2"/>
        <v>5_男_37</v>
      </c>
      <c r="C141" s="18">
        <v>5</v>
      </c>
      <c r="D141" s="18" t="s">
        <v>9</v>
      </c>
      <c r="E141" s="18">
        <v>37</v>
      </c>
      <c r="F141" s="19">
        <v>3571.9</v>
      </c>
      <c r="G141" s="19">
        <v>7999.9</v>
      </c>
      <c r="H141" s="19">
        <v>13097.8</v>
      </c>
      <c r="I141" s="19">
        <v>18920.7</v>
      </c>
      <c r="J141" s="19">
        <v>24249.200000000001</v>
      </c>
      <c r="K141" s="19">
        <v>24440.2</v>
      </c>
      <c r="L141" s="19">
        <v>24639.200000000001</v>
      </c>
      <c r="M141" s="19">
        <v>24846.5</v>
      </c>
      <c r="N141" s="19">
        <v>25062.400000000001</v>
      </c>
      <c r="O141" s="19">
        <v>25287.3</v>
      </c>
      <c r="P141" s="19">
        <v>25521.5</v>
      </c>
      <c r="Q141" s="19">
        <v>25765.5</v>
      </c>
      <c r="R141" s="19">
        <v>26019.599999999999</v>
      </c>
      <c r="S141" s="19">
        <v>26284.3</v>
      </c>
      <c r="T141" s="19">
        <v>26560.1</v>
      </c>
      <c r="U141" s="19">
        <v>26847.5</v>
      </c>
      <c r="V141" s="19">
        <v>27147.1</v>
      </c>
      <c r="W141" s="19">
        <v>27459.4</v>
      </c>
      <c r="X141" s="19">
        <v>27785.3</v>
      </c>
      <c r="Y141" s="19">
        <v>28125.200000000001</v>
      </c>
      <c r="Z141" s="19">
        <v>28480.1</v>
      </c>
      <c r="AA141" s="19">
        <v>28850.7</v>
      </c>
      <c r="AB141" s="19">
        <v>28238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0</v>
      </c>
      <c r="CT141" s="19">
        <v>0</v>
      </c>
      <c r="CU141" s="19">
        <v>0</v>
      </c>
      <c r="CV141" s="19">
        <v>0</v>
      </c>
      <c r="CW141" s="19">
        <v>0</v>
      </c>
      <c r="CX141" s="19">
        <v>0</v>
      </c>
      <c r="CY141" s="19">
        <v>0</v>
      </c>
      <c r="CZ141" s="19">
        <v>0</v>
      </c>
      <c r="DA141" s="19">
        <v>0</v>
      </c>
      <c r="DB141" s="19">
        <v>0</v>
      </c>
      <c r="DC141" s="19">
        <v>0</v>
      </c>
      <c r="DD141" s="19">
        <v>0</v>
      </c>
      <c r="DE141" s="19">
        <v>0</v>
      </c>
      <c r="DF141" s="19">
        <v>0</v>
      </c>
      <c r="DG141" s="19">
        <v>0</v>
      </c>
    </row>
    <row r="142" spans="2:111" x14ac:dyDescent="0.15">
      <c r="B142" s="19" t="str">
        <f t="shared" si="2"/>
        <v>5_男_38</v>
      </c>
      <c r="C142" s="18">
        <v>5</v>
      </c>
      <c r="D142" s="18" t="s">
        <v>9</v>
      </c>
      <c r="E142" s="18">
        <v>38</v>
      </c>
      <c r="F142" s="19">
        <v>3599.6</v>
      </c>
      <c r="G142" s="19">
        <v>8061.5</v>
      </c>
      <c r="H142" s="19">
        <v>13198.3</v>
      </c>
      <c r="I142" s="19">
        <v>19065.5</v>
      </c>
      <c r="J142" s="19">
        <v>24441.8</v>
      </c>
      <c r="K142" s="19">
        <v>24640.799999999999</v>
      </c>
      <c r="L142" s="19">
        <v>24848.1</v>
      </c>
      <c r="M142" s="19">
        <v>25064</v>
      </c>
      <c r="N142" s="19">
        <v>25288.9</v>
      </c>
      <c r="O142" s="19">
        <v>25523.1</v>
      </c>
      <c r="P142" s="19">
        <v>25767</v>
      </c>
      <c r="Q142" s="19">
        <v>26021.1</v>
      </c>
      <c r="R142" s="19">
        <v>26285.7</v>
      </c>
      <c r="S142" s="19">
        <v>26561.4</v>
      </c>
      <c r="T142" s="19">
        <v>26848.799999999999</v>
      </c>
      <c r="U142" s="19">
        <v>27148.2</v>
      </c>
      <c r="V142" s="19">
        <v>27460.5</v>
      </c>
      <c r="W142" s="19">
        <v>27786.1</v>
      </c>
      <c r="X142" s="19">
        <v>28125.9</v>
      </c>
      <c r="Y142" s="19">
        <v>28480.6</v>
      </c>
      <c r="Z142" s="19">
        <v>28851</v>
      </c>
      <c r="AA142" s="19">
        <v>28238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  <c r="BT142" s="19">
        <v>0</v>
      </c>
      <c r="BU142" s="19">
        <v>0</v>
      </c>
      <c r="BV142" s="19">
        <v>0</v>
      </c>
      <c r="BW142" s="19">
        <v>0</v>
      </c>
      <c r="BX142" s="19">
        <v>0</v>
      </c>
      <c r="BY142" s="19">
        <v>0</v>
      </c>
      <c r="BZ142" s="19">
        <v>0</v>
      </c>
      <c r="CA142" s="19">
        <v>0</v>
      </c>
      <c r="CB142" s="19">
        <v>0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19">
        <v>0</v>
      </c>
      <c r="CL142" s="19">
        <v>0</v>
      </c>
      <c r="CM142" s="19">
        <v>0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0</v>
      </c>
      <c r="CT142" s="19">
        <v>0</v>
      </c>
      <c r="CU142" s="19">
        <v>0</v>
      </c>
      <c r="CV142" s="19">
        <v>0</v>
      </c>
      <c r="CW142" s="19">
        <v>0</v>
      </c>
      <c r="CX142" s="19">
        <v>0</v>
      </c>
      <c r="CY142" s="19">
        <v>0</v>
      </c>
      <c r="CZ142" s="19">
        <v>0</v>
      </c>
      <c r="DA142" s="19">
        <v>0</v>
      </c>
      <c r="DB142" s="19">
        <v>0</v>
      </c>
      <c r="DC142" s="19">
        <v>0</v>
      </c>
      <c r="DD142" s="19">
        <v>0</v>
      </c>
      <c r="DE142" s="19">
        <v>0</v>
      </c>
      <c r="DF142" s="19">
        <v>0</v>
      </c>
      <c r="DG142" s="19">
        <v>0</v>
      </c>
    </row>
    <row r="143" spans="2:111" x14ac:dyDescent="0.15">
      <c r="B143" s="19" t="str">
        <f t="shared" si="2"/>
        <v>5_男_39</v>
      </c>
      <c r="C143" s="18">
        <v>5</v>
      </c>
      <c r="D143" s="18" t="s">
        <v>9</v>
      </c>
      <c r="E143" s="18">
        <v>39</v>
      </c>
      <c r="F143" s="19">
        <v>3628.3</v>
      </c>
      <c r="G143" s="19">
        <v>8125.7</v>
      </c>
      <c r="H143" s="19">
        <v>13303.1</v>
      </c>
      <c r="I143" s="19">
        <v>19216.400000000001</v>
      </c>
      <c r="J143" s="19">
        <v>24642.5</v>
      </c>
      <c r="K143" s="19">
        <v>24849.8</v>
      </c>
      <c r="L143" s="19">
        <v>25065.7</v>
      </c>
      <c r="M143" s="19">
        <v>25290.5</v>
      </c>
      <c r="N143" s="19">
        <v>25524.7</v>
      </c>
      <c r="O143" s="19">
        <v>25768.6</v>
      </c>
      <c r="P143" s="19">
        <v>26022.6</v>
      </c>
      <c r="Q143" s="19">
        <v>26287.200000000001</v>
      </c>
      <c r="R143" s="19">
        <v>26562.799999999999</v>
      </c>
      <c r="S143" s="19">
        <v>26850</v>
      </c>
      <c r="T143" s="19">
        <v>27149.4</v>
      </c>
      <c r="U143" s="19">
        <v>27461.5</v>
      </c>
      <c r="V143" s="19">
        <v>27787</v>
      </c>
      <c r="W143" s="19">
        <v>28126.6</v>
      </c>
      <c r="X143" s="19">
        <v>28481.1</v>
      </c>
      <c r="Y143" s="19">
        <v>28851.3</v>
      </c>
      <c r="Z143" s="19">
        <v>28238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>
        <v>0</v>
      </c>
      <c r="BW143" s="19">
        <v>0</v>
      </c>
      <c r="BX143" s="19">
        <v>0</v>
      </c>
      <c r="BY143" s="19">
        <v>0</v>
      </c>
      <c r="BZ143" s="19">
        <v>0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0</v>
      </c>
      <c r="CI143" s="19">
        <v>0</v>
      </c>
      <c r="CJ143" s="19">
        <v>0</v>
      </c>
      <c r="CK143" s="19">
        <v>0</v>
      </c>
      <c r="CL143" s="19">
        <v>0</v>
      </c>
      <c r="CM143" s="19">
        <v>0</v>
      </c>
      <c r="CN143" s="19">
        <v>0</v>
      </c>
      <c r="CO143" s="19">
        <v>0</v>
      </c>
      <c r="CP143" s="19">
        <v>0</v>
      </c>
      <c r="CQ143" s="19">
        <v>0</v>
      </c>
      <c r="CR143" s="19">
        <v>0</v>
      </c>
      <c r="CS143" s="19">
        <v>0</v>
      </c>
      <c r="CT143" s="19">
        <v>0</v>
      </c>
      <c r="CU143" s="19">
        <v>0</v>
      </c>
      <c r="CV143" s="19">
        <v>0</v>
      </c>
      <c r="CW143" s="19">
        <v>0</v>
      </c>
      <c r="CX143" s="19">
        <v>0</v>
      </c>
      <c r="CY143" s="19">
        <v>0</v>
      </c>
      <c r="CZ143" s="19">
        <v>0</v>
      </c>
      <c r="DA143" s="19">
        <v>0</v>
      </c>
      <c r="DB143" s="19">
        <v>0</v>
      </c>
      <c r="DC143" s="19">
        <v>0</v>
      </c>
      <c r="DD143" s="19">
        <v>0</v>
      </c>
      <c r="DE143" s="19">
        <v>0</v>
      </c>
      <c r="DF143" s="19">
        <v>0</v>
      </c>
      <c r="DG143" s="19">
        <v>0</v>
      </c>
    </row>
    <row r="144" spans="2:111" x14ac:dyDescent="0.15">
      <c r="B144" s="19" t="str">
        <f t="shared" si="2"/>
        <v>5_男_40</v>
      </c>
      <c r="C144" s="18">
        <v>5</v>
      </c>
      <c r="D144" s="18" t="s">
        <v>9</v>
      </c>
      <c r="E144" s="18">
        <v>40</v>
      </c>
      <c r="F144" s="19">
        <v>3658.3</v>
      </c>
      <c r="G144" s="19">
        <v>8192.6</v>
      </c>
      <c r="H144" s="19">
        <v>13412.2</v>
      </c>
      <c r="I144" s="19">
        <v>19373.5</v>
      </c>
      <c r="J144" s="19">
        <v>24851.5</v>
      </c>
      <c r="K144" s="19">
        <v>25067.3</v>
      </c>
      <c r="L144" s="19">
        <v>25292.2</v>
      </c>
      <c r="M144" s="19">
        <v>25526.3</v>
      </c>
      <c r="N144" s="19">
        <v>25770.2</v>
      </c>
      <c r="O144" s="19">
        <v>26024.1</v>
      </c>
      <c r="P144" s="19">
        <v>26288.7</v>
      </c>
      <c r="Q144" s="19">
        <v>26564.2</v>
      </c>
      <c r="R144" s="19">
        <v>26851.4</v>
      </c>
      <c r="S144" s="19">
        <v>27150.6</v>
      </c>
      <c r="T144" s="19">
        <v>27462.6</v>
      </c>
      <c r="U144" s="19">
        <v>27787.9</v>
      </c>
      <c r="V144" s="19">
        <v>28127.4</v>
      </c>
      <c r="W144" s="19">
        <v>28481.599999999999</v>
      </c>
      <c r="X144" s="19">
        <v>28851.599999999999</v>
      </c>
      <c r="Y144" s="19">
        <v>28238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0</v>
      </c>
      <c r="CT144" s="19">
        <v>0</v>
      </c>
      <c r="CU144" s="19">
        <v>0</v>
      </c>
      <c r="CV144" s="19">
        <v>0</v>
      </c>
      <c r="CW144" s="19">
        <v>0</v>
      </c>
      <c r="CX144" s="19">
        <v>0</v>
      </c>
      <c r="CY144" s="19">
        <v>0</v>
      </c>
      <c r="CZ144" s="19">
        <v>0</v>
      </c>
      <c r="DA144" s="19">
        <v>0</v>
      </c>
      <c r="DB144" s="19">
        <v>0</v>
      </c>
      <c r="DC144" s="19">
        <v>0</v>
      </c>
      <c r="DD144" s="19">
        <v>0</v>
      </c>
      <c r="DE144" s="19">
        <v>0</v>
      </c>
      <c r="DF144" s="19">
        <v>0</v>
      </c>
      <c r="DG144" s="19">
        <v>0</v>
      </c>
    </row>
    <row r="145" spans="2:111" x14ac:dyDescent="0.15">
      <c r="B145" s="19" t="str">
        <f t="shared" si="2"/>
        <v>5_男_41</v>
      </c>
      <c r="C145" s="18">
        <v>5</v>
      </c>
      <c r="D145" s="18" t="s">
        <v>9</v>
      </c>
      <c r="E145" s="18">
        <v>41</v>
      </c>
      <c r="F145" s="19">
        <v>3689.5</v>
      </c>
      <c r="G145" s="19">
        <v>8262.2999999999993</v>
      </c>
      <c r="H145" s="19">
        <v>13525.8</v>
      </c>
      <c r="I145" s="19">
        <v>19537.099999999999</v>
      </c>
      <c r="J145" s="19">
        <v>25069.1</v>
      </c>
      <c r="K145" s="19">
        <v>25293.9</v>
      </c>
      <c r="L145" s="19">
        <v>25528</v>
      </c>
      <c r="M145" s="19">
        <v>25771.8</v>
      </c>
      <c r="N145" s="19">
        <v>26025.7</v>
      </c>
      <c r="O145" s="19">
        <v>26290.2</v>
      </c>
      <c r="P145" s="19">
        <v>26565.7</v>
      </c>
      <c r="Q145" s="19">
        <v>26852.7</v>
      </c>
      <c r="R145" s="19">
        <v>27151.8</v>
      </c>
      <c r="S145" s="19">
        <v>27463.7</v>
      </c>
      <c r="T145" s="19">
        <v>27788.9</v>
      </c>
      <c r="U145" s="19">
        <v>28128.1</v>
      </c>
      <c r="V145" s="19">
        <v>28482.2</v>
      </c>
      <c r="W145" s="19">
        <v>28851.8</v>
      </c>
      <c r="X145" s="19">
        <v>28238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0</v>
      </c>
      <c r="CT145" s="19">
        <v>0</v>
      </c>
      <c r="CU145" s="19">
        <v>0</v>
      </c>
      <c r="CV145" s="19">
        <v>0</v>
      </c>
      <c r="CW145" s="19">
        <v>0</v>
      </c>
      <c r="CX145" s="19">
        <v>0</v>
      </c>
      <c r="CY145" s="19">
        <v>0</v>
      </c>
      <c r="CZ145" s="19">
        <v>0</v>
      </c>
      <c r="DA145" s="19">
        <v>0</v>
      </c>
      <c r="DB145" s="19">
        <v>0</v>
      </c>
      <c r="DC145" s="19">
        <v>0</v>
      </c>
      <c r="DD145" s="19">
        <v>0</v>
      </c>
      <c r="DE145" s="19">
        <v>0</v>
      </c>
      <c r="DF145" s="19">
        <v>0</v>
      </c>
      <c r="DG145" s="19">
        <v>0</v>
      </c>
    </row>
    <row r="146" spans="2:111" x14ac:dyDescent="0.15">
      <c r="B146" s="19" t="str">
        <f t="shared" si="2"/>
        <v>5_男_42</v>
      </c>
      <c r="C146" s="18">
        <v>5</v>
      </c>
      <c r="D146" s="18" t="s">
        <v>9</v>
      </c>
      <c r="E146" s="18">
        <v>42</v>
      </c>
      <c r="F146" s="19">
        <v>3722.1</v>
      </c>
      <c r="G146" s="19">
        <v>8334.7999999999993</v>
      </c>
      <c r="H146" s="19">
        <v>13644.2</v>
      </c>
      <c r="I146" s="19">
        <v>19707.400000000001</v>
      </c>
      <c r="J146" s="19">
        <v>25295.599999999999</v>
      </c>
      <c r="K146" s="19">
        <v>25529.7</v>
      </c>
      <c r="L146" s="19">
        <v>25773.5</v>
      </c>
      <c r="M146" s="19">
        <v>26027.4</v>
      </c>
      <c r="N146" s="19">
        <v>26291.7</v>
      </c>
      <c r="O146" s="19">
        <v>26567.1</v>
      </c>
      <c r="P146" s="19">
        <v>26854.1</v>
      </c>
      <c r="Q146" s="19">
        <v>27153.1</v>
      </c>
      <c r="R146" s="19">
        <v>27464.799999999999</v>
      </c>
      <c r="S146" s="19">
        <v>27789.8</v>
      </c>
      <c r="T146" s="19">
        <v>28128.9</v>
      </c>
      <c r="U146" s="19">
        <v>28482.7</v>
      </c>
      <c r="V146" s="19">
        <v>28852.1</v>
      </c>
      <c r="W146" s="19">
        <v>28238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0</v>
      </c>
      <c r="BT146" s="19">
        <v>0</v>
      </c>
      <c r="BU146" s="19">
        <v>0</v>
      </c>
      <c r="BV146" s="19">
        <v>0</v>
      </c>
      <c r="BW146" s="19">
        <v>0</v>
      </c>
      <c r="BX146" s="19">
        <v>0</v>
      </c>
      <c r="BY146" s="19">
        <v>0</v>
      </c>
      <c r="BZ146" s="19">
        <v>0</v>
      </c>
      <c r="CA146" s="19">
        <v>0</v>
      </c>
      <c r="CB146" s="19">
        <v>0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0</v>
      </c>
      <c r="CN146" s="19">
        <v>0</v>
      </c>
      <c r="CO146" s="19">
        <v>0</v>
      </c>
      <c r="CP146" s="19">
        <v>0</v>
      </c>
      <c r="CQ146" s="19">
        <v>0</v>
      </c>
      <c r="CR146" s="19">
        <v>0</v>
      </c>
      <c r="CS146" s="19">
        <v>0</v>
      </c>
      <c r="CT146" s="19">
        <v>0</v>
      </c>
      <c r="CU146" s="19">
        <v>0</v>
      </c>
      <c r="CV146" s="19">
        <v>0</v>
      </c>
      <c r="CW146" s="19">
        <v>0</v>
      </c>
      <c r="CX146" s="19">
        <v>0</v>
      </c>
      <c r="CY146" s="19">
        <v>0</v>
      </c>
      <c r="CZ146" s="19">
        <v>0</v>
      </c>
      <c r="DA146" s="19">
        <v>0</v>
      </c>
      <c r="DB146" s="19">
        <v>0</v>
      </c>
      <c r="DC146" s="19">
        <v>0</v>
      </c>
      <c r="DD146" s="19">
        <v>0</v>
      </c>
      <c r="DE146" s="19">
        <v>0</v>
      </c>
      <c r="DF146" s="19">
        <v>0</v>
      </c>
      <c r="DG146" s="19">
        <v>0</v>
      </c>
    </row>
    <row r="147" spans="2:111" x14ac:dyDescent="0.15">
      <c r="B147" s="19" t="str">
        <f t="shared" si="2"/>
        <v>5_男_43</v>
      </c>
      <c r="C147" s="18">
        <v>5</v>
      </c>
      <c r="D147" s="18" t="s">
        <v>9</v>
      </c>
      <c r="E147" s="18">
        <v>43</v>
      </c>
      <c r="F147" s="19">
        <v>3755.9</v>
      </c>
      <c r="G147" s="19">
        <v>8410.2999999999993</v>
      </c>
      <c r="H147" s="19">
        <v>13767.3</v>
      </c>
      <c r="I147" s="19">
        <v>19884.7</v>
      </c>
      <c r="J147" s="19">
        <v>25531.5</v>
      </c>
      <c r="K147" s="19">
        <v>25775.200000000001</v>
      </c>
      <c r="L147" s="19">
        <v>26029</v>
      </c>
      <c r="M147" s="19">
        <v>26293.3</v>
      </c>
      <c r="N147" s="19">
        <v>26568.7</v>
      </c>
      <c r="O147" s="19">
        <v>26855.5</v>
      </c>
      <c r="P147" s="19">
        <v>27154.400000000001</v>
      </c>
      <c r="Q147" s="19">
        <v>27465.9</v>
      </c>
      <c r="R147" s="19">
        <v>27790.799999999999</v>
      </c>
      <c r="S147" s="19">
        <v>28129.7</v>
      </c>
      <c r="T147" s="19">
        <v>28483.3</v>
      </c>
      <c r="U147" s="19">
        <v>28852.400000000001</v>
      </c>
      <c r="V147" s="19">
        <v>28238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0</v>
      </c>
      <c r="CB147" s="19">
        <v>0</v>
      </c>
      <c r="CC147" s="19">
        <v>0</v>
      </c>
      <c r="CD147" s="19">
        <v>0</v>
      </c>
      <c r="CE147" s="19">
        <v>0</v>
      </c>
      <c r="CF147" s="19">
        <v>0</v>
      </c>
      <c r="CG147" s="19">
        <v>0</v>
      </c>
      <c r="CH147" s="19">
        <v>0</v>
      </c>
      <c r="CI147" s="19">
        <v>0</v>
      </c>
      <c r="CJ147" s="19">
        <v>0</v>
      </c>
      <c r="CK147" s="19">
        <v>0</v>
      </c>
      <c r="CL147" s="19">
        <v>0</v>
      </c>
      <c r="CM147" s="19">
        <v>0</v>
      </c>
      <c r="CN147" s="19">
        <v>0</v>
      </c>
      <c r="CO147" s="19">
        <v>0</v>
      </c>
      <c r="CP147" s="19">
        <v>0</v>
      </c>
      <c r="CQ147" s="19">
        <v>0</v>
      </c>
      <c r="CR147" s="19">
        <v>0</v>
      </c>
      <c r="CS147" s="19">
        <v>0</v>
      </c>
      <c r="CT147" s="19">
        <v>0</v>
      </c>
      <c r="CU147" s="19">
        <v>0</v>
      </c>
      <c r="CV147" s="19">
        <v>0</v>
      </c>
      <c r="CW147" s="19">
        <v>0</v>
      </c>
      <c r="CX147" s="19">
        <v>0</v>
      </c>
      <c r="CY147" s="19">
        <v>0</v>
      </c>
      <c r="CZ147" s="19">
        <v>0</v>
      </c>
      <c r="DA147" s="19">
        <v>0</v>
      </c>
      <c r="DB147" s="19">
        <v>0</v>
      </c>
      <c r="DC147" s="19">
        <v>0</v>
      </c>
      <c r="DD147" s="19">
        <v>0</v>
      </c>
      <c r="DE147" s="19">
        <v>0</v>
      </c>
      <c r="DF147" s="19">
        <v>0</v>
      </c>
      <c r="DG147" s="19">
        <v>0</v>
      </c>
    </row>
    <row r="148" spans="2:111" x14ac:dyDescent="0.15">
      <c r="B148" s="19" t="str">
        <f t="shared" si="2"/>
        <v>5_男_44</v>
      </c>
      <c r="C148" s="18">
        <v>5</v>
      </c>
      <c r="D148" s="18" t="s">
        <v>9</v>
      </c>
      <c r="E148" s="18">
        <v>44</v>
      </c>
      <c r="F148" s="19">
        <v>3791.2</v>
      </c>
      <c r="G148" s="19">
        <v>8488.9</v>
      </c>
      <c r="H148" s="19">
        <v>13895.5</v>
      </c>
      <c r="I148" s="19">
        <v>20069.3</v>
      </c>
      <c r="J148" s="19">
        <v>25776.9</v>
      </c>
      <c r="K148" s="19">
        <v>26030.7</v>
      </c>
      <c r="L148" s="19">
        <v>26294.9</v>
      </c>
      <c r="M148" s="19">
        <v>26570.2</v>
      </c>
      <c r="N148" s="19">
        <v>26856.9</v>
      </c>
      <c r="O148" s="19">
        <v>27155.7</v>
      </c>
      <c r="P148" s="19">
        <v>27467.1</v>
      </c>
      <c r="Q148" s="19">
        <v>27791.8</v>
      </c>
      <c r="R148" s="19">
        <v>28130.400000000001</v>
      </c>
      <c r="S148" s="19">
        <v>28483.8</v>
      </c>
      <c r="T148" s="19">
        <v>28852.7</v>
      </c>
      <c r="U148" s="19">
        <v>28238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0</v>
      </c>
      <c r="CQ148" s="19">
        <v>0</v>
      </c>
      <c r="CR148" s="19">
        <v>0</v>
      </c>
      <c r="CS148" s="19">
        <v>0</v>
      </c>
      <c r="CT148" s="19">
        <v>0</v>
      </c>
      <c r="CU148" s="19">
        <v>0</v>
      </c>
      <c r="CV148" s="19">
        <v>0</v>
      </c>
      <c r="CW148" s="19">
        <v>0</v>
      </c>
      <c r="CX148" s="19">
        <v>0</v>
      </c>
      <c r="CY148" s="19">
        <v>0</v>
      </c>
      <c r="CZ148" s="19">
        <v>0</v>
      </c>
      <c r="DA148" s="19">
        <v>0</v>
      </c>
      <c r="DB148" s="19">
        <v>0</v>
      </c>
      <c r="DC148" s="19">
        <v>0</v>
      </c>
      <c r="DD148" s="19">
        <v>0</v>
      </c>
      <c r="DE148" s="19">
        <v>0</v>
      </c>
      <c r="DF148" s="19">
        <v>0</v>
      </c>
      <c r="DG148" s="19">
        <v>0</v>
      </c>
    </row>
    <row r="149" spans="2:111" x14ac:dyDescent="0.15">
      <c r="B149" s="19" t="str">
        <f t="shared" si="2"/>
        <v>5_男_45</v>
      </c>
      <c r="C149" s="18">
        <v>5</v>
      </c>
      <c r="D149" s="18" t="s">
        <v>9</v>
      </c>
      <c r="E149" s="18">
        <v>45</v>
      </c>
      <c r="F149" s="19">
        <v>3827.8</v>
      </c>
      <c r="G149" s="19">
        <v>8570.7000000000007</v>
      </c>
      <c r="H149" s="19">
        <v>14028.9</v>
      </c>
      <c r="I149" s="19">
        <v>20261.3</v>
      </c>
      <c r="J149" s="19">
        <v>26032.400000000001</v>
      </c>
      <c r="K149" s="19">
        <v>26296.6</v>
      </c>
      <c r="L149" s="19">
        <v>26571.7</v>
      </c>
      <c r="M149" s="19">
        <v>26858.400000000001</v>
      </c>
      <c r="N149" s="19">
        <v>27157</v>
      </c>
      <c r="O149" s="19">
        <v>27468.3</v>
      </c>
      <c r="P149" s="19">
        <v>27792.799999999999</v>
      </c>
      <c r="Q149" s="19">
        <v>28131.3</v>
      </c>
      <c r="R149" s="19">
        <v>28484.400000000001</v>
      </c>
      <c r="S149" s="19">
        <v>28853</v>
      </c>
      <c r="T149" s="19">
        <v>28238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19">
        <v>0</v>
      </c>
      <c r="CL149" s="19">
        <v>0</v>
      </c>
      <c r="CM149" s="19">
        <v>0</v>
      </c>
      <c r="CN149" s="19">
        <v>0</v>
      </c>
      <c r="CO149" s="19">
        <v>0</v>
      </c>
      <c r="CP149" s="19">
        <v>0</v>
      </c>
      <c r="CQ149" s="19">
        <v>0</v>
      </c>
      <c r="CR149" s="19">
        <v>0</v>
      </c>
      <c r="CS149" s="19">
        <v>0</v>
      </c>
      <c r="CT149" s="19">
        <v>0</v>
      </c>
      <c r="CU149" s="19">
        <v>0</v>
      </c>
      <c r="CV149" s="19">
        <v>0</v>
      </c>
      <c r="CW149" s="19">
        <v>0</v>
      </c>
      <c r="CX149" s="19">
        <v>0</v>
      </c>
      <c r="CY149" s="19">
        <v>0</v>
      </c>
      <c r="CZ149" s="19">
        <v>0</v>
      </c>
      <c r="DA149" s="19">
        <v>0</v>
      </c>
      <c r="DB149" s="19">
        <v>0</v>
      </c>
      <c r="DC149" s="19">
        <v>0</v>
      </c>
      <c r="DD149" s="19">
        <v>0</v>
      </c>
      <c r="DE149" s="19">
        <v>0</v>
      </c>
      <c r="DF149" s="19">
        <v>0</v>
      </c>
      <c r="DG149" s="19">
        <v>0</v>
      </c>
    </row>
    <row r="150" spans="2:111" x14ac:dyDescent="0.15">
      <c r="B150" s="19" t="str">
        <f t="shared" si="2"/>
        <v>5_男_46</v>
      </c>
      <c r="C150" s="18">
        <v>5</v>
      </c>
      <c r="D150" s="18" t="s">
        <v>9</v>
      </c>
      <c r="E150" s="18">
        <v>46</v>
      </c>
      <c r="F150" s="19">
        <v>3866</v>
      </c>
      <c r="G150" s="19">
        <v>8655.7999999999993</v>
      </c>
      <c r="H150" s="19">
        <v>14167.7</v>
      </c>
      <c r="I150" s="19">
        <v>20461.2</v>
      </c>
      <c r="J150" s="19">
        <v>26298.3</v>
      </c>
      <c r="K150" s="19">
        <v>26573.3</v>
      </c>
      <c r="L150" s="19">
        <v>26859.8</v>
      </c>
      <c r="M150" s="19">
        <v>27158.3</v>
      </c>
      <c r="N150" s="19">
        <v>27469.5</v>
      </c>
      <c r="O150" s="19">
        <v>27793.8</v>
      </c>
      <c r="P150" s="19">
        <v>28132.1</v>
      </c>
      <c r="Q150" s="19">
        <v>28485</v>
      </c>
      <c r="R150" s="19">
        <v>28853.3</v>
      </c>
      <c r="S150" s="19">
        <v>28238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>
        <v>0</v>
      </c>
      <c r="BW150" s="19">
        <v>0</v>
      </c>
      <c r="BX150" s="19">
        <v>0</v>
      </c>
      <c r="BY150" s="19">
        <v>0</v>
      </c>
      <c r="BZ150" s="19">
        <v>0</v>
      </c>
      <c r="CA150" s="19">
        <v>0</v>
      </c>
      <c r="CB150" s="19">
        <v>0</v>
      </c>
      <c r="CC150" s="19">
        <v>0</v>
      </c>
      <c r="CD150" s="19">
        <v>0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0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0</v>
      </c>
      <c r="CT150" s="19">
        <v>0</v>
      </c>
      <c r="CU150" s="19">
        <v>0</v>
      </c>
      <c r="CV150" s="19">
        <v>0</v>
      </c>
      <c r="CW150" s="19">
        <v>0</v>
      </c>
      <c r="CX150" s="19">
        <v>0</v>
      </c>
      <c r="CY150" s="19">
        <v>0</v>
      </c>
      <c r="CZ150" s="19">
        <v>0</v>
      </c>
      <c r="DA150" s="19">
        <v>0</v>
      </c>
      <c r="DB150" s="19">
        <v>0</v>
      </c>
      <c r="DC150" s="19">
        <v>0</v>
      </c>
      <c r="DD150" s="19">
        <v>0</v>
      </c>
      <c r="DE150" s="19">
        <v>0</v>
      </c>
      <c r="DF150" s="19">
        <v>0</v>
      </c>
      <c r="DG150" s="19">
        <v>0</v>
      </c>
    </row>
    <row r="151" spans="2:111" x14ac:dyDescent="0.15">
      <c r="B151" s="19" t="str">
        <f t="shared" si="2"/>
        <v>5_男_47</v>
      </c>
      <c r="C151" s="18">
        <v>5</v>
      </c>
      <c r="D151" s="18" t="s">
        <v>9</v>
      </c>
      <c r="E151" s="18">
        <v>47</v>
      </c>
      <c r="F151" s="19">
        <v>3905.7</v>
      </c>
      <c r="G151" s="19">
        <v>8744.4</v>
      </c>
      <c r="H151" s="19">
        <v>14312.1</v>
      </c>
      <c r="I151" s="19">
        <v>20669.099999999999</v>
      </c>
      <c r="J151" s="19">
        <v>26574.9</v>
      </c>
      <c r="K151" s="19">
        <v>26861.3</v>
      </c>
      <c r="L151" s="19">
        <v>27159.7</v>
      </c>
      <c r="M151" s="19">
        <v>27470.7</v>
      </c>
      <c r="N151" s="19">
        <v>27794.799999999999</v>
      </c>
      <c r="O151" s="19">
        <v>28132.9</v>
      </c>
      <c r="P151" s="19">
        <v>28485.599999999999</v>
      </c>
      <c r="Q151" s="19">
        <v>28853.7</v>
      </c>
      <c r="R151" s="19">
        <v>28238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0</v>
      </c>
      <c r="CT151" s="19">
        <v>0</v>
      </c>
      <c r="CU151" s="19">
        <v>0</v>
      </c>
      <c r="CV151" s="19">
        <v>0</v>
      </c>
      <c r="CW151" s="19">
        <v>0</v>
      </c>
      <c r="CX151" s="19">
        <v>0</v>
      </c>
      <c r="CY151" s="19">
        <v>0</v>
      </c>
      <c r="CZ151" s="19">
        <v>0</v>
      </c>
      <c r="DA151" s="19">
        <v>0</v>
      </c>
      <c r="DB151" s="19">
        <v>0</v>
      </c>
      <c r="DC151" s="19">
        <v>0</v>
      </c>
      <c r="DD151" s="19">
        <v>0</v>
      </c>
      <c r="DE151" s="19">
        <v>0</v>
      </c>
      <c r="DF151" s="19">
        <v>0</v>
      </c>
      <c r="DG151" s="19">
        <v>0</v>
      </c>
    </row>
    <row r="152" spans="2:111" x14ac:dyDescent="0.15">
      <c r="B152" s="19" t="str">
        <f t="shared" si="2"/>
        <v>5_男_48</v>
      </c>
      <c r="C152" s="18">
        <v>5</v>
      </c>
      <c r="D152" s="18" t="s">
        <v>9</v>
      </c>
      <c r="E152" s="18">
        <v>48</v>
      </c>
      <c r="F152" s="19">
        <v>3947</v>
      </c>
      <c r="G152" s="19">
        <v>8836.5</v>
      </c>
      <c r="H152" s="19">
        <v>14462.4</v>
      </c>
      <c r="I152" s="19">
        <v>20885.5</v>
      </c>
      <c r="J152" s="19">
        <v>26862.9</v>
      </c>
      <c r="K152" s="19">
        <v>27161.1</v>
      </c>
      <c r="L152" s="19">
        <v>27471.9</v>
      </c>
      <c r="M152" s="19">
        <v>27795.9</v>
      </c>
      <c r="N152" s="19">
        <v>28133.7</v>
      </c>
      <c r="O152" s="19">
        <v>28486.2</v>
      </c>
      <c r="P152" s="19">
        <v>28854</v>
      </c>
      <c r="Q152" s="19">
        <v>28238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0</v>
      </c>
      <c r="CT152" s="19">
        <v>0</v>
      </c>
      <c r="CU152" s="19">
        <v>0</v>
      </c>
      <c r="CV152" s="19">
        <v>0</v>
      </c>
      <c r="CW152" s="19">
        <v>0</v>
      </c>
      <c r="CX152" s="19">
        <v>0</v>
      </c>
      <c r="CY152" s="19">
        <v>0</v>
      </c>
      <c r="CZ152" s="19">
        <v>0</v>
      </c>
      <c r="DA152" s="19">
        <v>0</v>
      </c>
      <c r="DB152" s="19">
        <v>0</v>
      </c>
      <c r="DC152" s="19">
        <v>0</v>
      </c>
      <c r="DD152" s="19">
        <v>0</v>
      </c>
      <c r="DE152" s="19">
        <v>0</v>
      </c>
      <c r="DF152" s="19">
        <v>0</v>
      </c>
      <c r="DG152" s="19">
        <v>0</v>
      </c>
    </row>
    <row r="153" spans="2:111" x14ac:dyDescent="0.15">
      <c r="B153" s="19" t="str">
        <f t="shared" si="2"/>
        <v>5_男_49</v>
      </c>
      <c r="C153" s="18">
        <v>5</v>
      </c>
      <c r="D153" s="18" t="s">
        <v>9</v>
      </c>
      <c r="E153" s="18">
        <v>49</v>
      </c>
      <c r="F153" s="19">
        <v>3990</v>
      </c>
      <c r="G153" s="19">
        <v>8932.4</v>
      </c>
      <c r="H153" s="19">
        <v>14618.7</v>
      </c>
      <c r="I153" s="19">
        <v>21110.7</v>
      </c>
      <c r="J153" s="19">
        <v>27162.5</v>
      </c>
      <c r="K153" s="19">
        <v>27473.200000000001</v>
      </c>
      <c r="L153" s="19">
        <v>27797</v>
      </c>
      <c r="M153" s="19">
        <v>28134.6</v>
      </c>
      <c r="N153" s="19">
        <v>28486.799999999999</v>
      </c>
      <c r="O153" s="19">
        <v>28854.3</v>
      </c>
      <c r="P153" s="19">
        <v>28238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>
        <v>0</v>
      </c>
      <c r="BW153" s="19">
        <v>0</v>
      </c>
      <c r="BX153" s="19">
        <v>0</v>
      </c>
      <c r="BY153" s="19">
        <v>0</v>
      </c>
      <c r="BZ153" s="19">
        <v>0</v>
      </c>
      <c r="CA153" s="19">
        <v>0</v>
      </c>
      <c r="CB153" s="19">
        <v>0</v>
      </c>
      <c r="CC153" s="19">
        <v>0</v>
      </c>
      <c r="CD153" s="19">
        <v>0</v>
      </c>
      <c r="CE153" s="19">
        <v>0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19">
        <v>0</v>
      </c>
      <c r="CL153" s="19">
        <v>0</v>
      </c>
      <c r="CM153" s="19">
        <v>0</v>
      </c>
      <c r="CN153" s="19">
        <v>0</v>
      </c>
      <c r="CO153" s="19">
        <v>0</v>
      </c>
      <c r="CP153" s="19">
        <v>0</v>
      </c>
      <c r="CQ153" s="19">
        <v>0</v>
      </c>
      <c r="CR153" s="19">
        <v>0</v>
      </c>
      <c r="CS153" s="19">
        <v>0</v>
      </c>
      <c r="CT153" s="19">
        <v>0</v>
      </c>
      <c r="CU153" s="19">
        <v>0</v>
      </c>
      <c r="CV153" s="19">
        <v>0</v>
      </c>
      <c r="CW153" s="19">
        <v>0</v>
      </c>
      <c r="CX153" s="19">
        <v>0</v>
      </c>
      <c r="CY153" s="19">
        <v>0</v>
      </c>
      <c r="CZ153" s="19">
        <v>0</v>
      </c>
      <c r="DA153" s="19">
        <v>0</v>
      </c>
      <c r="DB153" s="19">
        <v>0</v>
      </c>
      <c r="DC153" s="19">
        <v>0</v>
      </c>
      <c r="DD153" s="19">
        <v>0</v>
      </c>
      <c r="DE153" s="19">
        <v>0</v>
      </c>
      <c r="DF153" s="19">
        <v>0</v>
      </c>
      <c r="DG153" s="19">
        <v>0</v>
      </c>
    </row>
    <row r="154" spans="2:111" x14ac:dyDescent="0.15">
      <c r="B154" s="19" t="str">
        <f t="shared" si="2"/>
        <v>5_男_50</v>
      </c>
      <c r="C154" s="18">
        <v>5</v>
      </c>
      <c r="D154" s="18" t="s">
        <v>9</v>
      </c>
      <c r="E154" s="18">
        <v>50</v>
      </c>
      <c r="F154" s="19">
        <v>4034.8</v>
      </c>
      <c r="G154" s="19">
        <v>9032.1</v>
      </c>
      <c r="H154" s="19">
        <v>14781.4</v>
      </c>
      <c r="I154" s="19">
        <v>21345</v>
      </c>
      <c r="J154" s="19">
        <v>27474.400000000001</v>
      </c>
      <c r="K154" s="19">
        <v>27798</v>
      </c>
      <c r="L154" s="19">
        <v>28135.5</v>
      </c>
      <c r="M154" s="19">
        <v>28487.4</v>
      </c>
      <c r="N154" s="19">
        <v>28854.6</v>
      </c>
      <c r="O154" s="19">
        <v>28238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>
        <v>0</v>
      </c>
      <c r="BW154" s="19">
        <v>0</v>
      </c>
      <c r="BX154" s="19">
        <v>0</v>
      </c>
      <c r="BY154" s="19">
        <v>0</v>
      </c>
      <c r="BZ154" s="19">
        <v>0</v>
      </c>
      <c r="CA154" s="19">
        <v>0</v>
      </c>
      <c r="CB154" s="19">
        <v>0</v>
      </c>
      <c r="CC154" s="19">
        <v>0</v>
      </c>
      <c r="CD154" s="19">
        <v>0</v>
      </c>
      <c r="CE154" s="19">
        <v>0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19">
        <v>0</v>
      </c>
      <c r="CL154" s="19">
        <v>0</v>
      </c>
      <c r="CM154" s="19">
        <v>0</v>
      </c>
      <c r="CN154" s="19">
        <v>0</v>
      </c>
      <c r="CO154" s="19">
        <v>0</v>
      </c>
      <c r="CP154" s="19">
        <v>0</v>
      </c>
      <c r="CQ154" s="19">
        <v>0</v>
      </c>
      <c r="CR154" s="19">
        <v>0</v>
      </c>
      <c r="CS154" s="19">
        <v>0</v>
      </c>
      <c r="CT154" s="19">
        <v>0</v>
      </c>
      <c r="CU154" s="19">
        <v>0</v>
      </c>
      <c r="CV154" s="19">
        <v>0</v>
      </c>
      <c r="CW154" s="19">
        <v>0</v>
      </c>
      <c r="CX154" s="19">
        <v>0</v>
      </c>
      <c r="CY154" s="19">
        <v>0</v>
      </c>
      <c r="CZ154" s="19">
        <v>0</v>
      </c>
      <c r="DA154" s="19">
        <v>0</v>
      </c>
      <c r="DB154" s="19">
        <v>0</v>
      </c>
      <c r="DC154" s="19">
        <v>0</v>
      </c>
      <c r="DD154" s="19">
        <v>0</v>
      </c>
      <c r="DE154" s="19">
        <v>0</v>
      </c>
      <c r="DF154" s="19">
        <v>0</v>
      </c>
      <c r="DG154" s="19">
        <v>0</v>
      </c>
    </row>
    <row r="155" spans="2:111" x14ac:dyDescent="0.15">
      <c r="B155" s="19" t="str">
        <f t="shared" si="2"/>
        <v>10_男_0</v>
      </c>
      <c r="C155" s="18">
        <v>10</v>
      </c>
      <c r="D155" s="18" t="s">
        <v>9</v>
      </c>
      <c r="E155" s="18">
        <v>0</v>
      </c>
      <c r="F155" s="19">
        <v>1438.7</v>
      </c>
      <c r="G155" s="19">
        <v>3345.3</v>
      </c>
      <c r="H155" s="19">
        <v>5633.7</v>
      </c>
      <c r="I155" s="19">
        <v>8208.4</v>
      </c>
      <c r="J155" s="19">
        <v>10013.799999999999</v>
      </c>
      <c r="K155" s="19">
        <v>11941.9</v>
      </c>
      <c r="L155" s="19">
        <v>13999.9</v>
      </c>
      <c r="M155" s="19">
        <v>16195.3</v>
      </c>
      <c r="N155" s="19">
        <v>18535.8</v>
      </c>
      <c r="O155" s="19">
        <v>21029.599999999999</v>
      </c>
      <c r="P155" s="19">
        <v>21077.5</v>
      </c>
      <c r="Q155" s="19">
        <v>21127.5</v>
      </c>
      <c r="R155" s="19">
        <v>21179.599999999999</v>
      </c>
      <c r="S155" s="19">
        <v>21234</v>
      </c>
      <c r="T155" s="19">
        <v>21290.7</v>
      </c>
      <c r="U155" s="19">
        <v>21350</v>
      </c>
      <c r="V155" s="19">
        <v>21411.8</v>
      </c>
      <c r="W155" s="19">
        <v>21476.400000000001</v>
      </c>
      <c r="X155" s="19">
        <v>21544</v>
      </c>
      <c r="Y155" s="19">
        <v>21614.7</v>
      </c>
      <c r="Z155" s="19">
        <v>21688.7</v>
      </c>
      <c r="AA155" s="19">
        <v>21766.1</v>
      </c>
      <c r="AB155" s="19">
        <v>21847.200000000001</v>
      </c>
      <c r="AC155" s="19">
        <v>21932</v>
      </c>
      <c r="AD155" s="19">
        <v>22020.7</v>
      </c>
      <c r="AE155" s="19">
        <v>22113.599999999999</v>
      </c>
      <c r="AF155" s="19">
        <v>22210.7</v>
      </c>
      <c r="AG155" s="19">
        <v>22312.2</v>
      </c>
      <c r="AH155" s="19">
        <v>22418.400000000001</v>
      </c>
      <c r="AI155" s="19">
        <v>22529.3</v>
      </c>
      <c r="AJ155" s="19">
        <v>22645.200000000001</v>
      </c>
      <c r="AK155" s="19">
        <v>22766.3</v>
      </c>
      <c r="AL155" s="19">
        <v>22892.7</v>
      </c>
      <c r="AM155" s="19">
        <v>23024.6</v>
      </c>
      <c r="AN155" s="19">
        <v>23162.3</v>
      </c>
      <c r="AO155" s="19">
        <v>23305.9</v>
      </c>
      <c r="AP155" s="19">
        <v>23455.599999999999</v>
      </c>
      <c r="AQ155" s="19">
        <v>23611.7</v>
      </c>
      <c r="AR155" s="19">
        <v>23774.3</v>
      </c>
      <c r="AS155" s="19">
        <v>23943.8</v>
      </c>
      <c r="AT155" s="19">
        <v>24120.3</v>
      </c>
      <c r="AU155" s="19">
        <v>24304.1</v>
      </c>
      <c r="AV155" s="19">
        <v>24495.5</v>
      </c>
      <c r="AW155" s="19">
        <v>24694.7</v>
      </c>
      <c r="AX155" s="19">
        <v>24901.9</v>
      </c>
      <c r="AY155" s="19">
        <v>25117.599999999999</v>
      </c>
      <c r="AZ155" s="19">
        <v>25341.9</v>
      </c>
      <c r="BA155" s="19">
        <v>25575.200000000001</v>
      </c>
      <c r="BB155" s="19">
        <v>25818</v>
      </c>
      <c r="BC155" s="19">
        <v>26070.5</v>
      </c>
      <c r="BD155" s="19">
        <v>26333.1</v>
      </c>
      <c r="BE155" s="19">
        <v>26606.3</v>
      </c>
      <c r="BF155" s="19">
        <v>26890.6</v>
      </c>
      <c r="BG155" s="19">
        <v>27186.5</v>
      </c>
      <c r="BH155" s="19">
        <v>27494.400000000001</v>
      </c>
      <c r="BI155" s="19">
        <v>27815.1</v>
      </c>
      <c r="BJ155" s="19">
        <v>28149.1</v>
      </c>
      <c r="BK155" s="19">
        <v>28497.1</v>
      </c>
      <c r="BL155" s="19">
        <v>28859.8</v>
      </c>
      <c r="BM155" s="19">
        <v>28238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19">
        <v>0</v>
      </c>
      <c r="CL155" s="19">
        <v>0</v>
      </c>
      <c r="CM155" s="19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0</v>
      </c>
      <c r="CT155" s="19">
        <v>0</v>
      </c>
      <c r="CU155" s="19">
        <v>0</v>
      </c>
      <c r="CV155" s="19">
        <v>0</v>
      </c>
      <c r="CW155" s="19">
        <v>0</v>
      </c>
      <c r="CX155" s="19">
        <v>0</v>
      </c>
      <c r="CY155" s="19">
        <v>0</v>
      </c>
      <c r="CZ155" s="19">
        <v>0</v>
      </c>
      <c r="DA155" s="19">
        <v>0</v>
      </c>
      <c r="DB155" s="19">
        <v>0</v>
      </c>
      <c r="DC155" s="19">
        <v>0</v>
      </c>
      <c r="DD155" s="19">
        <v>0</v>
      </c>
      <c r="DE155" s="19">
        <v>0</v>
      </c>
      <c r="DF155" s="19">
        <v>0</v>
      </c>
      <c r="DG155" s="19">
        <v>0</v>
      </c>
    </row>
    <row r="156" spans="2:111" x14ac:dyDescent="0.15">
      <c r="B156" s="19" t="str">
        <f t="shared" si="2"/>
        <v>10_男_1</v>
      </c>
      <c r="C156" s="18">
        <v>10</v>
      </c>
      <c r="D156" s="18" t="s">
        <v>9</v>
      </c>
      <c r="E156" s="18">
        <v>1</v>
      </c>
      <c r="F156" s="19">
        <v>1441.4</v>
      </c>
      <c r="G156" s="19">
        <v>3351.6</v>
      </c>
      <c r="H156" s="19">
        <v>5644.2</v>
      </c>
      <c r="I156" s="19">
        <v>8223.5</v>
      </c>
      <c r="J156" s="19">
        <v>10033.700000000001</v>
      </c>
      <c r="K156" s="19">
        <v>11966.9</v>
      </c>
      <c r="L156" s="19">
        <v>14030.3</v>
      </c>
      <c r="M156" s="19">
        <v>16231.3</v>
      </c>
      <c r="N156" s="19">
        <v>18577.7</v>
      </c>
      <c r="O156" s="19">
        <v>21077.8</v>
      </c>
      <c r="P156" s="19">
        <v>21127.8</v>
      </c>
      <c r="Q156" s="19">
        <v>21179.9</v>
      </c>
      <c r="R156" s="19">
        <v>21234.3</v>
      </c>
      <c r="S156" s="19">
        <v>21291</v>
      </c>
      <c r="T156" s="19">
        <v>21350.2</v>
      </c>
      <c r="U156" s="19">
        <v>21412.1</v>
      </c>
      <c r="V156" s="19">
        <v>21476.7</v>
      </c>
      <c r="W156" s="19">
        <v>21544.3</v>
      </c>
      <c r="X156" s="19">
        <v>21615</v>
      </c>
      <c r="Y156" s="19">
        <v>21689</v>
      </c>
      <c r="Z156" s="19">
        <v>21766.5</v>
      </c>
      <c r="AA156" s="19">
        <v>21847.5</v>
      </c>
      <c r="AB156" s="19">
        <v>21932.3</v>
      </c>
      <c r="AC156" s="19">
        <v>22021.1</v>
      </c>
      <c r="AD156" s="19">
        <v>22113.9</v>
      </c>
      <c r="AE156" s="19">
        <v>22211.1</v>
      </c>
      <c r="AF156" s="19">
        <v>22312.6</v>
      </c>
      <c r="AG156" s="19">
        <v>22418.799999999999</v>
      </c>
      <c r="AH156" s="19">
        <v>22529.8</v>
      </c>
      <c r="AI156" s="19">
        <v>22645.7</v>
      </c>
      <c r="AJ156" s="19">
        <v>22766.799999999999</v>
      </c>
      <c r="AK156" s="19">
        <v>22893.200000000001</v>
      </c>
      <c r="AL156" s="19">
        <v>23025.1</v>
      </c>
      <c r="AM156" s="19">
        <v>23162.799999999999</v>
      </c>
      <c r="AN156" s="19">
        <v>23306.400000000001</v>
      </c>
      <c r="AO156" s="19">
        <v>23456.1</v>
      </c>
      <c r="AP156" s="19">
        <v>23612.2</v>
      </c>
      <c r="AQ156" s="19">
        <v>23774.9</v>
      </c>
      <c r="AR156" s="19">
        <v>23944.400000000001</v>
      </c>
      <c r="AS156" s="19">
        <v>24120.9</v>
      </c>
      <c r="AT156" s="19">
        <v>24304.7</v>
      </c>
      <c r="AU156" s="19">
        <v>24496.1</v>
      </c>
      <c r="AV156" s="19">
        <v>24695.200000000001</v>
      </c>
      <c r="AW156" s="19">
        <v>24902.5</v>
      </c>
      <c r="AX156" s="19">
        <v>25118.1</v>
      </c>
      <c r="AY156" s="19">
        <v>25342.400000000001</v>
      </c>
      <c r="AZ156" s="19">
        <v>25575.8</v>
      </c>
      <c r="BA156" s="19">
        <v>25818.5</v>
      </c>
      <c r="BB156" s="19">
        <v>26071</v>
      </c>
      <c r="BC156" s="19">
        <v>26333.599999999999</v>
      </c>
      <c r="BD156" s="19">
        <v>26606.799999999999</v>
      </c>
      <c r="BE156" s="19">
        <v>26891.1</v>
      </c>
      <c r="BF156" s="19">
        <v>27186.9</v>
      </c>
      <c r="BG156" s="19">
        <v>27494.799999999999</v>
      </c>
      <c r="BH156" s="19">
        <v>27815.4</v>
      </c>
      <c r="BI156" s="19">
        <v>28149.3</v>
      </c>
      <c r="BJ156" s="19">
        <v>28497.3</v>
      </c>
      <c r="BK156" s="19">
        <v>28859.9</v>
      </c>
      <c r="BL156" s="19">
        <v>28238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0</v>
      </c>
      <c r="CT156" s="19">
        <v>0</v>
      </c>
      <c r="CU156" s="19">
        <v>0</v>
      </c>
      <c r="CV156" s="19">
        <v>0</v>
      </c>
      <c r="CW156" s="19">
        <v>0</v>
      </c>
      <c r="CX156" s="19">
        <v>0</v>
      </c>
      <c r="CY156" s="19">
        <v>0</v>
      </c>
      <c r="CZ156" s="19">
        <v>0</v>
      </c>
      <c r="DA156" s="19">
        <v>0</v>
      </c>
      <c r="DB156" s="19">
        <v>0</v>
      </c>
      <c r="DC156" s="19">
        <v>0</v>
      </c>
      <c r="DD156" s="19">
        <v>0</v>
      </c>
      <c r="DE156" s="19">
        <v>0</v>
      </c>
      <c r="DF156" s="19">
        <v>0</v>
      </c>
      <c r="DG156" s="19">
        <v>0</v>
      </c>
    </row>
    <row r="157" spans="2:111" x14ac:dyDescent="0.15">
      <c r="B157" s="19" t="str">
        <f t="shared" si="2"/>
        <v>10_男_2</v>
      </c>
      <c r="C157" s="18">
        <v>10</v>
      </c>
      <c r="D157" s="18" t="s">
        <v>9</v>
      </c>
      <c r="E157" s="18">
        <v>2</v>
      </c>
      <c r="F157" s="19">
        <v>1444.2</v>
      </c>
      <c r="G157" s="19">
        <v>3358</v>
      </c>
      <c r="H157" s="19">
        <v>5655</v>
      </c>
      <c r="I157" s="19">
        <v>8239.1</v>
      </c>
      <c r="J157" s="19">
        <v>10054.299999999999</v>
      </c>
      <c r="K157" s="19">
        <v>11992.9</v>
      </c>
      <c r="L157" s="19">
        <v>14062</v>
      </c>
      <c r="M157" s="19">
        <v>16268.8</v>
      </c>
      <c r="N157" s="19">
        <v>18621.400000000001</v>
      </c>
      <c r="O157" s="19">
        <v>21128</v>
      </c>
      <c r="P157" s="19">
        <v>21180.2</v>
      </c>
      <c r="Q157" s="19">
        <v>21234.6</v>
      </c>
      <c r="R157" s="19">
        <v>21291.3</v>
      </c>
      <c r="S157" s="19">
        <v>21350.6</v>
      </c>
      <c r="T157" s="19">
        <v>21412.400000000001</v>
      </c>
      <c r="U157" s="19">
        <v>21477.1</v>
      </c>
      <c r="V157" s="19">
        <v>21544.7</v>
      </c>
      <c r="W157" s="19">
        <v>21615.4</v>
      </c>
      <c r="X157" s="19">
        <v>21689.4</v>
      </c>
      <c r="Y157" s="19">
        <v>21766.9</v>
      </c>
      <c r="Z157" s="19">
        <v>21847.9</v>
      </c>
      <c r="AA157" s="19">
        <v>21932.7</v>
      </c>
      <c r="AB157" s="19">
        <v>22021.5</v>
      </c>
      <c r="AC157" s="19">
        <v>22114.400000000001</v>
      </c>
      <c r="AD157" s="19">
        <v>22211.5</v>
      </c>
      <c r="AE157" s="19">
        <v>22313.1</v>
      </c>
      <c r="AF157" s="19">
        <v>22419.3</v>
      </c>
      <c r="AG157" s="19">
        <v>22530.2</v>
      </c>
      <c r="AH157" s="19">
        <v>22646.2</v>
      </c>
      <c r="AI157" s="19">
        <v>22767.3</v>
      </c>
      <c r="AJ157" s="19">
        <v>22893.7</v>
      </c>
      <c r="AK157" s="19">
        <v>23025.599999999999</v>
      </c>
      <c r="AL157" s="19">
        <v>23163.3</v>
      </c>
      <c r="AM157" s="19">
        <v>23306.9</v>
      </c>
      <c r="AN157" s="19">
        <v>23456.7</v>
      </c>
      <c r="AO157" s="19">
        <v>23612.799999999999</v>
      </c>
      <c r="AP157" s="19">
        <v>23775.5</v>
      </c>
      <c r="AQ157" s="19">
        <v>23945</v>
      </c>
      <c r="AR157" s="19">
        <v>24121.5</v>
      </c>
      <c r="AS157" s="19">
        <v>24305.3</v>
      </c>
      <c r="AT157" s="19">
        <v>24496.7</v>
      </c>
      <c r="AU157" s="19">
        <v>24695.9</v>
      </c>
      <c r="AV157" s="19">
        <v>24903.1</v>
      </c>
      <c r="AW157" s="19">
        <v>25118.7</v>
      </c>
      <c r="AX157" s="19">
        <v>25343.1</v>
      </c>
      <c r="AY157" s="19">
        <v>25576.400000000001</v>
      </c>
      <c r="AZ157" s="19">
        <v>25819.1</v>
      </c>
      <c r="BA157" s="19">
        <v>26071.599999999999</v>
      </c>
      <c r="BB157" s="19">
        <v>26334.1</v>
      </c>
      <c r="BC157" s="19">
        <v>26607.3</v>
      </c>
      <c r="BD157" s="19">
        <v>26891.5</v>
      </c>
      <c r="BE157" s="19">
        <v>27187.3</v>
      </c>
      <c r="BF157" s="19">
        <v>27495.200000000001</v>
      </c>
      <c r="BG157" s="19">
        <v>27815.7</v>
      </c>
      <c r="BH157" s="19">
        <v>28149.599999999999</v>
      </c>
      <c r="BI157" s="19">
        <v>28497.5</v>
      </c>
      <c r="BJ157" s="19">
        <v>28860</v>
      </c>
      <c r="BK157" s="19">
        <v>28238</v>
      </c>
      <c r="BL157" s="19">
        <v>0</v>
      </c>
      <c r="BM157" s="19">
        <v>0</v>
      </c>
      <c r="BN157" s="19">
        <v>0</v>
      </c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>
        <v>0</v>
      </c>
      <c r="BW157" s="19">
        <v>0</v>
      </c>
      <c r="BX157" s="19">
        <v>0</v>
      </c>
      <c r="BY157" s="19">
        <v>0</v>
      </c>
      <c r="BZ157" s="19">
        <v>0</v>
      </c>
      <c r="CA157" s="19">
        <v>0</v>
      </c>
      <c r="CB157" s="19">
        <v>0</v>
      </c>
      <c r="CC157" s="19">
        <v>0</v>
      </c>
      <c r="CD157" s="19">
        <v>0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19">
        <v>0</v>
      </c>
      <c r="CL157" s="19">
        <v>0</v>
      </c>
      <c r="CM157" s="19">
        <v>0</v>
      </c>
      <c r="CN157" s="19">
        <v>0</v>
      </c>
      <c r="CO157" s="19">
        <v>0</v>
      </c>
      <c r="CP157" s="19">
        <v>0</v>
      </c>
      <c r="CQ157" s="19">
        <v>0</v>
      </c>
      <c r="CR157" s="19">
        <v>0</v>
      </c>
      <c r="CS157" s="19">
        <v>0</v>
      </c>
      <c r="CT157" s="19">
        <v>0</v>
      </c>
      <c r="CU157" s="19">
        <v>0</v>
      </c>
      <c r="CV157" s="19">
        <v>0</v>
      </c>
      <c r="CW157" s="19">
        <v>0</v>
      </c>
      <c r="CX157" s="19">
        <v>0</v>
      </c>
      <c r="CY157" s="19">
        <v>0</v>
      </c>
      <c r="CZ157" s="19">
        <v>0</v>
      </c>
      <c r="DA157" s="19">
        <v>0</v>
      </c>
      <c r="DB157" s="19">
        <v>0</v>
      </c>
      <c r="DC157" s="19">
        <v>0</v>
      </c>
      <c r="DD157" s="19">
        <v>0</v>
      </c>
      <c r="DE157" s="19">
        <v>0</v>
      </c>
      <c r="DF157" s="19">
        <v>0</v>
      </c>
      <c r="DG157" s="19">
        <v>0</v>
      </c>
    </row>
    <row r="158" spans="2:111" x14ac:dyDescent="0.15">
      <c r="B158" s="19" t="str">
        <f t="shared" si="2"/>
        <v>10_男_3</v>
      </c>
      <c r="C158" s="18">
        <v>10</v>
      </c>
      <c r="D158" s="18" t="s">
        <v>9</v>
      </c>
      <c r="E158" s="18">
        <v>3</v>
      </c>
      <c r="F158" s="19">
        <v>1447.1</v>
      </c>
      <c r="G158" s="19">
        <v>3364.7</v>
      </c>
      <c r="H158" s="19">
        <v>5666.1</v>
      </c>
      <c r="I158" s="19">
        <v>8255.2000000000007</v>
      </c>
      <c r="J158" s="19">
        <v>10075.799999999999</v>
      </c>
      <c r="K158" s="19">
        <v>12019.9</v>
      </c>
      <c r="L158" s="19">
        <v>14094.8</v>
      </c>
      <c r="M158" s="19">
        <v>16307.9</v>
      </c>
      <c r="N158" s="19">
        <v>18667</v>
      </c>
      <c r="O158" s="19">
        <v>21180.5</v>
      </c>
      <c r="P158" s="19">
        <v>21234.9</v>
      </c>
      <c r="Q158" s="19">
        <v>21291.7</v>
      </c>
      <c r="R158" s="19">
        <v>21350.9</v>
      </c>
      <c r="S158" s="19">
        <v>21412.799999999999</v>
      </c>
      <c r="T158" s="19">
        <v>21477.4</v>
      </c>
      <c r="U158" s="19">
        <v>21545</v>
      </c>
      <c r="V158" s="19">
        <v>21615.8</v>
      </c>
      <c r="W158" s="19">
        <v>21689.8</v>
      </c>
      <c r="X158" s="19">
        <v>21767.3</v>
      </c>
      <c r="Y158" s="19">
        <v>21848.3</v>
      </c>
      <c r="Z158" s="19">
        <v>21933.200000000001</v>
      </c>
      <c r="AA158" s="19">
        <v>22021.9</v>
      </c>
      <c r="AB158" s="19">
        <v>22114.799999999999</v>
      </c>
      <c r="AC158" s="19">
        <v>22212</v>
      </c>
      <c r="AD158" s="19">
        <v>22313.599999999999</v>
      </c>
      <c r="AE158" s="19">
        <v>22419.8</v>
      </c>
      <c r="AF158" s="19">
        <v>22530.799999999999</v>
      </c>
      <c r="AG158" s="19">
        <v>22646.7</v>
      </c>
      <c r="AH158" s="19">
        <v>22767.8</v>
      </c>
      <c r="AI158" s="19">
        <v>22894.2</v>
      </c>
      <c r="AJ158" s="19">
        <v>23026.2</v>
      </c>
      <c r="AK158" s="19">
        <v>23163.9</v>
      </c>
      <c r="AL158" s="19">
        <v>23307.5</v>
      </c>
      <c r="AM158" s="19">
        <v>23457.3</v>
      </c>
      <c r="AN158" s="19">
        <v>23613.4</v>
      </c>
      <c r="AO158" s="19">
        <v>23776.1</v>
      </c>
      <c r="AP158" s="19">
        <v>23945.599999999999</v>
      </c>
      <c r="AQ158" s="19">
        <v>24122.1</v>
      </c>
      <c r="AR158" s="19">
        <v>24306</v>
      </c>
      <c r="AS158" s="19">
        <v>24497.3</v>
      </c>
      <c r="AT158" s="19">
        <v>24696.5</v>
      </c>
      <c r="AU158" s="19">
        <v>24903.8</v>
      </c>
      <c r="AV158" s="19">
        <v>25119.4</v>
      </c>
      <c r="AW158" s="19">
        <v>25343.7</v>
      </c>
      <c r="AX158" s="19">
        <v>25577</v>
      </c>
      <c r="AY158" s="19">
        <v>25819.7</v>
      </c>
      <c r="AZ158" s="19">
        <v>26072.2</v>
      </c>
      <c r="BA158" s="19">
        <v>26334.7</v>
      </c>
      <c r="BB158" s="19">
        <v>26607.9</v>
      </c>
      <c r="BC158" s="19">
        <v>26892.1</v>
      </c>
      <c r="BD158" s="19">
        <v>27187.8</v>
      </c>
      <c r="BE158" s="19">
        <v>27495.599999999999</v>
      </c>
      <c r="BF158" s="19">
        <v>27816.1</v>
      </c>
      <c r="BG158" s="19">
        <v>28149.9</v>
      </c>
      <c r="BH158" s="19">
        <v>28497.7</v>
      </c>
      <c r="BI158" s="19">
        <v>28860.1</v>
      </c>
      <c r="BJ158" s="19">
        <v>28238</v>
      </c>
      <c r="BK158" s="19">
        <v>0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0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0</v>
      </c>
      <c r="CT158" s="19">
        <v>0</v>
      </c>
      <c r="CU158" s="19">
        <v>0</v>
      </c>
      <c r="CV158" s="19">
        <v>0</v>
      </c>
      <c r="CW158" s="19">
        <v>0</v>
      </c>
      <c r="CX158" s="19">
        <v>0</v>
      </c>
      <c r="CY158" s="19">
        <v>0</v>
      </c>
      <c r="CZ158" s="19">
        <v>0</v>
      </c>
      <c r="DA158" s="19">
        <v>0</v>
      </c>
      <c r="DB158" s="19">
        <v>0</v>
      </c>
      <c r="DC158" s="19">
        <v>0</v>
      </c>
      <c r="DD158" s="19">
        <v>0</v>
      </c>
      <c r="DE158" s="19">
        <v>0</v>
      </c>
      <c r="DF158" s="19">
        <v>0</v>
      </c>
      <c r="DG158" s="19">
        <v>0</v>
      </c>
    </row>
    <row r="159" spans="2:111" x14ac:dyDescent="0.15">
      <c r="B159" s="19" t="str">
        <f t="shared" si="2"/>
        <v>10_男_4</v>
      </c>
      <c r="C159" s="18">
        <v>10</v>
      </c>
      <c r="D159" s="18" t="s">
        <v>9</v>
      </c>
      <c r="E159" s="18">
        <v>4</v>
      </c>
      <c r="F159" s="19">
        <v>1450</v>
      </c>
      <c r="G159" s="19">
        <v>3371.6</v>
      </c>
      <c r="H159" s="19">
        <v>5677.7</v>
      </c>
      <c r="I159" s="19">
        <v>8272</v>
      </c>
      <c r="J159" s="19">
        <v>10098</v>
      </c>
      <c r="K159" s="19">
        <v>12048</v>
      </c>
      <c r="L159" s="19">
        <v>14129.1</v>
      </c>
      <c r="M159" s="19">
        <v>16348.6</v>
      </c>
      <c r="N159" s="19">
        <v>18714.599999999999</v>
      </c>
      <c r="O159" s="19">
        <v>21235.200000000001</v>
      </c>
      <c r="P159" s="19">
        <v>21292</v>
      </c>
      <c r="Q159" s="19">
        <v>21351.200000000001</v>
      </c>
      <c r="R159" s="19">
        <v>21413.1</v>
      </c>
      <c r="S159" s="19">
        <v>21477.8</v>
      </c>
      <c r="T159" s="19">
        <v>21545.4</v>
      </c>
      <c r="U159" s="19">
        <v>21616.2</v>
      </c>
      <c r="V159" s="19">
        <v>21690.2</v>
      </c>
      <c r="W159" s="19">
        <v>21767.7</v>
      </c>
      <c r="X159" s="19">
        <v>21848.799999999999</v>
      </c>
      <c r="Y159" s="19">
        <v>21933.599999999999</v>
      </c>
      <c r="Z159" s="19">
        <v>22022.400000000001</v>
      </c>
      <c r="AA159" s="19">
        <v>22115.3</v>
      </c>
      <c r="AB159" s="19">
        <v>22212.5</v>
      </c>
      <c r="AC159" s="19">
        <v>22314.1</v>
      </c>
      <c r="AD159" s="19">
        <v>22420.3</v>
      </c>
      <c r="AE159" s="19">
        <v>22531.3</v>
      </c>
      <c r="AF159" s="19">
        <v>22647.3</v>
      </c>
      <c r="AG159" s="19">
        <v>22768.400000000001</v>
      </c>
      <c r="AH159" s="19">
        <v>22894.799999999999</v>
      </c>
      <c r="AI159" s="19">
        <v>23026.799999999999</v>
      </c>
      <c r="AJ159" s="19">
        <v>23164.5</v>
      </c>
      <c r="AK159" s="19">
        <v>23308.2</v>
      </c>
      <c r="AL159" s="19">
        <v>23457.9</v>
      </c>
      <c r="AM159" s="19">
        <v>23614.1</v>
      </c>
      <c r="AN159" s="19">
        <v>23776.799999999999</v>
      </c>
      <c r="AO159" s="19">
        <v>23946.3</v>
      </c>
      <c r="AP159" s="19">
        <v>24122.799999999999</v>
      </c>
      <c r="AQ159" s="19">
        <v>24306.7</v>
      </c>
      <c r="AR159" s="19">
        <v>24498</v>
      </c>
      <c r="AS159" s="19">
        <v>24697.200000000001</v>
      </c>
      <c r="AT159" s="19">
        <v>24904.5</v>
      </c>
      <c r="AU159" s="19">
        <v>25120.1</v>
      </c>
      <c r="AV159" s="19">
        <v>25344.400000000001</v>
      </c>
      <c r="AW159" s="19">
        <v>25577.7</v>
      </c>
      <c r="AX159" s="19">
        <v>25820.400000000001</v>
      </c>
      <c r="AY159" s="19">
        <v>26072.799999999999</v>
      </c>
      <c r="AZ159" s="19">
        <v>26335.3</v>
      </c>
      <c r="BA159" s="19">
        <v>26608.5</v>
      </c>
      <c r="BB159" s="19">
        <v>26892.6</v>
      </c>
      <c r="BC159" s="19">
        <v>27188.3</v>
      </c>
      <c r="BD159" s="19">
        <v>27496</v>
      </c>
      <c r="BE159" s="19">
        <v>27816.5</v>
      </c>
      <c r="BF159" s="19">
        <v>28150.2</v>
      </c>
      <c r="BG159" s="19">
        <v>28497.9</v>
      </c>
      <c r="BH159" s="19">
        <v>28860.2</v>
      </c>
      <c r="BI159" s="19">
        <v>28238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0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0</v>
      </c>
      <c r="CT159" s="19">
        <v>0</v>
      </c>
      <c r="CU159" s="19">
        <v>0</v>
      </c>
      <c r="CV159" s="19">
        <v>0</v>
      </c>
      <c r="CW159" s="19">
        <v>0</v>
      </c>
      <c r="CX159" s="19">
        <v>0</v>
      </c>
      <c r="CY159" s="19">
        <v>0</v>
      </c>
      <c r="CZ159" s="19">
        <v>0</v>
      </c>
      <c r="DA159" s="19">
        <v>0</v>
      </c>
      <c r="DB159" s="19">
        <v>0</v>
      </c>
      <c r="DC159" s="19">
        <v>0</v>
      </c>
      <c r="DD159" s="19">
        <v>0</v>
      </c>
      <c r="DE159" s="19">
        <v>0</v>
      </c>
      <c r="DF159" s="19">
        <v>0</v>
      </c>
      <c r="DG159" s="19">
        <v>0</v>
      </c>
    </row>
    <row r="160" spans="2:111" x14ac:dyDescent="0.15">
      <c r="B160" s="19" t="str">
        <f t="shared" si="2"/>
        <v>10_男_5</v>
      </c>
      <c r="C160" s="18">
        <v>10</v>
      </c>
      <c r="D160" s="18" t="s">
        <v>9</v>
      </c>
      <c r="E160" s="18">
        <v>5</v>
      </c>
      <c r="F160" s="19">
        <v>1453.1</v>
      </c>
      <c r="G160" s="19">
        <v>3378.7</v>
      </c>
      <c r="H160" s="19">
        <v>5689.7</v>
      </c>
      <c r="I160" s="19">
        <v>8289.4</v>
      </c>
      <c r="J160" s="19">
        <v>10121.200000000001</v>
      </c>
      <c r="K160" s="19">
        <v>12077.2</v>
      </c>
      <c r="L160" s="19">
        <v>14164.7</v>
      </c>
      <c r="M160" s="19">
        <v>16391</v>
      </c>
      <c r="N160" s="19">
        <v>18764.099999999999</v>
      </c>
      <c r="O160" s="19">
        <v>21292.3</v>
      </c>
      <c r="P160" s="19">
        <v>21351.599999999999</v>
      </c>
      <c r="Q160" s="19">
        <v>21413.5</v>
      </c>
      <c r="R160" s="19">
        <v>21478.2</v>
      </c>
      <c r="S160" s="19">
        <v>21545.8</v>
      </c>
      <c r="T160" s="19">
        <v>21616.6</v>
      </c>
      <c r="U160" s="19">
        <v>21690.6</v>
      </c>
      <c r="V160" s="19">
        <v>21768.1</v>
      </c>
      <c r="W160" s="19">
        <v>21849.200000000001</v>
      </c>
      <c r="X160" s="19">
        <v>21934.1</v>
      </c>
      <c r="Y160" s="19">
        <v>22022.9</v>
      </c>
      <c r="Z160" s="19">
        <v>22115.8</v>
      </c>
      <c r="AA160" s="19">
        <v>22213</v>
      </c>
      <c r="AB160" s="19">
        <v>22314.6</v>
      </c>
      <c r="AC160" s="19">
        <v>22420.799999999999</v>
      </c>
      <c r="AD160" s="19">
        <v>22531.9</v>
      </c>
      <c r="AE160" s="19">
        <v>22647.8</v>
      </c>
      <c r="AF160" s="19">
        <v>22769</v>
      </c>
      <c r="AG160" s="19">
        <v>22895.4</v>
      </c>
      <c r="AH160" s="19">
        <v>23027.4</v>
      </c>
      <c r="AI160" s="19">
        <v>23165.200000000001</v>
      </c>
      <c r="AJ160" s="19">
        <v>23308.799999999999</v>
      </c>
      <c r="AK160" s="19">
        <v>23458.6</v>
      </c>
      <c r="AL160" s="19">
        <v>23614.7</v>
      </c>
      <c r="AM160" s="19">
        <v>23777.5</v>
      </c>
      <c r="AN160" s="19">
        <v>23947</v>
      </c>
      <c r="AO160" s="19">
        <v>24123.5</v>
      </c>
      <c r="AP160" s="19">
        <v>24307.4</v>
      </c>
      <c r="AQ160" s="19">
        <v>24498.799999999999</v>
      </c>
      <c r="AR160" s="19">
        <v>24698</v>
      </c>
      <c r="AS160" s="19">
        <v>24905.200000000001</v>
      </c>
      <c r="AT160" s="19">
        <v>25120.799999999999</v>
      </c>
      <c r="AU160" s="19">
        <v>25345.1</v>
      </c>
      <c r="AV160" s="19">
        <v>25578.400000000001</v>
      </c>
      <c r="AW160" s="19">
        <v>25821.1</v>
      </c>
      <c r="AX160" s="19">
        <v>26073.5</v>
      </c>
      <c r="AY160" s="19">
        <v>26336</v>
      </c>
      <c r="AZ160" s="19">
        <v>26609.1</v>
      </c>
      <c r="BA160" s="19">
        <v>26893.200000000001</v>
      </c>
      <c r="BB160" s="19">
        <v>27188.799999999999</v>
      </c>
      <c r="BC160" s="19">
        <v>27496.5</v>
      </c>
      <c r="BD160" s="19">
        <v>27816.9</v>
      </c>
      <c r="BE160" s="19">
        <v>28150.5</v>
      </c>
      <c r="BF160" s="19">
        <v>28498.1</v>
      </c>
      <c r="BG160" s="19">
        <v>28860.3</v>
      </c>
      <c r="BH160" s="19">
        <v>28238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>
        <v>0</v>
      </c>
      <c r="BW160" s="19">
        <v>0</v>
      </c>
      <c r="BX160" s="19">
        <v>0</v>
      </c>
      <c r="BY160" s="19">
        <v>0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0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0</v>
      </c>
      <c r="CT160" s="19">
        <v>0</v>
      </c>
      <c r="CU160" s="19">
        <v>0</v>
      </c>
      <c r="CV160" s="19">
        <v>0</v>
      </c>
      <c r="CW160" s="19">
        <v>0</v>
      </c>
      <c r="CX160" s="19">
        <v>0</v>
      </c>
      <c r="CY160" s="19">
        <v>0</v>
      </c>
      <c r="CZ160" s="19">
        <v>0</v>
      </c>
      <c r="DA160" s="19">
        <v>0</v>
      </c>
      <c r="DB160" s="19">
        <v>0</v>
      </c>
      <c r="DC160" s="19">
        <v>0</v>
      </c>
      <c r="DD160" s="19">
        <v>0</v>
      </c>
      <c r="DE160" s="19">
        <v>0</v>
      </c>
      <c r="DF160" s="19">
        <v>0</v>
      </c>
      <c r="DG160" s="19">
        <v>0</v>
      </c>
    </row>
    <row r="161" spans="2:111" x14ac:dyDescent="0.15">
      <c r="B161" s="19" t="str">
        <f t="shared" si="2"/>
        <v>10_男_6</v>
      </c>
      <c r="C161" s="18">
        <v>10</v>
      </c>
      <c r="D161" s="18" t="s">
        <v>9</v>
      </c>
      <c r="E161" s="18">
        <v>6</v>
      </c>
      <c r="F161" s="19">
        <v>1456.3</v>
      </c>
      <c r="G161" s="19">
        <v>3386.2</v>
      </c>
      <c r="H161" s="19">
        <v>5702.2</v>
      </c>
      <c r="I161" s="19">
        <v>8307.5</v>
      </c>
      <c r="J161" s="19">
        <v>10145.299999999999</v>
      </c>
      <c r="K161" s="19">
        <v>12107.7</v>
      </c>
      <c r="L161" s="19">
        <v>14201.8</v>
      </c>
      <c r="M161" s="19">
        <v>16435.2</v>
      </c>
      <c r="N161" s="19">
        <v>18815.8</v>
      </c>
      <c r="O161" s="19">
        <v>21352</v>
      </c>
      <c r="P161" s="19">
        <v>21413.9</v>
      </c>
      <c r="Q161" s="19">
        <v>21478.6</v>
      </c>
      <c r="R161" s="19">
        <v>21546.3</v>
      </c>
      <c r="S161" s="19">
        <v>21617</v>
      </c>
      <c r="T161" s="19">
        <v>21691.1</v>
      </c>
      <c r="U161" s="19">
        <v>21768.6</v>
      </c>
      <c r="V161" s="19">
        <v>21849.7</v>
      </c>
      <c r="W161" s="19">
        <v>21934.6</v>
      </c>
      <c r="X161" s="19">
        <v>22023.4</v>
      </c>
      <c r="Y161" s="19">
        <v>22116.3</v>
      </c>
      <c r="Z161" s="19">
        <v>22213.5</v>
      </c>
      <c r="AA161" s="19">
        <v>22315.200000000001</v>
      </c>
      <c r="AB161" s="19">
        <v>22421.4</v>
      </c>
      <c r="AC161" s="19">
        <v>22532.5</v>
      </c>
      <c r="AD161" s="19">
        <v>22648.400000000001</v>
      </c>
      <c r="AE161" s="19">
        <v>22769.599999999999</v>
      </c>
      <c r="AF161" s="19">
        <v>22896.1</v>
      </c>
      <c r="AG161" s="19">
        <v>23028.1</v>
      </c>
      <c r="AH161" s="19">
        <v>23165.8</v>
      </c>
      <c r="AI161" s="19">
        <v>23309.5</v>
      </c>
      <c r="AJ161" s="19">
        <v>23459.3</v>
      </c>
      <c r="AK161" s="19">
        <v>23615.5</v>
      </c>
      <c r="AL161" s="19">
        <v>23778.2</v>
      </c>
      <c r="AM161" s="19">
        <v>23947.7</v>
      </c>
      <c r="AN161" s="19">
        <v>24124.3</v>
      </c>
      <c r="AO161" s="19">
        <v>24308.1</v>
      </c>
      <c r="AP161" s="19">
        <v>24499.5</v>
      </c>
      <c r="AQ161" s="19">
        <v>24698.7</v>
      </c>
      <c r="AR161" s="19">
        <v>24906</v>
      </c>
      <c r="AS161" s="19">
        <v>25121.599999999999</v>
      </c>
      <c r="AT161" s="19">
        <v>25345.9</v>
      </c>
      <c r="AU161" s="19">
        <v>25579.200000000001</v>
      </c>
      <c r="AV161" s="19">
        <v>25821.8</v>
      </c>
      <c r="AW161" s="19">
        <v>26074.2</v>
      </c>
      <c r="AX161" s="19">
        <v>26336.7</v>
      </c>
      <c r="AY161" s="19">
        <v>26609.7</v>
      </c>
      <c r="AZ161" s="19">
        <v>26893.8</v>
      </c>
      <c r="BA161" s="19">
        <v>27189.3</v>
      </c>
      <c r="BB161" s="19">
        <v>27497</v>
      </c>
      <c r="BC161" s="19">
        <v>27817.3</v>
      </c>
      <c r="BD161" s="19">
        <v>28150.799999999999</v>
      </c>
      <c r="BE161" s="19">
        <v>28498.3</v>
      </c>
      <c r="BF161" s="19">
        <v>28860.5</v>
      </c>
      <c r="BG161" s="19">
        <v>28238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0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0</v>
      </c>
      <c r="CT161" s="19">
        <v>0</v>
      </c>
      <c r="CU161" s="19">
        <v>0</v>
      </c>
      <c r="CV161" s="19">
        <v>0</v>
      </c>
      <c r="CW161" s="19">
        <v>0</v>
      </c>
      <c r="CX161" s="19">
        <v>0</v>
      </c>
      <c r="CY161" s="19">
        <v>0</v>
      </c>
      <c r="CZ161" s="19">
        <v>0</v>
      </c>
      <c r="DA161" s="19">
        <v>0</v>
      </c>
      <c r="DB161" s="19">
        <v>0</v>
      </c>
      <c r="DC161" s="19">
        <v>0</v>
      </c>
      <c r="DD161" s="19">
        <v>0</v>
      </c>
      <c r="DE161" s="19">
        <v>0</v>
      </c>
      <c r="DF161" s="19">
        <v>0</v>
      </c>
      <c r="DG161" s="19">
        <v>0</v>
      </c>
    </row>
    <row r="162" spans="2:111" x14ac:dyDescent="0.15">
      <c r="B162" s="19" t="str">
        <f t="shared" si="2"/>
        <v>10_男_7</v>
      </c>
      <c r="C162" s="18">
        <v>10</v>
      </c>
      <c r="D162" s="18" t="s">
        <v>9</v>
      </c>
      <c r="E162" s="18">
        <v>7</v>
      </c>
      <c r="F162" s="19">
        <v>1459.7</v>
      </c>
      <c r="G162" s="19">
        <v>3393.9</v>
      </c>
      <c r="H162" s="19">
        <v>5715.2</v>
      </c>
      <c r="I162" s="19">
        <v>8326.4</v>
      </c>
      <c r="J162" s="19">
        <v>10170.299999999999</v>
      </c>
      <c r="K162" s="19">
        <v>12139.3</v>
      </c>
      <c r="L162" s="19">
        <v>14240.4</v>
      </c>
      <c r="M162" s="19">
        <v>16481.2</v>
      </c>
      <c r="N162" s="19">
        <v>18869.7</v>
      </c>
      <c r="O162" s="19">
        <v>21414.3</v>
      </c>
      <c r="P162" s="19">
        <v>21479</v>
      </c>
      <c r="Q162" s="19">
        <v>21546.7</v>
      </c>
      <c r="R162" s="19">
        <v>21617.5</v>
      </c>
      <c r="S162" s="19">
        <v>21691.599999999999</v>
      </c>
      <c r="T162" s="19">
        <v>21769.1</v>
      </c>
      <c r="U162" s="19">
        <v>21850.2</v>
      </c>
      <c r="V162" s="19">
        <v>21935.1</v>
      </c>
      <c r="W162" s="19">
        <v>22023.9</v>
      </c>
      <c r="X162" s="19">
        <v>22116.9</v>
      </c>
      <c r="Y162" s="19">
        <v>22214.1</v>
      </c>
      <c r="Z162" s="19">
        <v>22315.7</v>
      </c>
      <c r="AA162" s="19">
        <v>22422</v>
      </c>
      <c r="AB162" s="19">
        <v>22533.1</v>
      </c>
      <c r="AC162" s="19">
        <v>22649.1</v>
      </c>
      <c r="AD162" s="19">
        <v>22770.2</v>
      </c>
      <c r="AE162" s="19">
        <v>22896.7</v>
      </c>
      <c r="AF162" s="19">
        <v>23028.799999999999</v>
      </c>
      <c r="AG162" s="19">
        <v>23166.5</v>
      </c>
      <c r="AH162" s="19">
        <v>23310.2</v>
      </c>
      <c r="AI162" s="19">
        <v>23460</v>
      </c>
      <c r="AJ162" s="19">
        <v>23616.2</v>
      </c>
      <c r="AK162" s="19">
        <v>23778.9</v>
      </c>
      <c r="AL162" s="19">
        <v>23948.5</v>
      </c>
      <c r="AM162" s="19">
        <v>24125.1</v>
      </c>
      <c r="AN162" s="19">
        <v>24308.9</v>
      </c>
      <c r="AO162" s="19">
        <v>24500.3</v>
      </c>
      <c r="AP162" s="19">
        <v>24699.5</v>
      </c>
      <c r="AQ162" s="19">
        <v>24906.799999999999</v>
      </c>
      <c r="AR162" s="19">
        <v>25122.400000000001</v>
      </c>
      <c r="AS162" s="19">
        <v>25346.6</v>
      </c>
      <c r="AT162" s="19">
        <v>25579.9</v>
      </c>
      <c r="AU162" s="19">
        <v>25822.5</v>
      </c>
      <c r="AV162" s="19">
        <v>26074.9</v>
      </c>
      <c r="AW162" s="19">
        <v>26337.3</v>
      </c>
      <c r="AX162" s="19">
        <v>26610.400000000001</v>
      </c>
      <c r="AY162" s="19">
        <v>26894.400000000001</v>
      </c>
      <c r="AZ162" s="19">
        <v>27189.9</v>
      </c>
      <c r="BA162" s="19">
        <v>27497.5</v>
      </c>
      <c r="BB162" s="19">
        <v>27817.7</v>
      </c>
      <c r="BC162" s="19">
        <v>28151.200000000001</v>
      </c>
      <c r="BD162" s="19">
        <v>28498.6</v>
      </c>
      <c r="BE162" s="19">
        <v>28860.6</v>
      </c>
      <c r="BF162" s="19">
        <v>28238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  <c r="CB162" s="19">
        <v>0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19">
        <v>0</v>
      </c>
      <c r="CL162" s="19">
        <v>0</v>
      </c>
      <c r="CM162" s="19">
        <v>0</v>
      </c>
      <c r="CN162" s="19">
        <v>0</v>
      </c>
      <c r="CO162" s="19">
        <v>0</v>
      </c>
      <c r="CP162" s="19">
        <v>0</v>
      </c>
      <c r="CQ162" s="19">
        <v>0</v>
      </c>
      <c r="CR162" s="19">
        <v>0</v>
      </c>
      <c r="CS162" s="19">
        <v>0</v>
      </c>
      <c r="CT162" s="19">
        <v>0</v>
      </c>
      <c r="CU162" s="19">
        <v>0</v>
      </c>
      <c r="CV162" s="19">
        <v>0</v>
      </c>
      <c r="CW162" s="19">
        <v>0</v>
      </c>
      <c r="CX162" s="19">
        <v>0</v>
      </c>
      <c r="CY162" s="19">
        <v>0</v>
      </c>
      <c r="CZ162" s="19">
        <v>0</v>
      </c>
      <c r="DA162" s="19">
        <v>0</v>
      </c>
      <c r="DB162" s="19">
        <v>0</v>
      </c>
      <c r="DC162" s="19">
        <v>0</v>
      </c>
      <c r="DD162" s="19">
        <v>0</v>
      </c>
      <c r="DE162" s="19">
        <v>0</v>
      </c>
      <c r="DF162" s="19">
        <v>0</v>
      </c>
      <c r="DG162" s="19">
        <v>0</v>
      </c>
    </row>
    <row r="163" spans="2:111" x14ac:dyDescent="0.15">
      <c r="B163" s="19" t="str">
        <f t="shared" si="2"/>
        <v>10_男_8</v>
      </c>
      <c r="C163" s="18">
        <v>10</v>
      </c>
      <c r="D163" s="18" t="s">
        <v>9</v>
      </c>
      <c r="E163" s="18">
        <v>8</v>
      </c>
      <c r="F163" s="19">
        <v>1463.1</v>
      </c>
      <c r="G163" s="19">
        <v>3401.9</v>
      </c>
      <c r="H163" s="19">
        <v>5728.7</v>
      </c>
      <c r="I163" s="19">
        <v>8346</v>
      </c>
      <c r="J163" s="19">
        <v>10196.4</v>
      </c>
      <c r="K163" s="19">
        <v>12172.3</v>
      </c>
      <c r="L163" s="19">
        <v>14280.7</v>
      </c>
      <c r="M163" s="19">
        <v>16529.3</v>
      </c>
      <c r="N163" s="19">
        <v>18926</v>
      </c>
      <c r="O163" s="19">
        <v>21479.5</v>
      </c>
      <c r="P163" s="19">
        <v>21547.1</v>
      </c>
      <c r="Q163" s="19">
        <v>21617.9</v>
      </c>
      <c r="R163" s="19">
        <v>21692</v>
      </c>
      <c r="S163" s="19">
        <v>21769.599999999999</v>
      </c>
      <c r="T163" s="19">
        <v>21850.7</v>
      </c>
      <c r="U163" s="19">
        <v>21935.599999999999</v>
      </c>
      <c r="V163" s="19">
        <v>22024.5</v>
      </c>
      <c r="W163" s="19">
        <v>22117.4</v>
      </c>
      <c r="X163" s="19">
        <v>22214.7</v>
      </c>
      <c r="Y163" s="19">
        <v>22316.3</v>
      </c>
      <c r="Z163" s="19">
        <v>22422.6</v>
      </c>
      <c r="AA163" s="19">
        <v>22533.7</v>
      </c>
      <c r="AB163" s="19">
        <v>22649.7</v>
      </c>
      <c r="AC163" s="19">
        <v>22770.9</v>
      </c>
      <c r="AD163" s="19">
        <v>22897.4</v>
      </c>
      <c r="AE163" s="19">
        <v>23029.5</v>
      </c>
      <c r="AF163" s="19">
        <v>23167.200000000001</v>
      </c>
      <c r="AG163" s="19">
        <v>23310.9</v>
      </c>
      <c r="AH163" s="19">
        <v>23460.799999999999</v>
      </c>
      <c r="AI163" s="19">
        <v>23617</v>
      </c>
      <c r="AJ163" s="19">
        <v>23779.7</v>
      </c>
      <c r="AK163" s="19">
        <v>23949.3</v>
      </c>
      <c r="AL163" s="19">
        <v>24125.9</v>
      </c>
      <c r="AM163" s="19">
        <v>24309.7</v>
      </c>
      <c r="AN163" s="19">
        <v>24501.1</v>
      </c>
      <c r="AO163" s="19">
        <v>24700.3</v>
      </c>
      <c r="AP163" s="19">
        <v>24907.599999999999</v>
      </c>
      <c r="AQ163" s="19">
        <v>25123.200000000001</v>
      </c>
      <c r="AR163" s="19">
        <v>25347.4</v>
      </c>
      <c r="AS163" s="19">
        <v>25580.7</v>
      </c>
      <c r="AT163" s="19">
        <v>25823.3</v>
      </c>
      <c r="AU163" s="19">
        <v>26075.599999999999</v>
      </c>
      <c r="AV163" s="19">
        <v>26338.1</v>
      </c>
      <c r="AW163" s="19">
        <v>26611</v>
      </c>
      <c r="AX163" s="19">
        <v>26895</v>
      </c>
      <c r="AY163" s="19">
        <v>27190.5</v>
      </c>
      <c r="AZ163" s="19">
        <v>27498</v>
      </c>
      <c r="BA163" s="19">
        <v>27818.1</v>
      </c>
      <c r="BB163" s="19">
        <v>28151.5</v>
      </c>
      <c r="BC163" s="19">
        <v>28498.799999999999</v>
      </c>
      <c r="BD163" s="19">
        <v>28860.7</v>
      </c>
      <c r="BE163" s="19">
        <v>28238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>
        <v>0</v>
      </c>
      <c r="BW163" s="19">
        <v>0</v>
      </c>
      <c r="BX163" s="19">
        <v>0</v>
      </c>
      <c r="BY163" s="19">
        <v>0</v>
      </c>
      <c r="BZ163" s="19">
        <v>0</v>
      </c>
      <c r="CA163" s="19">
        <v>0</v>
      </c>
      <c r="CB163" s="19">
        <v>0</v>
      </c>
      <c r="CC163" s="19">
        <v>0</v>
      </c>
      <c r="CD163" s="19">
        <v>0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19">
        <v>0</v>
      </c>
      <c r="CL163" s="19">
        <v>0</v>
      </c>
      <c r="CM163" s="19">
        <v>0</v>
      </c>
      <c r="CN163" s="19">
        <v>0</v>
      </c>
      <c r="CO163" s="19">
        <v>0</v>
      </c>
      <c r="CP163" s="19">
        <v>0</v>
      </c>
      <c r="CQ163" s="19">
        <v>0</v>
      </c>
      <c r="CR163" s="19">
        <v>0</v>
      </c>
      <c r="CS163" s="19">
        <v>0</v>
      </c>
      <c r="CT163" s="19">
        <v>0</v>
      </c>
      <c r="CU163" s="19">
        <v>0</v>
      </c>
      <c r="CV163" s="19">
        <v>0</v>
      </c>
      <c r="CW163" s="19">
        <v>0</v>
      </c>
      <c r="CX163" s="19">
        <v>0</v>
      </c>
      <c r="CY163" s="19">
        <v>0</v>
      </c>
      <c r="CZ163" s="19">
        <v>0</v>
      </c>
      <c r="DA163" s="19">
        <v>0</v>
      </c>
      <c r="DB163" s="19">
        <v>0</v>
      </c>
      <c r="DC163" s="19">
        <v>0</v>
      </c>
      <c r="DD163" s="19">
        <v>0</v>
      </c>
      <c r="DE163" s="19">
        <v>0</v>
      </c>
      <c r="DF163" s="19">
        <v>0</v>
      </c>
      <c r="DG163" s="19">
        <v>0</v>
      </c>
    </row>
    <row r="164" spans="2:111" x14ac:dyDescent="0.15">
      <c r="B164" s="19" t="str">
        <f t="shared" si="2"/>
        <v>10_男_9</v>
      </c>
      <c r="C164" s="18">
        <v>10</v>
      </c>
      <c r="D164" s="18" t="s">
        <v>9</v>
      </c>
      <c r="E164" s="18">
        <v>9</v>
      </c>
      <c r="F164" s="19">
        <v>1466.8</v>
      </c>
      <c r="G164" s="19">
        <v>3410.3</v>
      </c>
      <c r="H164" s="19">
        <v>5742.8</v>
      </c>
      <c r="I164" s="19">
        <v>8366.4</v>
      </c>
      <c r="J164" s="19">
        <v>10223.6</v>
      </c>
      <c r="K164" s="19">
        <v>12206.7</v>
      </c>
      <c r="L164" s="19">
        <v>14322.7</v>
      </c>
      <c r="M164" s="19">
        <v>16579.5</v>
      </c>
      <c r="N164" s="19">
        <v>18984.900000000001</v>
      </c>
      <c r="O164" s="19">
        <v>21547.599999999999</v>
      </c>
      <c r="P164" s="19">
        <v>21618.400000000001</v>
      </c>
      <c r="Q164" s="19">
        <v>21692.5</v>
      </c>
      <c r="R164" s="19">
        <v>21770.1</v>
      </c>
      <c r="S164" s="19">
        <v>21851.200000000001</v>
      </c>
      <c r="T164" s="19">
        <v>21936.2</v>
      </c>
      <c r="U164" s="19">
        <v>22025</v>
      </c>
      <c r="V164" s="19">
        <v>22118</v>
      </c>
      <c r="W164" s="19">
        <v>22215.3</v>
      </c>
      <c r="X164" s="19">
        <v>22317</v>
      </c>
      <c r="Y164" s="19">
        <v>22423.200000000001</v>
      </c>
      <c r="Z164" s="19">
        <v>22534.3</v>
      </c>
      <c r="AA164" s="19">
        <v>22650.400000000001</v>
      </c>
      <c r="AB164" s="19">
        <v>22771.599999999999</v>
      </c>
      <c r="AC164" s="19">
        <v>22898.1</v>
      </c>
      <c r="AD164" s="19">
        <v>23030.2</v>
      </c>
      <c r="AE164" s="19">
        <v>23168</v>
      </c>
      <c r="AF164" s="19">
        <v>23311.7</v>
      </c>
      <c r="AG164" s="19">
        <v>23461.5</v>
      </c>
      <c r="AH164" s="19">
        <v>23617.7</v>
      </c>
      <c r="AI164" s="19">
        <v>23780.5</v>
      </c>
      <c r="AJ164" s="19">
        <v>23950.1</v>
      </c>
      <c r="AK164" s="19">
        <v>24126.7</v>
      </c>
      <c r="AL164" s="19">
        <v>24310.6</v>
      </c>
      <c r="AM164" s="19">
        <v>24502</v>
      </c>
      <c r="AN164" s="19">
        <v>24701.200000000001</v>
      </c>
      <c r="AO164" s="19">
        <v>24908.400000000001</v>
      </c>
      <c r="AP164" s="19">
        <v>25124</v>
      </c>
      <c r="AQ164" s="19">
        <v>25348.3</v>
      </c>
      <c r="AR164" s="19">
        <v>25581.5</v>
      </c>
      <c r="AS164" s="19">
        <v>25824.1</v>
      </c>
      <c r="AT164" s="19">
        <v>26076.400000000001</v>
      </c>
      <c r="AU164" s="19">
        <v>26338.799999999999</v>
      </c>
      <c r="AV164" s="19">
        <v>26611.7</v>
      </c>
      <c r="AW164" s="19">
        <v>26895.7</v>
      </c>
      <c r="AX164" s="19">
        <v>27191.1</v>
      </c>
      <c r="AY164" s="19">
        <v>27498.5</v>
      </c>
      <c r="AZ164" s="19">
        <v>27818.6</v>
      </c>
      <c r="BA164" s="19">
        <v>28151.9</v>
      </c>
      <c r="BB164" s="19">
        <v>28499.1</v>
      </c>
      <c r="BC164" s="19">
        <v>28860.9</v>
      </c>
      <c r="BD164" s="19">
        <v>28238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0</v>
      </c>
      <c r="CT164" s="19">
        <v>0</v>
      </c>
      <c r="CU164" s="19">
        <v>0</v>
      </c>
      <c r="CV164" s="19">
        <v>0</v>
      </c>
      <c r="CW164" s="19">
        <v>0</v>
      </c>
      <c r="CX164" s="19">
        <v>0</v>
      </c>
      <c r="CY164" s="19">
        <v>0</v>
      </c>
      <c r="CZ164" s="19">
        <v>0</v>
      </c>
      <c r="DA164" s="19">
        <v>0</v>
      </c>
      <c r="DB164" s="19">
        <v>0</v>
      </c>
      <c r="DC164" s="19">
        <v>0</v>
      </c>
      <c r="DD164" s="19">
        <v>0</v>
      </c>
      <c r="DE164" s="19">
        <v>0</v>
      </c>
      <c r="DF164" s="19">
        <v>0</v>
      </c>
      <c r="DG164" s="19">
        <v>0</v>
      </c>
    </row>
    <row r="165" spans="2:111" x14ac:dyDescent="0.15">
      <c r="B165" s="19" t="str">
        <f t="shared" si="2"/>
        <v>10_男_10</v>
      </c>
      <c r="C165" s="18">
        <v>10</v>
      </c>
      <c r="D165" s="18" t="s">
        <v>9</v>
      </c>
      <c r="E165" s="18">
        <v>10</v>
      </c>
      <c r="F165" s="19">
        <v>1470.5</v>
      </c>
      <c r="G165" s="19">
        <v>3419.1</v>
      </c>
      <c r="H165" s="19">
        <v>5757.4</v>
      </c>
      <c r="I165" s="19">
        <v>8387.7000000000007</v>
      </c>
      <c r="J165" s="19">
        <v>10252</v>
      </c>
      <c r="K165" s="19">
        <v>12242.6</v>
      </c>
      <c r="L165" s="19">
        <v>14366.7</v>
      </c>
      <c r="M165" s="19">
        <v>16631.900000000001</v>
      </c>
      <c r="N165" s="19">
        <v>19046.5</v>
      </c>
      <c r="O165" s="19">
        <v>21618.9</v>
      </c>
      <c r="P165" s="19">
        <v>21693</v>
      </c>
      <c r="Q165" s="19">
        <v>21770.6</v>
      </c>
      <c r="R165" s="19">
        <v>21851.8</v>
      </c>
      <c r="S165" s="19">
        <v>21936.7</v>
      </c>
      <c r="T165" s="19">
        <v>22025.599999999999</v>
      </c>
      <c r="U165" s="19">
        <v>22118.6</v>
      </c>
      <c r="V165" s="19">
        <v>22215.9</v>
      </c>
      <c r="W165" s="19">
        <v>22317.599999999999</v>
      </c>
      <c r="X165" s="19">
        <v>22423.9</v>
      </c>
      <c r="Y165" s="19">
        <v>22535</v>
      </c>
      <c r="Z165" s="19">
        <v>22651.1</v>
      </c>
      <c r="AA165" s="19">
        <v>22772.3</v>
      </c>
      <c r="AB165" s="19">
        <v>22898.9</v>
      </c>
      <c r="AC165" s="19">
        <v>23030.9</v>
      </c>
      <c r="AD165" s="19">
        <v>23168.7</v>
      </c>
      <c r="AE165" s="19">
        <v>23312.5</v>
      </c>
      <c r="AF165" s="19">
        <v>23462.3</v>
      </c>
      <c r="AG165" s="19">
        <v>23618.5</v>
      </c>
      <c r="AH165" s="19">
        <v>23781.3</v>
      </c>
      <c r="AI165" s="19">
        <v>23950.9</v>
      </c>
      <c r="AJ165" s="19">
        <v>24127.5</v>
      </c>
      <c r="AK165" s="19">
        <v>24311.4</v>
      </c>
      <c r="AL165" s="19">
        <v>24502.799999999999</v>
      </c>
      <c r="AM165" s="19">
        <v>24702</v>
      </c>
      <c r="AN165" s="19">
        <v>24909.3</v>
      </c>
      <c r="AO165" s="19">
        <v>25124.9</v>
      </c>
      <c r="AP165" s="19">
        <v>25349.1</v>
      </c>
      <c r="AQ165" s="19">
        <v>25582.400000000001</v>
      </c>
      <c r="AR165" s="19">
        <v>25824.9</v>
      </c>
      <c r="AS165" s="19">
        <v>26077.200000000001</v>
      </c>
      <c r="AT165" s="19">
        <v>26339.599999999999</v>
      </c>
      <c r="AU165" s="19">
        <v>26612.400000000001</v>
      </c>
      <c r="AV165" s="19">
        <v>26896.3</v>
      </c>
      <c r="AW165" s="19">
        <v>27191.7</v>
      </c>
      <c r="AX165" s="19">
        <v>27499.1</v>
      </c>
      <c r="AY165" s="19">
        <v>27819.1</v>
      </c>
      <c r="AZ165" s="19">
        <v>28152.3</v>
      </c>
      <c r="BA165" s="19">
        <v>28499.3</v>
      </c>
      <c r="BB165" s="19">
        <v>28861</v>
      </c>
      <c r="BC165" s="19">
        <v>28238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0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</v>
      </c>
      <c r="CT165" s="19">
        <v>0</v>
      </c>
      <c r="CU165" s="19">
        <v>0</v>
      </c>
      <c r="CV165" s="19">
        <v>0</v>
      </c>
      <c r="CW165" s="19">
        <v>0</v>
      </c>
      <c r="CX165" s="19">
        <v>0</v>
      </c>
      <c r="CY165" s="19">
        <v>0</v>
      </c>
      <c r="CZ165" s="19">
        <v>0</v>
      </c>
      <c r="DA165" s="19">
        <v>0</v>
      </c>
      <c r="DB165" s="19">
        <v>0</v>
      </c>
      <c r="DC165" s="19">
        <v>0</v>
      </c>
      <c r="DD165" s="19">
        <v>0</v>
      </c>
      <c r="DE165" s="19">
        <v>0</v>
      </c>
      <c r="DF165" s="19">
        <v>0</v>
      </c>
      <c r="DG165" s="19">
        <v>0</v>
      </c>
    </row>
    <row r="166" spans="2:111" x14ac:dyDescent="0.15">
      <c r="B166" s="19" t="str">
        <f t="shared" si="2"/>
        <v>10_男_11</v>
      </c>
      <c r="C166" s="18">
        <v>10</v>
      </c>
      <c r="D166" s="18" t="s">
        <v>9</v>
      </c>
      <c r="E166" s="18">
        <v>11</v>
      </c>
      <c r="F166" s="19">
        <v>1474.5</v>
      </c>
      <c r="G166" s="19">
        <v>3428.2</v>
      </c>
      <c r="H166" s="19">
        <v>5772.7</v>
      </c>
      <c r="I166" s="19">
        <v>8409.9</v>
      </c>
      <c r="J166" s="19">
        <v>10281.6</v>
      </c>
      <c r="K166" s="19">
        <v>12280.1</v>
      </c>
      <c r="L166" s="19">
        <v>14412.6</v>
      </c>
      <c r="M166" s="19">
        <v>16686.8</v>
      </c>
      <c r="N166" s="19">
        <v>19111</v>
      </c>
      <c r="O166" s="19">
        <v>21693.599999999999</v>
      </c>
      <c r="P166" s="19">
        <v>21771.1</v>
      </c>
      <c r="Q166" s="19">
        <v>21852.3</v>
      </c>
      <c r="R166" s="19">
        <v>21937.3</v>
      </c>
      <c r="S166" s="19">
        <v>22026.2</v>
      </c>
      <c r="T166" s="19">
        <v>22119.200000000001</v>
      </c>
      <c r="U166" s="19">
        <v>22216.5</v>
      </c>
      <c r="V166" s="19">
        <v>22318.2</v>
      </c>
      <c r="W166" s="19">
        <v>22424.6</v>
      </c>
      <c r="X166" s="19">
        <v>22535.7</v>
      </c>
      <c r="Y166" s="19">
        <v>22651.8</v>
      </c>
      <c r="Z166" s="19">
        <v>22773</v>
      </c>
      <c r="AA166" s="19">
        <v>22899.599999999999</v>
      </c>
      <c r="AB166" s="19">
        <v>23031.7</v>
      </c>
      <c r="AC166" s="19">
        <v>23169.5</v>
      </c>
      <c r="AD166" s="19">
        <v>23313.3</v>
      </c>
      <c r="AE166" s="19">
        <v>23463.1</v>
      </c>
      <c r="AF166" s="19">
        <v>23619.4</v>
      </c>
      <c r="AG166" s="19">
        <v>23782.2</v>
      </c>
      <c r="AH166" s="19">
        <v>23951.8</v>
      </c>
      <c r="AI166" s="19">
        <v>24128.400000000001</v>
      </c>
      <c r="AJ166" s="19">
        <v>24312.3</v>
      </c>
      <c r="AK166" s="19">
        <v>24503.7</v>
      </c>
      <c r="AL166" s="19">
        <v>24702.9</v>
      </c>
      <c r="AM166" s="19">
        <v>24910.1</v>
      </c>
      <c r="AN166" s="19">
        <v>25125.7</v>
      </c>
      <c r="AO166" s="19">
        <v>25350</v>
      </c>
      <c r="AP166" s="19">
        <v>25583.200000000001</v>
      </c>
      <c r="AQ166" s="19">
        <v>25825.8</v>
      </c>
      <c r="AR166" s="19">
        <v>26078</v>
      </c>
      <c r="AS166" s="19">
        <v>26340.3</v>
      </c>
      <c r="AT166" s="19">
        <v>26613.200000000001</v>
      </c>
      <c r="AU166" s="19">
        <v>26897</v>
      </c>
      <c r="AV166" s="19">
        <v>27192.3</v>
      </c>
      <c r="AW166" s="19">
        <v>27499.599999999999</v>
      </c>
      <c r="AX166" s="19">
        <v>27819.5</v>
      </c>
      <c r="AY166" s="19">
        <v>28152.6</v>
      </c>
      <c r="AZ166" s="19">
        <v>28499.599999999999</v>
      </c>
      <c r="BA166" s="19">
        <v>28861.1</v>
      </c>
      <c r="BB166" s="19">
        <v>28238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0</v>
      </c>
      <c r="BN166" s="19">
        <v>0</v>
      </c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  <c r="CB166" s="19">
        <v>0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19">
        <v>0</v>
      </c>
      <c r="CL166" s="19">
        <v>0</v>
      </c>
      <c r="CM166" s="19">
        <v>0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0</v>
      </c>
      <c r="CT166" s="19">
        <v>0</v>
      </c>
      <c r="CU166" s="19">
        <v>0</v>
      </c>
      <c r="CV166" s="19">
        <v>0</v>
      </c>
      <c r="CW166" s="19">
        <v>0</v>
      </c>
      <c r="CX166" s="19">
        <v>0</v>
      </c>
      <c r="CY166" s="19">
        <v>0</v>
      </c>
      <c r="CZ166" s="19">
        <v>0</v>
      </c>
      <c r="DA166" s="19">
        <v>0</v>
      </c>
      <c r="DB166" s="19">
        <v>0</v>
      </c>
      <c r="DC166" s="19">
        <v>0</v>
      </c>
      <c r="DD166" s="19">
        <v>0</v>
      </c>
      <c r="DE166" s="19">
        <v>0</v>
      </c>
      <c r="DF166" s="19">
        <v>0</v>
      </c>
      <c r="DG166" s="19">
        <v>0</v>
      </c>
    </row>
    <row r="167" spans="2:111" x14ac:dyDescent="0.15">
      <c r="B167" s="19" t="str">
        <f t="shared" si="2"/>
        <v>10_男_12</v>
      </c>
      <c r="C167" s="18">
        <v>10</v>
      </c>
      <c r="D167" s="18" t="s">
        <v>9</v>
      </c>
      <c r="E167" s="18">
        <v>12</v>
      </c>
      <c r="F167" s="19">
        <v>1478.6</v>
      </c>
      <c r="G167" s="19">
        <v>3437.7</v>
      </c>
      <c r="H167" s="19">
        <v>5788.7</v>
      </c>
      <c r="I167" s="19">
        <v>8433.2000000000007</v>
      </c>
      <c r="J167" s="19">
        <v>10312.6</v>
      </c>
      <c r="K167" s="19">
        <v>12319.3</v>
      </c>
      <c r="L167" s="19">
        <v>14460.7</v>
      </c>
      <c r="M167" s="19">
        <v>16744.3</v>
      </c>
      <c r="N167" s="19">
        <v>19178.5</v>
      </c>
      <c r="O167" s="19">
        <v>21771.7</v>
      </c>
      <c r="P167" s="19">
        <v>21852.9</v>
      </c>
      <c r="Q167" s="19">
        <v>21937.9</v>
      </c>
      <c r="R167" s="19">
        <v>22026.799999999999</v>
      </c>
      <c r="S167" s="19">
        <v>22119.9</v>
      </c>
      <c r="T167" s="19">
        <v>22217.200000000001</v>
      </c>
      <c r="U167" s="19">
        <v>22318.9</v>
      </c>
      <c r="V167" s="19">
        <v>22425.3</v>
      </c>
      <c r="W167" s="19">
        <v>22536.400000000001</v>
      </c>
      <c r="X167" s="19">
        <v>22652.5</v>
      </c>
      <c r="Y167" s="19">
        <v>22773.8</v>
      </c>
      <c r="Z167" s="19">
        <v>22900.400000000001</v>
      </c>
      <c r="AA167" s="19">
        <v>23032.5</v>
      </c>
      <c r="AB167" s="19">
        <v>23170.3</v>
      </c>
      <c r="AC167" s="19">
        <v>23314.1</v>
      </c>
      <c r="AD167" s="19">
        <v>23464</v>
      </c>
      <c r="AE167" s="19">
        <v>23620.2</v>
      </c>
      <c r="AF167" s="19">
        <v>23783</v>
      </c>
      <c r="AG167" s="19">
        <v>23952.6</v>
      </c>
      <c r="AH167" s="19">
        <v>24129.3</v>
      </c>
      <c r="AI167" s="19">
        <v>24313.200000000001</v>
      </c>
      <c r="AJ167" s="19">
        <v>24504.6</v>
      </c>
      <c r="AK167" s="19">
        <v>24703.8</v>
      </c>
      <c r="AL167" s="19">
        <v>24911.1</v>
      </c>
      <c r="AM167" s="19">
        <v>25126.6</v>
      </c>
      <c r="AN167" s="19">
        <v>25350.9</v>
      </c>
      <c r="AO167" s="19">
        <v>25584.1</v>
      </c>
      <c r="AP167" s="19">
        <v>25826.6</v>
      </c>
      <c r="AQ167" s="19">
        <v>26078.799999999999</v>
      </c>
      <c r="AR167" s="19">
        <v>26341.1</v>
      </c>
      <c r="AS167" s="19">
        <v>26613.9</v>
      </c>
      <c r="AT167" s="19">
        <v>26897.7</v>
      </c>
      <c r="AU167" s="19">
        <v>27193</v>
      </c>
      <c r="AV167" s="19">
        <v>27500.2</v>
      </c>
      <c r="AW167" s="19">
        <v>27820</v>
      </c>
      <c r="AX167" s="19">
        <v>28153</v>
      </c>
      <c r="AY167" s="19">
        <v>28499.9</v>
      </c>
      <c r="AZ167" s="19">
        <v>28861.3</v>
      </c>
      <c r="BA167" s="19">
        <v>28238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>
        <v>0</v>
      </c>
      <c r="BW167" s="19">
        <v>0</v>
      </c>
      <c r="BX167" s="19">
        <v>0</v>
      </c>
      <c r="BY167" s="19">
        <v>0</v>
      </c>
      <c r="BZ167" s="19">
        <v>0</v>
      </c>
      <c r="CA167" s="19">
        <v>0</v>
      </c>
      <c r="CB167" s="19">
        <v>0</v>
      </c>
      <c r="CC167" s="19">
        <v>0</v>
      </c>
      <c r="CD167" s="19">
        <v>0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0</v>
      </c>
      <c r="CL167" s="19">
        <v>0</v>
      </c>
      <c r="CM167" s="19">
        <v>0</v>
      </c>
      <c r="CN167" s="19">
        <v>0</v>
      </c>
      <c r="CO167" s="19">
        <v>0</v>
      </c>
      <c r="CP167" s="19">
        <v>0</v>
      </c>
      <c r="CQ167" s="19">
        <v>0</v>
      </c>
      <c r="CR167" s="19">
        <v>0</v>
      </c>
      <c r="CS167" s="19">
        <v>0</v>
      </c>
      <c r="CT167" s="19">
        <v>0</v>
      </c>
      <c r="CU167" s="19">
        <v>0</v>
      </c>
      <c r="CV167" s="19">
        <v>0</v>
      </c>
      <c r="CW167" s="19">
        <v>0</v>
      </c>
      <c r="CX167" s="19">
        <v>0</v>
      </c>
      <c r="CY167" s="19">
        <v>0</v>
      </c>
      <c r="CZ167" s="19">
        <v>0</v>
      </c>
      <c r="DA167" s="19">
        <v>0</v>
      </c>
      <c r="DB167" s="19">
        <v>0</v>
      </c>
      <c r="DC167" s="19">
        <v>0</v>
      </c>
      <c r="DD167" s="19">
        <v>0</v>
      </c>
      <c r="DE167" s="19">
        <v>0</v>
      </c>
      <c r="DF167" s="19">
        <v>0</v>
      </c>
      <c r="DG167" s="19">
        <v>0</v>
      </c>
    </row>
    <row r="168" spans="2:111" x14ac:dyDescent="0.15">
      <c r="B168" s="19" t="str">
        <f t="shared" si="2"/>
        <v>10_男_13</v>
      </c>
      <c r="C168" s="18">
        <v>10</v>
      </c>
      <c r="D168" s="18" t="s">
        <v>9</v>
      </c>
      <c r="E168" s="18">
        <v>13</v>
      </c>
      <c r="F168" s="19">
        <v>1482.8</v>
      </c>
      <c r="G168" s="19">
        <v>3447.6</v>
      </c>
      <c r="H168" s="19">
        <v>5805.4</v>
      </c>
      <c r="I168" s="19">
        <v>8457.5</v>
      </c>
      <c r="J168" s="19">
        <v>10345</v>
      </c>
      <c r="K168" s="19">
        <v>12360.4</v>
      </c>
      <c r="L168" s="19">
        <v>14511</v>
      </c>
      <c r="M168" s="19">
        <v>16804.5</v>
      </c>
      <c r="N168" s="19">
        <v>19249.099999999999</v>
      </c>
      <c r="O168" s="19">
        <v>21853.5</v>
      </c>
      <c r="P168" s="19">
        <v>21938.5</v>
      </c>
      <c r="Q168" s="19">
        <v>22027.4</v>
      </c>
      <c r="R168" s="19">
        <v>22120.5</v>
      </c>
      <c r="S168" s="19">
        <v>22217.8</v>
      </c>
      <c r="T168" s="19">
        <v>22319.599999999999</v>
      </c>
      <c r="U168" s="19">
        <v>22426</v>
      </c>
      <c r="V168" s="19">
        <v>22537.1</v>
      </c>
      <c r="W168" s="19">
        <v>22653.200000000001</v>
      </c>
      <c r="X168" s="19">
        <v>22774.5</v>
      </c>
      <c r="Y168" s="19">
        <v>22901.1</v>
      </c>
      <c r="Z168" s="19">
        <v>23033.3</v>
      </c>
      <c r="AA168" s="19">
        <v>23171.1</v>
      </c>
      <c r="AB168" s="19">
        <v>23314.9</v>
      </c>
      <c r="AC168" s="19">
        <v>23464.799999999999</v>
      </c>
      <c r="AD168" s="19">
        <v>23621.1</v>
      </c>
      <c r="AE168" s="19">
        <v>23783.9</v>
      </c>
      <c r="AF168" s="19">
        <v>23953.599999999999</v>
      </c>
      <c r="AG168" s="19">
        <v>24130.2</v>
      </c>
      <c r="AH168" s="19">
        <v>24314.1</v>
      </c>
      <c r="AI168" s="19">
        <v>24505.5</v>
      </c>
      <c r="AJ168" s="19">
        <v>24704.7</v>
      </c>
      <c r="AK168" s="19">
        <v>24912</v>
      </c>
      <c r="AL168" s="19">
        <v>25127.599999999999</v>
      </c>
      <c r="AM168" s="19">
        <v>25351.8</v>
      </c>
      <c r="AN168" s="19">
        <v>25585</v>
      </c>
      <c r="AO168" s="19">
        <v>25827.5</v>
      </c>
      <c r="AP168" s="19">
        <v>26079.7</v>
      </c>
      <c r="AQ168" s="19">
        <v>26342</v>
      </c>
      <c r="AR168" s="19">
        <v>26614.7</v>
      </c>
      <c r="AS168" s="19">
        <v>26898.400000000001</v>
      </c>
      <c r="AT168" s="19">
        <v>27193.599999999999</v>
      </c>
      <c r="AU168" s="19">
        <v>27500.799999999999</v>
      </c>
      <c r="AV168" s="19">
        <v>27820.5</v>
      </c>
      <c r="AW168" s="19">
        <v>28153.4</v>
      </c>
      <c r="AX168" s="19">
        <v>28500.2</v>
      </c>
      <c r="AY168" s="19">
        <v>28861.4</v>
      </c>
      <c r="AZ168" s="19">
        <v>28238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>
        <v>0</v>
      </c>
      <c r="BW168" s="19">
        <v>0</v>
      </c>
      <c r="BX168" s="19">
        <v>0</v>
      </c>
      <c r="BY168" s="19">
        <v>0</v>
      </c>
      <c r="BZ168" s="19">
        <v>0</v>
      </c>
      <c r="CA168" s="19">
        <v>0</v>
      </c>
      <c r="CB168" s="19">
        <v>0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0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0</v>
      </c>
      <c r="CT168" s="19">
        <v>0</v>
      </c>
      <c r="CU168" s="19">
        <v>0</v>
      </c>
      <c r="CV168" s="19">
        <v>0</v>
      </c>
      <c r="CW168" s="19">
        <v>0</v>
      </c>
      <c r="CX168" s="19">
        <v>0</v>
      </c>
      <c r="CY168" s="19">
        <v>0</v>
      </c>
      <c r="CZ168" s="19">
        <v>0</v>
      </c>
      <c r="DA168" s="19">
        <v>0</v>
      </c>
      <c r="DB168" s="19">
        <v>0</v>
      </c>
      <c r="DC168" s="19">
        <v>0</v>
      </c>
      <c r="DD168" s="19">
        <v>0</v>
      </c>
      <c r="DE168" s="19">
        <v>0</v>
      </c>
      <c r="DF168" s="19">
        <v>0</v>
      </c>
      <c r="DG168" s="19">
        <v>0</v>
      </c>
    </row>
    <row r="169" spans="2:111" x14ac:dyDescent="0.15">
      <c r="B169" s="19" t="str">
        <f t="shared" si="2"/>
        <v>10_男_14</v>
      </c>
      <c r="C169" s="18">
        <v>10</v>
      </c>
      <c r="D169" s="18" t="s">
        <v>9</v>
      </c>
      <c r="E169" s="18">
        <v>14</v>
      </c>
      <c r="F169" s="19">
        <v>1487.3</v>
      </c>
      <c r="G169" s="19">
        <v>3458</v>
      </c>
      <c r="H169" s="19">
        <v>5822.8</v>
      </c>
      <c r="I169" s="19">
        <v>8482.9</v>
      </c>
      <c r="J169" s="19">
        <v>10379</v>
      </c>
      <c r="K169" s="19">
        <v>12403.5</v>
      </c>
      <c r="L169" s="19">
        <v>14563.7</v>
      </c>
      <c r="M169" s="19">
        <v>16867.5</v>
      </c>
      <c r="N169" s="19">
        <v>19323.099999999999</v>
      </c>
      <c r="O169" s="19">
        <v>21939.1</v>
      </c>
      <c r="P169" s="19">
        <v>22028.1</v>
      </c>
      <c r="Q169" s="19">
        <v>22121.200000000001</v>
      </c>
      <c r="R169" s="19">
        <v>22218.5</v>
      </c>
      <c r="S169" s="19">
        <v>22320.3</v>
      </c>
      <c r="T169" s="19">
        <v>22426.7</v>
      </c>
      <c r="U169" s="19">
        <v>22537.9</v>
      </c>
      <c r="V169" s="19">
        <v>22654</v>
      </c>
      <c r="W169" s="19">
        <v>22775.3</v>
      </c>
      <c r="X169" s="19">
        <v>22902</v>
      </c>
      <c r="Y169" s="19">
        <v>23034.1</v>
      </c>
      <c r="Z169" s="19">
        <v>23172</v>
      </c>
      <c r="AA169" s="19">
        <v>23315.8</v>
      </c>
      <c r="AB169" s="19">
        <v>23465.7</v>
      </c>
      <c r="AC169" s="19">
        <v>23622</v>
      </c>
      <c r="AD169" s="19">
        <v>23784.799999999999</v>
      </c>
      <c r="AE169" s="19">
        <v>23954.5</v>
      </c>
      <c r="AF169" s="19">
        <v>24131.1</v>
      </c>
      <c r="AG169" s="19">
        <v>24315.1</v>
      </c>
      <c r="AH169" s="19">
        <v>24506.5</v>
      </c>
      <c r="AI169" s="19">
        <v>24705.7</v>
      </c>
      <c r="AJ169" s="19">
        <v>24912.9</v>
      </c>
      <c r="AK169" s="19">
        <v>25128.5</v>
      </c>
      <c r="AL169" s="19">
        <v>25352.7</v>
      </c>
      <c r="AM169" s="19">
        <v>25585.9</v>
      </c>
      <c r="AN169" s="19">
        <v>25828.400000000001</v>
      </c>
      <c r="AO169" s="19">
        <v>26080.6</v>
      </c>
      <c r="AP169" s="19">
        <v>26342.799999999999</v>
      </c>
      <c r="AQ169" s="19">
        <v>26615.5</v>
      </c>
      <c r="AR169" s="19">
        <v>26899.200000000001</v>
      </c>
      <c r="AS169" s="19">
        <v>27194.3</v>
      </c>
      <c r="AT169" s="19">
        <v>27501.4</v>
      </c>
      <c r="AU169" s="19">
        <v>27821</v>
      </c>
      <c r="AV169" s="19">
        <v>28153.8</v>
      </c>
      <c r="AW169" s="19">
        <v>28500.5</v>
      </c>
      <c r="AX169" s="19">
        <v>28861.599999999999</v>
      </c>
      <c r="AY169" s="19">
        <v>28238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0</v>
      </c>
      <c r="CO169" s="19">
        <v>0</v>
      </c>
      <c r="CP169" s="19">
        <v>0</v>
      </c>
      <c r="CQ169" s="19">
        <v>0</v>
      </c>
      <c r="CR169" s="19">
        <v>0</v>
      </c>
      <c r="CS169" s="19">
        <v>0</v>
      </c>
      <c r="CT169" s="19">
        <v>0</v>
      </c>
      <c r="CU169" s="19">
        <v>0</v>
      </c>
      <c r="CV169" s="19">
        <v>0</v>
      </c>
      <c r="CW169" s="19">
        <v>0</v>
      </c>
      <c r="CX169" s="19">
        <v>0</v>
      </c>
      <c r="CY169" s="19">
        <v>0</v>
      </c>
      <c r="CZ169" s="19">
        <v>0</v>
      </c>
      <c r="DA169" s="19">
        <v>0</v>
      </c>
      <c r="DB169" s="19">
        <v>0</v>
      </c>
      <c r="DC169" s="19">
        <v>0</v>
      </c>
      <c r="DD169" s="19">
        <v>0</v>
      </c>
      <c r="DE169" s="19">
        <v>0</v>
      </c>
      <c r="DF169" s="19">
        <v>0</v>
      </c>
      <c r="DG169" s="19">
        <v>0</v>
      </c>
    </row>
    <row r="170" spans="2:111" x14ac:dyDescent="0.15">
      <c r="B170" s="19" t="str">
        <f t="shared" si="2"/>
        <v>10_男_15</v>
      </c>
      <c r="C170" s="18">
        <v>10</v>
      </c>
      <c r="D170" s="18" t="s">
        <v>9</v>
      </c>
      <c r="E170" s="18">
        <v>15</v>
      </c>
      <c r="F170" s="19">
        <v>1492</v>
      </c>
      <c r="G170" s="19">
        <v>3468.9</v>
      </c>
      <c r="H170" s="19">
        <v>5841.1</v>
      </c>
      <c r="I170" s="19">
        <v>8509.6</v>
      </c>
      <c r="J170" s="19">
        <v>10414.6</v>
      </c>
      <c r="K170" s="19">
        <v>12448.5</v>
      </c>
      <c r="L170" s="19">
        <v>14618.9</v>
      </c>
      <c r="M170" s="19">
        <v>16933.5</v>
      </c>
      <c r="N170" s="19">
        <v>19400.599999999999</v>
      </c>
      <c r="O170" s="19">
        <v>22028.7</v>
      </c>
      <c r="P170" s="19">
        <v>22121.8</v>
      </c>
      <c r="Q170" s="19">
        <v>22219.200000000001</v>
      </c>
      <c r="R170" s="19">
        <v>22321</v>
      </c>
      <c r="S170" s="19">
        <v>22427.4</v>
      </c>
      <c r="T170" s="19">
        <v>22538.6</v>
      </c>
      <c r="U170" s="19">
        <v>22654.799999999999</v>
      </c>
      <c r="V170" s="19">
        <v>22776.1</v>
      </c>
      <c r="W170" s="19">
        <v>22902.799999999999</v>
      </c>
      <c r="X170" s="19">
        <v>23035</v>
      </c>
      <c r="Y170" s="19">
        <v>23172.799999999999</v>
      </c>
      <c r="Z170" s="19">
        <v>23316.7</v>
      </c>
      <c r="AA170" s="19">
        <v>23466.6</v>
      </c>
      <c r="AB170" s="19">
        <v>23622.9</v>
      </c>
      <c r="AC170" s="19">
        <v>23785.8</v>
      </c>
      <c r="AD170" s="19">
        <v>23955.4</v>
      </c>
      <c r="AE170" s="19">
        <v>24132.1</v>
      </c>
      <c r="AF170" s="19">
        <v>24316</v>
      </c>
      <c r="AG170" s="19">
        <v>24507.5</v>
      </c>
      <c r="AH170" s="19">
        <v>24706.7</v>
      </c>
      <c r="AI170" s="19">
        <v>24913.9</v>
      </c>
      <c r="AJ170" s="19">
        <v>25129.5</v>
      </c>
      <c r="AK170" s="19">
        <v>25353.7</v>
      </c>
      <c r="AL170" s="19">
        <v>25586.9</v>
      </c>
      <c r="AM170" s="19">
        <v>25829.3</v>
      </c>
      <c r="AN170" s="19">
        <v>26081.5</v>
      </c>
      <c r="AO170" s="19">
        <v>26343.7</v>
      </c>
      <c r="AP170" s="19">
        <v>26616.3</v>
      </c>
      <c r="AQ170" s="19">
        <v>26900</v>
      </c>
      <c r="AR170" s="19">
        <v>27195</v>
      </c>
      <c r="AS170" s="19">
        <v>27502</v>
      </c>
      <c r="AT170" s="19">
        <v>27821.599999999999</v>
      </c>
      <c r="AU170" s="19">
        <v>28154.3</v>
      </c>
      <c r="AV170" s="19">
        <v>28500.799999999999</v>
      </c>
      <c r="AW170" s="19">
        <v>28861.8</v>
      </c>
      <c r="AX170" s="19">
        <v>28238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0</v>
      </c>
      <c r="CO170" s="19">
        <v>0</v>
      </c>
      <c r="CP170" s="19">
        <v>0</v>
      </c>
      <c r="CQ170" s="19">
        <v>0</v>
      </c>
      <c r="CR170" s="19">
        <v>0</v>
      </c>
      <c r="CS170" s="19">
        <v>0</v>
      </c>
      <c r="CT170" s="19">
        <v>0</v>
      </c>
      <c r="CU170" s="19">
        <v>0</v>
      </c>
      <c r="CV170" s="19">
        <v>0</v>
      </c>
      <c r="CW170" s="19">
        <v>0</v>
      </c>
      <c r="CX170" s="19">
        <v>0</v>
      </c>
      <c r="CY170" s="19">
        <v>0</v>
      </c>
      <c r="CZ170" s="19">
        <v>0</v>
      </c>
      <c r="DA170" s="19">
        <v>0</v>
      </c>
      <c r="DB170" s="19">
        <v>0</v>
      </c>
      <c r="DC170" s="19">
        <v>0</v>
      </c>
      <c r="DD170" s="19">
        <v>0</v>
      </c>
      <c r="DE170" s="19">
        <v>0</v>
      </c>
      <c r="DF170" s="19">
        <v>0</v>
      </c>
      <c r="DG170" s="19">
        <v>0</v>
      </c>
    </row>
    <row r="171" spans="2:111" x14ac:dyDescent="0.15">
      <c r="B171" s="19" t="str">
        <f t="shared" si="2"/>
        <v>10_男_16</v>
      </c>
      <c r="C171" s="18">
        <v>10</v>
      </c>
      <c r="D171" s="18" t="s">
        <v>9</v>
      </c>
      <c r="E171" s="18">
        <v>16</v>
      </c>
      <c r="F171" s="19">
        <v>1496.9</v>
      </c>
      <c r="G171" s="19">
        <v>3480.3</v>
      </c>
      <c r="H171" s="19">
        <v>5860.3</v>
      </c>
      <c r="I171" s="19">
        <v>8537.5</v>
      </c>
      <c r="J171" s="19">
        <v>10451.799999999999</v>
      </c>
      <c r="K171" s="19">
        <v>12495.7</v>
      </c>
      <c r="L171" s="19">
        <v>14676.7</v>
      </c>
      <c r="M171" s="19">
        <v>17002.599999999999</v>
      </c>
      <c r="N171" s="19">
        <v>19481.599999999999</v>
      </c>
      <c r="O171" s="19">
        <v>22122.5</v>
      </c>
      <c r="P171" s="19">
        <v>22219.9</v>
      </c>
      <c r="Q171" s="19">
        <v>22321.7</v>
      </c>
      <c r="R171" s="19">
        <v>22428.2</v>
      </c>
      <c r="S171" s="19">
        <v>22539.4</v>
      </c>
      <c r="T171" s="19">
        <v>22655.599999999999</v>
      </c>
      <c r="U171" s="19">
        <v>22776.9</v>
      </c>
      <c r="V171" s="19">
        <v>22903.599999999999</v>
      </c>
      <c r="W171" s="19">
        <v>23035.8</v>
      </c>
      <c r="X171" s="19">
        <v>23173.7</v>
      </c>
      <c r="Y171" s="19">
        <v>23317.599999999999</v>
      </c>
      <c r="Z171" s="19">
        <v>23467.599999999999</v>
      </c>
      <c r="AA171" s="19">
        <v>23623.9</v>
      </c>
      <c r="AB171" s="19">
        <v>23786.7</v>
      </c>
      <c r="AC171" s="19">
        <v>23956.400000000001</v>
      </c>
      <c r="AD171" s="19">
        <v>24133.1</v>
      </c>
      <c r="AE171" s="19">
        <v>24317</v>
      </c>
      <c r="AF171" s="19">
        <v>24508.5</v>
      </c>
      <c r="AG171" s="19">
        <v>24707.7</v>
      </c>
      <c r="AH171" s="19">
        <v>24914.9</v>
      </c>
      <c r="AI171" s="19">
        <v>25130.5</v>
      </c>
      <c r="AJ171" s="19">
        <v>25354.7</v>
      </c>
      <c r="AK171" s="19">
        <v>25587.9</v>
      </c>
      <c r="AL171" s="19">
        <v>25830.3</v>
      </c>
      <c r="AM171" s="19">
        <v>26082.400000000001</v>
      </c>
      <c r="AN171" s="19">
        <v>26344.6</v>
      </c>
      <c r="AO171" s="19">
        <v>26617.200000000001</v>
      </c>
      <c r="AP171" s="19">
        <v>26900.7</v>
      </c>
      <c r="AQ171" s="19">
        <v>27195.7</v>
      </c>
      <c r="AR171" s="19">
        <v>27502.6</v>
      </c>
      <c r="AS171" s="19">
        <v>27822.1</v>
      </c>
      <c r="AT171" s="19">
        <v>28154.7</v>
      </c>
      <c r="AU171" s="19">
        <v>28501.1</v>
      </c>
      <c r="AV171" s="19">
        <v>28861.9</v>
      </c>
      <c r="AW171" s="19">
        <v>28238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19">
        <v>0</v>
      </c>
      <c r="CL171" s="19">
        <v>0</v>
      </c>
      <c r="CM171" s="19">
        <v>0</v>
      </c>
      <c r="CN171" s="19">
        <v>0</v>
      </c>
      <c r="CO171" s="19">
        <v>0</v>
      </c>
      <c r="CP171" s="19">
        <v>0</v>
      </c>
      <c r="CQ171" s="19">
        <v>0</v>
      </c>
      <c r="CR171" s="19">
        <v>0</v>
      </c>
      <c r="CS171" s="19">
        <v>0</v>
      </c>
      <c r="CT171" s="19">
        <v>0</v>
      </c>
      <c r="CU171" s="19">
        <v>0</v>
      </c>
      <c r="CV171" s="19">
        <v>0</v>
      </c>
      <c r="CW171" s="19">
        <v>0</v>
      </c>
      <c r="CX171" s="19">
        <v>0</v>
      </c>
      <c r="CY171" s="19">
        <v>0</v>
      </c>
      <c r="CZ171" s="19">
        <v>0</v>
      </c>
      <c r="DA171" s="19">
        <v>0</v>
      </c>
      <c r="DB171" s="19">
        <v>0</v>
      </c>
      <c r="DC171" s="19">
        <v>0</v>
      </c>
      <c r="DD171" s="19">
        <v>0</v>
      </c>
      <c r="DE171" s="19">
        <v>0</v>
      </c>
      <c r="DF171" s="19">
        <v>0</v>
      </c>
      <c r="DG171" s="19">
        <v>0</v>
      </c>
    </row>
    <row r="172" spans="2:111" x14ac:dyDescent="0.15">
      <c r="B172" s="19" t="str">
        <f t="shared" si="2"/>
        <v>10_男_17</v>
      </c>
      <c r="C172" s="18">
        <v>10</v>
      </c>
      <c r="D172" s="18" t="s">
        <v>9</v>
      </c>
      <c r="E172" s="18">
        <v>17</v>
      </c>
      <c r="F172" s="19">
        <v>1502.1</v>
      </c>
      <c r="G172" s="19">
        <v>3492.2</v>
      </c>
      <c r="H172" s="19">
        <v>5880.4</v>
      </c>
      <c r="I172" s="19">
        <v>8566.7000000000007</v>
      </c>
      <c r="J172" s="19">
        <v>10490.8</v>
      </c>
      <c r="K172" s="19">
        <v>12545.2</v>
      </c>
      <c r="L172" s="19">
        <v>14737.3</v>
      </c>
      <c r="M172" s="19">
        <v>17074.900000000001</v>
      </c>
      <c r="N172" s="19">
        <v>19566.5</v>
      </c>
      <c r="O172" s="19">
        <v>22220.7</v>
      </c>
      <c r="P172" s="19">
        <v>22322.5</v>
      </c>
      <c r="Q172" s="19">
        <v>22429</v>
      </c>
      <c r="R172" s="19">
        <v>22540.2</v>
      </c>
      <c r="S172" s="19">
        <v>22656.400000000001</v>
      </c>
      <c r="T172" s="19">
        <v>22777.8</v>
      </c>
      <c r="U172" s="19">
        <v>22904.5</v>
      </c>
      <c r="V172" s="19">
        <v>23036.7</v>
      </c>
      <c r="W172" s="19">
        <v>23174.7</v>
      </c>
      <c r="X172" s="19">
        <v>23318.5</v>
      </c>
      <c r="Y172" s="19">
        <v>23468.5</v>
      </c>
      <c r="Z172" s="19">
        <v>23624.799999999999</v>
      </c>
      <c r="AA172" s="19">
        <v>23787.7</v>
      </c>
      <c r="AB172" s="19">
        <v>23957.4</v>
      </c>
      <c r="AC172" s="19">
        <v>24134.1</v>
      </c>
      <c r="AD172" s="19">
        <v>24318.1</v>
      </c>
      <c r="AE172" s="19">
        <v>24509.5</v>
      </c>
      <c r="AF172" s="19">
        <v>24708.7</v>
      </c>
      <c r="AG172" s="19">
        <v>24916</v>
      </c>
      <c r="AH172" s="19">
        <v>25131.5</v>
      </c>
      <c r="AI172" s="19">
        <v>25355.7</v>
      </c>
      <c r="AJ172" s="19">
        <v>25588.9</v>
      </c>
      <c r="AK172" s="19">
        <v>25831.3</v>
      </c>
      <c r="AL172" s="19">
        <v>26083.4</v>
      </c>
      <c r="AM172" s="19">
        <v>26345.5</v>
      </c>
      <c r="AN172" s="19">
        <v>26618</v>
      </c>
      <c r="AO172" s="19">
        <v>26901.5</v>
      </c>
      <c r="AP172" s="19">
        <v>27196.5</v>
      </c>
      <c r="AQ172" s="19">
        <v>27503.3</v>
      </c>
      <c r="AR172" s="19">
        <v>27822.7</v>
      </c>
      <c r="AS172" s="19">
        <v>28155.1</v>
      </c>
      <c r="AT172" s="19">
        <v>28501.4</v>
      </c>
      <c r="AU172" s="19">
        <v>28862.1</v>
      </c>
      <c r="AV172" s="19">
        <v>28238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0</v>
      </c>
      <c r="CO172" s="19">
        <v>0</v>
      </c>
      <c r="CP172" s="19">
        <v>0</v>
      </c>
      <c r="CQ172" s="19">
        <v>0</v>
      </c>
      <c r="CR172" s="19">
        <v>0</v>
      </c>
      <c r="CS172" s="19">
        <v>0</v>
      </c>
      <c r="CT172" s="19">
        <v>0</v>
      </c>
      <c r="CU172" s="19">
        <v>0</v>
      </c>
      <c r="CV172" s="19">
        <v>0</v>
      </c>
      <c r="CW172" s="19">
        <v>0</v>
      </c>
      <c r="CX172" s="19">
        <v>0</v>
      </c>
      <c r="CY172" s="19">
        <v>0</v>
      </c>
      <c r="CZ172" s="19">
        <v>0</v>
      </c>
      <c r="DA172" s="19">
        <v>0</v>
      </c>
      <c r="DB172" s="19">
        <v>0</v>
      </c>
      <c r="DC172" s="19">
        <v>0</v>
      </c>
      <c r="DD172" s="19">
        <v>0</v>
      </c>
      <c r="DE172" s="19">
        <v>0</v>
      </c>
      <c r="DF172" s="19">
        <v>0</v>
      </c>
      <c r="DG172" s="19">
        <v>0</v>
      </c>
    </row>
    <row r="173" spans="2:111" x14ac:dyDescent="0.15">
      <c r="B173" s="19" t="str">
        <f t="shared" si="2"/>
        <v>10_男_18</v>
      </c>
      <c r="C173" s="18">
        <v>10</v>
      </c>
      <c r="D173" s="18" t="s">
        <v>9</v>
      </c>
      <c r="E173" s="18">
        <v>18</v>
      </c>
      <c r="F173" s="19">
        <v>1507.4</v>
      </c>
      <c r="G173" s="19">
        <v>3504.7</v>
      </c>
      <c r="H173" s="19">
        <v>5901.4</v>
      </c>
      <c r="I173" s="19">
        <v>8597.2999999999993</v>
      </c>
      <c r="J173" s="19">
        <v>10531.7</v>
      </c>
      <c r="K173" s="19">
        <v>12596.9</v>
      </c>
      <c r="L173" s="19">
        <v>14800.6</v>
      </c>
      <c r="M173" s="19">
        <v>17150.599999999999</v>
      </c>
      <c r="N173" s="19">
        <v>19655.2</v>
      </c>
      <c r="O173" s="19">
        <v>22323.3</v>
      </c>
      <c r="P173" s="19">
        <v>22429.8</v>
      </c>
      <c r="Q173" s="19">
        <v>22541</v>
      </c>
      <c r="R173" s="19">
        <v>22657.3</v>
      </c>
      <c r="S173" s="19">
        <v>22778.7</v>
      </c>
      <c r="T173" s="19">
        <v>22905.4</v>
      </c>
      <c r="U173" s="19">
        <v>23037.599999999999</v>
      </c>
      <c r="V173" s="19">
        <v>23175.599999999999</v>
      </c>
      <c r="W173" s="19">
        <v>23319.5</v>
      </c>
      <c r="X173" s="19">
        <v>23469.5</v>
      </c>
      <c r="Y173" s="19">
        <v>23625.8</v>
      </c>
      <c r="Z173" s="19">
        <v>23788.7</v>
      </c>
      <c r="AA173" s="19">
        <v>23958.400000000001</v>
      </c>
      <c r="AB173" s="19">
        <v>24135.1</v>
      </c>
      <c r="AC173" s="19">
        <v>24319.1</v>
      </c>
      <c r="AD173" s="19">
        <v>24510.6</v>
      </c>
      <c r="AE173" s="19">
        <v>24709.8</v>
      </c>
      <c r="AF173" s="19">
        <v>24917</v>
      </c>
      <c r="AG173" s="19">
        <v>25132.6</v>
      </c>
      <c r="AH173" s="19">
        <v>25356.799999999999</v>
      </c>
      <c r="AI173" s="19">
        <v>25589.9</v>
      </c>
      <c r="AJ173" s="19">
        <v>25832.3</v>
      </c>
      <c r="AK173" s="19">
        <v>26084.3</v>
      </c>
      <c r="AL173" s="19">
        <v>26346.400000000001</v>
      </c>
      <c r="AM173" s="19">
        <v>26618.9</v>
      </c>
      <c r="AN173" s="19">
        <v>26902.400000000001</v>
      </c>
      <c r="AO173" s="19">
        <v>27197.200000000001</v>
      </c>
      <c r="AP173" s="19">
        <v>27504</v>
      </c>
      <c r="AQ173" s="19">
        <v>27823.200000000001</v>
      </c>
      <c r="AR173" s="19">
        <v>28155.599999999999</v>
      </c>
      <c r="AS173" s="19">
        <v>28501.7</v>
      </c>
      <c r="AT173" s="19">
        <v>28862.3</v>
      </c>
      <c r="AU173" s="19">
        <v>28238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>
        <v>0</v>
      </c>
      <c r="BW173" s="19">
        <v>0</v>
      </c>
      <c r="BX173" s="19">
        <v>0</v>
      </c>
      <c r="BY173" s="19">
        <v>0</v>
      </c>
      <c r="BZ173" s="19">
        <v>0</v>
      </c>
      <c r="CA173" s="19">
        <v>0</v>
      </c>
      <c r="CB173" s="19">
        <v>0</v>
      </c>
      <c r="CC173" s="19">
        <v>0</v>
      </c>
      <c r="CD173" s="19">
        <v>0</v>
      </c>
      <c r="CE173" s="19">
        <v>0</v>
      </c>
      <c r="CF173" s="19">
        <v>0</v>
      </c>
      <c r="CG173" s="19">
        <v>0</v>
      </c>
      <c r="CH173" s="19">
        <v>0</v>
      </c>
      <c r="CI173" s="19">
        <v>0</v>
      </c>
      <c r="CJ173" s="19">
        <v>0</v>
      </c>
      <c r="CK173" s="19">
        <v>0</v>
      </c>
      <c r="CL173" s="19">
        <v>0</v>
      </c>
      <c r="CM173" s="19">
        <v>0</v>
      </c>
      <c r="CN173" s="19">
        <v>0</v>
      </c>
      <c r="CO173" s="19">
        <v>0</v>
      </c>
      <c r="CP173" s="19">
        <v>0</v>
      </c>
      <c r="CQ173" s="19">
        <v>0</v>
      </c>
      <c r="CR173" s="19">
        <v>0</v>
      </c>
      <c r="CS173" s="19">
        <v>0</v>
      </c>
      <c r="CT173" s="19">
        <v>0</v>
      </c>
      <c r="CU173" s="19">
        <v>0</v>
      </c>
      <c r="CV173" s="19">
        <v>0</v>
      </c>
      <c r="CW173" s="19">
        <v>0</v>
      </c>
      <c r="CX173" s="19">
        <v>0</v>
      </c>
      <c r="CY173" s="19">
        <v>0</v>
      </c>
      <c r="CZ173" s="19">
        <v>0</v>
      </c>
      <c r="DA173" s="19">
        <v>0</v>
      </c>
      <c r="DB173" s="19">
        <v>0</v>
      </c>
      <c r="DC173" s="19">
        <v>0</v>
      </c>
      <c r="DD173" s="19">
        <v>0</v>
      </c>
      <c r="DE173" s="19">
        <v>0</v>
      </c>
      <c r="DF173" s="19">
        <v>0</v>
      </c>
      <c r="DG173" s="19">
        <v>0</v>
      </c>
    </row>
    <row r="174" spans="2:111" x14ac:dyDescent="0.15">
      <c r="B174" s="19" t="str">
        <f t="shared" si="2"/>
        <v>10_男_19</v>
      </c>
      <c r="C174" s="18">
        <v>10</v>
      </c>
      <c r="D174" s="18" t="s">
        <v>9</v>
      </c>
      <c r="E174" s="18">
        <v>19</v>
      </c>
      <c r="F174" s="19">
        <v>1513.1</v>
      </c>
      <c r="G174" s="19">
        <v>3517.8</v>
      </c>
      <c r="H174" s="19">
        <v>5923.4</v>
      </c>
      <c r="I174" s="19">
        <v>8629.4</v>
      </c>
      <c r="J174" s="19">
        <v>10574.4</v>
      </c>
      <c r="K174" s="19">
        <v>12651.1</v>
      </c>
      <c r="L174" s="19">
        <v>14866.9</v>
      </c>
      <c r="M174" s="19">
        <v>17229.8</v>
      </c>
      <c r="N174" s="19">
        <v>19748</v>
      </c>
      <c r="O174" s="19">
        <v>22430.6</v>
      </c>
      <c r="P174" s="19">
        <v>22541.9</v>
      </c>
      <c r="Q174" s="19">
        <v>22658.1</v>
      </c>
      <c r="R174" s="19">
        <v>22779.599999999999</v>
      </c>
      <c r="S174" s="19">
        <v>22906.3</v>
      </c>
      <c r="T174" s="19">
        <v>23038.6</v>
      </c>
      <c r="U174" s="19">
        <v>23176.6</v>
      </c>
      <c r="V174" s="19">
        <v>23320.5</v>
      </c>
      <c r="W174" s="19">
        <v>23470.5</v>
      </c>
      <c r="X174" s="19">
        <v>23626.9</v>
      </c>
      <c r="Y174" s="19">
        <v>23789.8</v>
      </c>
      <c r="Z174" s="19">
        <v>23959.5</v>
      </c>
      <c r="AA174" s="19">
        <v>24136.2</v>
      </c>
      <c r="AB174" s="19">
        <v>24320.2</v>
      </c>
      <c r="AC174" s="19">
        <v>24511.7</v>
      </c>
      <c r="AD174" s="19">
        <v>24710.9</v>
      </c>
      <c r="AE174" s="19">
        <v>24918.1</v>
      </c>
      <c r="AF174" s="19">
        <v>25133.7</v>
      </c>
      <c r="AG174" s="19">
        <v>25357.8</v>
      </c>
      <c r="AH174" s="19">
        <v>25590.9</v>
      </c>
      <c r="AI174" s="19">
        <v>25833.3</v>
      </c>
      <c r="AJ174" s="19">
        <v>26085.3</v>
      </c>
      <c r="AK174" s="19">
        <v>26347.4</v>
      </c>
      <c r="AL174" s="19">
        <v>26619.8</v>
      </c>
      <c r="AM174" s="19">
        <v>26903.200000000001</v>
      </c>
      <c r="AN174" s="19">
        <v>27198</v>
      </c>
      <c r="AO174" s="19">
        <v>27504.7</v>
      </c>
      <c r="AP174" s="19">
        <v>27823.8</v>
      </c>
      <c r="AQ174" s="19">
        <v>28156.1</v>
      </c>
      <c r="AR174" s="19">
        <v>28502</v>
      </c>
      <c r="AS174" s="19">
        <v>28862.400000000001</v>
      </c>
      <c r="AT174" s="19">
        <v>28238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>
        <v>0</v>
      </c>
      <c r="BW174" s="19">
        <v>0</v>
      </c>
      <c r="BX174" s="19">
        <v>0</v>
      </c>
      <c r="BY174" s="19">
        <v>0</v>
      </c>
      <c r="BZ174" s="19">
        <v>0</v>
      </c>
      <c r="CA174" s="19">
        <v>0</v>
      </c>
      <c r="CB174" s="19">
        <v>0</v>
      </c>
      <c r="CC174" s="19">
        <v>0</v>
      </c>
      <c r="CD174" s="19">
        <v>0</v>
      </c>
      <c r="CE174" s="19">
        <v>0</v>
      </c>
      <c r="CF174" s="19">
        <v>0</v>
      </c>
      <c r="CG174" s="19">
        <v>0</v>
      </c>
      <c r="CH174" s="19">
        <v>0</v>
      </c>
      <c r="CI174" s="19">
        <v>0</v>
      </c>
      <c r="CJ174" s="19">
        <v>0</v>
      </c>
      <c r="CK174" s="19">
        <v>0</v>
      </c>
      <c r="CL174" s="19">
        <v>0</v>
      </c>
      <c r="CM174" s="19">
        <v>0</v>
      </c>
      <c r="CN174" s="19">
        <v>0</v>
      </c>
      <c r="CO174" s="19">
        <v>0</v>
      </c>
      <c r="CP174" s="19">
        <v>0</v>
      </c>
      <c r="CQ174" s="19">
        <v>0</v>
      </c>
      <c r="CR174" s="19">
        <v>0</v>
      </c>
      <c r="CS174" s="19">
        <v>0</v>
      </c>
      <c r="CT174" s="19">
        <v>0</v>
      </c>
      <c r="CU174" s="19">
        <v>0</v>
      </c>
      <c r="CV174" s="19">
        <v>0</v>
      </c>
      <c r="CW174" s="19">
        <v>0</v>
      </c>
      <c r="CX174" s="19">
        <v>0</v>
      </c>
      <c r="CY174" s="19">
        <v>0</v>
      </c>
      <c r="CZ174" s="19">
        <v>0</v>
      </c>
      <c r="DA174" s="19">
        <v>0</v>
      </c>
      <c r="DB174" s="19">
        <v>0</v>
      </c>
      <c r="DC174" s="19">
        <v>0</v>
      </c>
      <c r="DD174" s="19">
        <v>0</v>
      </c>
      <c r="DE174" s="19">
        <v>0</v>
      </c>
      <c r="DF174" s="19">
        <v>0</v>
      </c>
      <c r="DG174" s="19">
        <v>0</v>
      </c>
    </row>
    <row r="175" spans="2:111" x14ac:dyDescent="0.15">
      <c r="B175" s="19" t="str">
        <f t="shared" si="2"/>
        <v>10_男_20</v>
      </c>
      <c r="C175" s="18">
        <v>10</v>
      </c>
      <c r="D175" s="18" t="s">
        <v>9</v>
      </c>
      <c r="E175" s="18">
        <v>20</v>
      </c>
      <c r="F175" s="19">
        <v>1519</v>
      </c>
      <c r="G175" s="19">
        <v>3531.5</v>
      </c>
      <c r="H175" s="19">
        <v>5946.5</v>
      </c>
      <c r="I175" s="19">
        <v>8662.9</v>
      </c>
      <c r="J175" s="19">
        <v>10619.2</v>
      </c>
      <c r="K175" s="19">
        <v>12707.8</v>
      </c>
      <c r="L175" s="19">
        <v>14936.2</v>
      </c>
      <c r="M175" s="19">
        <v>17312.599999999999</v>
      </c>
      <c r="N175" s="19">
        <v>19845.099999999999</v>
      </c>
      <c r="O175" s="19">
        <v>22542.799999999999</v>
      </c>
      <c r="P175" s="19">
        <v>22659</v>
      </c>
      <c r="Q175" s="19">
        <v>22780.5</v>
      </c>
      <c r="R175" s="19">
        <v>22907.200000000001</v>
      </c>
      <c r="S175" s="19">
        <v>23039.5</v>
      </c>
      <c r="T175" s="19">
        <v>23177.5</v>
      </c>
      <c r="U175" s="19">
        <v>23321.5</v>
      </c>
      <c r="V175" s="19">
        <v>23471.5</v>
      </c>
      <c r="W175" s="19">
        <v>23627.9</v>
      </c>
      <c r="X175" s="19">
        <v>23790.9</v>
      </c>
      <c r="Y175" s="19">
        <v>23960.6</v>
      </c>
      <c r="Z175" s="19">
        <v>24137.3</v>
      </c>
      <c r="AA175" s="19">
        <v>24321.3</v>
      </c>
      <c r="AB175" s="19">
        <v>24512.799999999999</v>
      </c>
      <c r="AC175" s="19">
        <v>24712</v>
      </c>
      <c r="AD175" s="19">
        <v>24919.3</v>
      </c>
      <c r="AE175" s="19">
        <v>25134.799999999999</v>
      </c>
      <c r="AF175" s="19">
        <v>25359</v>
      </c>
      <c r="AG175" s="19">
        <v>25592</v>
      </c>
      <c r="AH175" s="19">
        <v>25834.400000000001</v>
      </c>
      <c r="AI175" s="19">
        <v>26086.400000000001</v>
      </c>
      <c r="AJ175" s="19">
        <v>26348.400000000001</v>
      </c>
      <c r="AK175" s="19">
        <v>26620.799999999999</v>
      </c>
      <c r="AL175" s="19">
        <v>26904.1</v>
      </c>
      <c r="AM175" s="19">
        <v>27198.799999999999</v>
      </c>
      <c r="AN175" s="19">
        <v>27505.4</v>
      </c>
      <c r="AO175" s="19">
        <v>27824.400000000001</v>
      </c>
      <c r="AP175" s="19">
        <v>28156.6</v>
      </c>
      <c r="AQ175" s="19">
        <v>28502.400000000001</v>
      </c>
      <c r="AR175" s="19">
        <v>28862.6</v>
      </c>
      <c r="AS175" s="19">
        <v>28238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>
        <v>0</v>
      </c>
      <c r="BW175" s="19">
        <v>0</v>
      </c>
      <c r="BX175" s="19">
        <v>0</v>
      </c>
      <c r="BY175" s="19">
        <v>0</v>
      </c>
      <c r="BZ175" s="19">
        <v>0</v>
      </c>
      <c r="CA175" s="19">
        <v>0</v>
      </c>
      <c r="CB175" s="19">
        <v>0</v>
      </c>
      <c r="CC175" s="19">
        <v>0</v>
      </c>
      <c r="CD175" s="19">
        <v>0</v>
      </c>
      <c r="CE175" s="19">
        <v>0</v>
      </c>
      <c r="CF175" s="19">
        <v>0</v>
      </c>
      <c r="CG175" s="19">
        <v>0</v>
      </c>
      <c r="CH175" s="19">
        <v>0</v>
      </c>
      <c r="CI175" s="19">
        <v>0</v>
      </c>
      <c r="CJ175" s="19">
        <v>0</v>
      </c>
      <c r="CK175" s="19">
        <v>0</v>
      </c>
      <c r="CL175" s="19">
        <v>0</v>
      </c>
      <c r="CM175" s="19">
        <v>0</v>
      </c>
      <c r="CN175" s="19">
        <v>0</v>
      </c>
      <c r="CO175" s="19">
        <v>0</v>
      </c>
      <c r="CP175" s="19">
        <v>0</v>
      </c>
      <c r="CQ175" s="19">
        <v>0</v>
      </c>
      <c r="CR175" s="19">
        <v>0</v>
      </c>
      <c r="CS175" s="19">
        <v>0</v>
      </c>
      <c r="CT175" s="19">
        <v>0</v>
      </c>
      <c r="CU175" s="19">
        <v>0</v>
      </c>
      <c r="CV175" s="19">
        <v>0</v>
      </c>
      <c r="CW175" s="19">
        <v>0</v>
      </c>
      <c r="CX175" s="19">
        <v>0</v>
      </c>
      <c r="CY175" s="19">
        <v>0</v>
      </c>
      <c r="CZ175" s="19">
        <v>0</v>
      </c>
      <c r="DA175" s="19">
        <v>0</v>
      </c>
      <c r="DB175" s="19">
        <v>0</v>
      </c>
      <c r="DC175" s="19">
        <v>0</v>
      </c>
      <c r="DD175" s="19">
        <v>0</v>
      </c>
      <c r="DE175" s="19">
        <v>0</v>
      </c>
      <c r="DF175" s="19">
        <v>0</v>
      </c>
      <c r="DG175" s="19">
        <v>0</v>
      </c>
    </row>
    <row r="176" spans="2:111" x14ac:dyDescent="0.15">
      <c r="B176" s="19" t="str">
        <f t="shared" si="2"/>
        <v>10_男_21</v>
      </c>
      <c r="C176" s="18">
        <v>10</v>
      </c>
      <c r="D176" s="18" t="s">
        <v>9</v>
      </c>
      <c r="E176" s="18">
        <v>21</v>
      </c>
      <c r="F176" s="19">
        <v>1525.1</v>
      </c>
      <c r="G176" s="19">
        <v>3545.8</v>
      </c>
      <c r="H176" s="19">
        <v>5970.6</v>
      </c>
      <c r="I176" s="19">
        <v>8698</v>
      </c>
      <c r="J176" s="19">
        <v>10666</v>
      </c>
      <c r="K176" s="19">
        <v>12767</v>
      </c>
      <c r="L176" s="19">
        <v>15008.7</v>
      </c>
      <c r="M176" s="19">
        <v>17399.099999999999</v>
      </c>
      <c r="N176" s="19">
        <v>19946.599999999999</v>
      </c>
      <c r="O176" s="19">
        <v>22660</v>
      </c>
      <c r="P176" s="19">
        <v>22781.4</v>
      </c>
      <c r="Q176" s="19">
        <v>22908.2</v>
      </c>
      <c r="R176" s="19">
        <v>23040.5</v>
      </c>
      <c r="S176" s="19">
        <v>23178.6</v>
      </c>
      <c r="T176" s="19">
        <v>23322.5</v>
      </c>
      <c r="U176" s="19">
        <v>23472.6</v>
      </c>
      <c r="V176" s="19">
        <v>23629</v>
      </c>
      <c r="W176" s="19">
        <v>23792</v>
      </c>
      <c r="X176" s="19">
        <v>23961.7</v>
      </c>
      <c r="Y176" s="19">
        <v>24138.400000000001</v>
      </c>
      <c r="Z176" s="19">
        <v>24322.400000000001</v>
      </c>
      <c r="AA176" s="19">
        <v>24513.9</v>
      </c>
      <c r="AB176" s="19">
        <v>24713.200000000001</v>
      </c>
      <c r="AC176" s="19">
        <v>24920.400000000001</v>
      </c>
      <c r="AD176" s="19">
        <v>25135.9</v>
      </c>
      <c r="AE176" s="19">
        <v>25360.1</v>
      </c>
      <c r="AF176" s="19">
        <v>25593.200000000001</v>
      </c>
      <c r="AG176" s="19">
        <v>25835.5</v>
      </c>
      <c r="AH176" s="19">
        <v>26087.4</v>
      </c>
      <c r="AI176" s="19">
        <v>26349.4</v>
      </c>
      <c r="AJ176" s="19">
        <v>26621.7</v>
      </c>
      <c r="AK176" s="19">
        <v>26905</v>
      </c>
      <c r="AL176" s="19">
        <v>27199.599999999999</v>
      </c>
      <c r="AM176" s="19">
        <v>27506.1</v>
      </c>
      <c r="AN176" s="19">
        <v>27825.1</v>
      </c>
      <c r="AO176" s="19">
        <v>28157.1</v>
      </c>
      <c r="AP176" s="19">
        <v>28502.7</v>
      </c>
      <c r="AQ176" s="19">
        <v>28862.799999999999</v>
      </c>
      <c r="AR176" s="19">
        <v>28238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0</v>
      </c>
      <c r="CD176" s="19">
        <v>0</v>
      </c>
      <c r="CE176" s="19">
        <v>0</v>
      </c>
      <c r="CF176" s="19">
        <v>0</v>
      </c>
      <c r="CG176" s="19">
        <v>0</v>
      </c>
      <c r="CH176" s="19">
        <v>0</v>
      </c>
      <c r="CI176" s="19">
        <v>0</v>
      </c>
      <c r="CJ176" s="19">
        <v>0</v>
      </c>
      <c r="CK176" s="19">
        <v>0</v>
      </c>
      <c r="CL176" s="19">
        <v>0</v>
      </c>
      <c r="CM176" s="19">
        <v>0</v>
      </c>
      <c r="CN176" s="19">
        <v>0</v>
      </c>
      <c r="CO176" s="19">
        <v>0</v>
      </c>
      <c r="CP176" s="19">
        <v>0</v>
      </c>
      <c r="CQ176" s="19">
        <v>0</v>
      </c>
      <c r="CR176" s="19">
        <v>0</v>
      </c>
      <c r="CS176" s="19">
        <v>0</v>
      </c>
      <c r="CT176" s="19">
        <v>0</v>
      </c>
      <c r="CU176" s="19">
        <v>0</v>
      </c>
      <c r="CV176" s="19">
        <v>0</v>
      </c>
      <c r="CW176" s="19">
        <v>0</v>
      </c>
      <c r="CX176" s="19">
        <v>0</v>
      </c>
      <c r="CY176" s="19">
        <v>0</v>
      </c>
      <c r="CZ176" s="19">
        <v>0</v>
      </c>
      <c r="DA176" s="19">
        <v>0</v>
      </c>
      <c r="DB176" s="19">
        <v>0</v>
      </c>
      <c r="DC176" s="19">
        <v>0</v>
      </c>
      <c r="DD176" s="19">
        <v>0</v>
      </c>
      <c r="DE176" s="19">
        <v>0</v>
      </c>
      <c r="DF176" s="19">
        <v>0</v>
      </c>
      <c r="DG176" s="19">
        <v>0</v>
      </c>
    </row>
    <row r="177" spans="2:111" x14ac:dyDescent="0.15">
      <c r="B177" s="19" t="str">
        <f t="shared" si="2"/>
        <v>10_男_22</v>
      </c>
      <c r="C177" s="18">
        <v>10</v>
      </c>
      <c r="D177" s="18" t="s">
        <v>9</v>
      </c>
      <c r="E177" s="18">
        <v>22</v>
      </c>
      <c r="F177" s="19">
        <v>1531.6</v>
      </c>
      <c r="G177" s="19">
        <v>3560.8</v>
      </c>
      <c r="H177" s="19">
        <v>5995.8</v>
      </c>
      <c r="I177" s="19">
        <v>8734.7000000000007</v>
      </c>
      <c r="J177" s="19">
        <v>10714.9</v>
      </c>
      <c r="K177" s="19">
        <v>12829</v>
      </c>
      <c r="L177" s="19">
        <v>15084.5</v>
      </c>
      <c r="M177" s="19">
        <v>17489.599999999999</v>
      </c>
      <c r="N177" s="19">
        <v>20052.5</v>
      </c>
      <c r="O177" s="19">
        <v>22782.400000000001</v>
      </c>
      <c r="P177" s="19">
        <v>22909.200000000001</v>
      </c>
      <c r="Q177" s="19">
        <v>23041.5</v>
      </c>
      <c r="R177" s="19">
        <v>23179.599999999999</v>
      </c>
      <c r="S177" s="19">
        <v>23323.599999999999</v>
      </c>
      <c r="T177" s="19">
        <v>23473.7</v>
      </c>
      <c r="U177" s="19">
        <v>23630.1</v>
      </c>
      <c r="V177" s="19">
        <v>23793.1</v>
      </c>
      <c r="W177" s="19">
        <v>23962.799999999999</v>
      </c>
      <c r="X177" s="19">
        <v>24139.599999999999</v>
      </c>
      <c r="Y177" s="19">
        <v>24323.599999999999</v>
      </c>
      <c r="Z177" s="19">
        <v>24515.1</v>
      </c>
      <c r="AA177" s="19">
        <v>24714.3</v>
      </c>
      <c r="AB177" s="19">
        <v>24921.599999999999</v>
      </c>
      <c r="AC177" s="19">
        <v>25137.1</v>
      </c>
      <c r="AD177" s="19">
        <v>25361.3</v>
      </c>
      <c r="AE177" s="19">
        <v>25594.3</v>
      </c>
      <c r="AF177" s="19">
        <v>25836.6</v>
      </c>
      <c r="AG177" s="19">
        <v>26088.5</v>
      </c>
      <c r="AH177" s="19">
        <v>26350.400000000001</v>
      </c>
      <c r="AI177" s="19">
        <v>26622.7</v>
      </c>
      <c r="AJ177" s="19">
        <v>26905.9</v>
      </c>
      <c r="AK177" s="19">
        <v>27200.400000000001</v>
      </c>
      <c r="AL177" s="19">
        <v>27506.799999999999</v>
      </c>
      <c r="AM177" s="19">
        <v>27825.7</v>
      </c>
      <c r="AN177" s="19">
        <v>28157.599999999999</v>
      </c>
      <c r="AO177" s="19">
        <v>28503.1</v>
      </c>
      <c r="AP177" s="19">
        <v>28863</v>
      </c>
      <c r="AQ177" s="19">
        <v>28238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19">
        <v>0</v>
      </c>
      <c r="CL177" s="19">
        <v>0</v>
      </c>
      <c r="CM177" s="19">
        <v>0</v>
      </c>
      <c r="CN177" s="19">
        <v>0</v>
      </c>
      <c r="CO177" s="19">
        <v>0</v>
      </c>
      <c r="CP177" s="19">
        <v>0</v>
      </c>
      <c r="CQ177" s="19">
        <v>0</v>
      </c>
      <c r="CR177" s="19">
        <v>0</v>
      </c>
      <c r="CS177" s="19">
        <v>0</v>
      </c>
      <c r="CT177" s="19">
        <v>0</v>
      </c>
      <c r="CU177" s="19">
        <v>0</v>
      </c>
      <c r="CV177" s="19">
        <v>0</v>
      </c>
      <c r="CW177" s="19">
        <v>0</v>
      </c>
      <c r="CX177" s="19">
        <v>0</v>
      </c>
      <c r="CY177" s="19">
        <v>0</v>
      </c>
      <c r="CZ177" s="19">
        <v>0</v>
      </c>
      <c r="DA177" s="19">
        <v>0</v>
      </c>
      <c r="DB177" s="19">
        <v>0</v>
      </c>
      <c r="DC177" s="19">
        <v>0</v>
      </c>
      <c r="DD177" s="19">
        <v>0</v>
      </c>
      <c r="DE177" s="19">
        <v>0</v>
      </c>
      <c r="DF177" s="19">
        <v>0</v>
      </c>
      <c r="DG177" s="19">
        <v>0</v>
      </c>
    </row>
    <row r="178" spans="2:111" x14ac:dyDescent="0.15">
      <c r="B178" s="19" t="str">
        <f t="shared" si="2"/>
        <v>10_男_23</v>
      </c>
      <c r="C178" s="18">
        <v>10</v>
      </c>
      <c r="D178" s="18" t="s">
        <v>9</v>
      </c>
      <c r="E178" s="18">
        <v>23</v>
      </c>
      <c r="F178" s="19">
        <v>1538.4</v>
      </c>
      <c r="G178" s="19">
        <v>3576.5</v>
      </c>
      <c r="H178" s="19">
        <v>6022.2</v>
      </c>
      <c r="I178" s="19">
        <v>8773.1</v>
      </c>
      <c r="J178" s="19">
        <v>10766.1</v>
      </c>
      <c r="K178" s="19">
        <v>12893.7</v>
      </c>
      <c r="L178" s="19">
        <v>15163.7</v>
      </c>
      <c r="M178" s="19">
        <v>17584</v>
      </c>
      <c r="N178" s="19">
        <v>20163.2</v>
      </c>
      <c r="O178" s="19">
        <v>22910.2</v>
      </c>
      <c r="P178" s="19">
        <v>23042.6</v>
      </c>
      <c r="Q178" s="19">
        <v>23180.7</v>
      </c>
      <c r="R178" s="19">
        <v>23324.7</v>
      </c>
      <c r="S178" s="19">
        <v>23474.799999999999</v>
      </c>
      <c r="T178" s="19">
        <v>23631.3</v>
      </c>
      <c r="U178" s="19">
        <v>23794.3</v>
      </c>
      <c r="V178" s="19">
        <v>23964</v>
      </c>
      <c r="W178" s="19">
        <v>24140.799999999999</v>
      </c>
      <c r="X178" s="19">
        <v>24324.799999999999</v>
      </c>
      <c r="Y178" s="19">
        <v>24516.3</v>
      </c>
      <c r="Z178" s="19">
        <v>24715.599999999999</v>
      </c>
      <c r="AA178" s="19">
        <v>24922.799999999999</v>
      </c>
      <c r="AB178" s="19">
        <v>25138.3</v>
      </c>
      <c r="AC178" s="19">
        <v>25362.5</v>
      </c>
      <c r="AD178" s="19">
        <v>25595.5</v>
      </c>
      <c r="AE178" s="19">
        <v>25837.8</v>
      </c>
      <c r="AF178" s="19">
        <v>26089.599999999999</v>
      </c>
      <c r="AG178" s="19">
        <v>26351.5</v>
      </c>
      <c r="AH178" s="19">
        <v>26623.7</v>
      </c>
      <c r="AI178" s="19">
        <v>26906.9</v>
      </c>
      <c r="AJ178" s="19">
        <v>27201.3</v>
      </c>
      <c r="AK178" s="19">
        <v>27507.599999999999</v>
      </c>
      <c r="AL178" s="19">
        <v>27826.3</v>
      </c>
      <c r="AM178" s="19">
        <v>28158.1</v>
      </c>
      <c r="AN178" s="19">
        <v>28503.5</v>
      </c>
      <c r="AO178" s="19">
        <v>28863.200000000001</v>
      </c>
      <c r="AP178" s="19">
        <v>28238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19">
        <v>0</v>
      </c>
      <c r="CL178" s="19">
        <v>0</v>
      </c>
      <c r="CM178" s="19">
        <v>0</v>
      </c>
      <c r="CN178" s="19">
        <v>0</v>
      </c>
      <c r="CO178" s="19">
        <v>0</v>
      </c>
      <c r="CP178" s="19">
        <v>0</v>
      </c>
      <c r="CQ178" s="19">
        <v>0</v>
      </c>
      <c r="CR178" s="19">
        <v>0</v>
      </c>
      <c r="CS178" s="19">
        <v>0</v>
      </c>
      <c r="CT178" s="19">
        <v>0</v>
      </c>
      <c r="CU178" s="19">
        <v>0</v>
      </c>
      <c r="CV178" s="19">
        <v>0</v>
      </c>
      <c r="CW178" s="19">
        <v>0</v>
      </c>
      <c r="CX178" s="19">
        <v>0</v>
      </c>
      <c r="CY178" s="19">
        <v>0</v>
      </c>
      <c r="CZ178" s="19">
        <v>0</v>
      </c>
      <c r="DA178" s="19">
        <v>0</v>
      </c>
      <c r="DB178" s="19">
        <v>0</v>
      </c>
      <c r="DC178" s="19">
        <v>0</v>
      </c>
      <c r="DD178" s="19">
        <v>0</v>
      </c>
      <c r="DE178" s="19">
        <v>0</v>
      </c>
      <c r="DF178" s="19">
        <v>0</v>
      </c>
      <c r="DG178" s="19">
        <v>0</v>
      </c>
    </row>
    <row r="179" spans="2:111" x14ac:dyDescent="0.15">
      <c r="B179" s="19" t="str">
        <f t="shared" si="2"/>
        <v>10_男_24</v>
      </c>
      <c r="C179" s="18">
        <v>10</v>
      </c>
      <c r="D179" s="18" t="s">
        <v>9</v>
      </c>
      <c r="E179" s="18">
        <v>24</v>
      </c>
      <c r="F179" s="19">
        <v>1545.4</v>
      </c>
      <c r="G179" s="19">
        <v>3592.9</v>
      </c>
      <c r="H179" s="19">
        <v>6049.8</v>
      </c>
      <c r="I179" s="19">
        <v>8813.2000000000007</v>
      </c>
      <c r="J179" s="19">
        <v>10819.5</v>
      </c>
      <c r="K179" s="19">
        <v>12961.4</v>
      </c>
      <c r="L179" s="19">
        <v>15246.4</v>
      </c>
      <c r="M179" s="19">
        <v>17682.7</v>
      </c>
      <c r="N179" s="19">
        <v>20278.8</v>
      </c>
      <c r="O179" s="19">
        <v>23043.7</v>
      </c>
      <c r="P179" s="19">
        <v>23181.8</v>
      </c>
      <c r="Q179" s="19">
        <v>23325.8</v>
      </c>
      <c r="R179" s="19">
        <v>23476</v>
      </c>
      <c r="S179" s="19">
        <v>23632.400000000001</v>
      </c>
      <c r="T179" s="19">
        <v>23795.5</v>
      </c>
      <c r="U179" s="19">
        <v>23965.200000000001</v>
      </c>
      <c r="V179" s="19">
        <v>24142</v>
      </c>
      <c r="W179" s="19">
        <v>24326.1</v>
      </c>
      <c r="X179" s="19">
        <v>24517.599999999999</v>
      </c>
      <c r="Y179" s="19">
        <v>24716.799999999999</v>
      </c>
      <c r="Z179" s="19">
        <v>24924.1</v>
      </c>
      <c r="AA179" s="19">
        <v>25139.599999999999</v>
      </c>
      <c r="AB179" s="19">
        <v>25363.7</v>
      </c>
      <c r="AC179" s="19">
        <v>25596.7</v>
      </c>
      <c r="AD179" s="19">
        <v>25838.9</v>
      </c>
      <c r="AE179" s="19">
        <v>26090.799999999999</v>
      </c>
      <c r="AF179" s="19">
        <v>26352.6</v>
      </c>
      <c r="AG179" s="19">
        <v>26624.799999999999</v>
      </c>
      <c r="AH179" s="19">
        <v>26907.8</v>
      </c>
      <c r="AI179" s="19">
        <v>27202.2</v>
      </c>
      <c r="AJ179" s="19">
        <v>27508.400000000001</v>
      </c>
      <c r="AK179" s="19">
        <v>27827</v>
      </c>
      <c r="AL179" s="19">
        <v>28158.6</v>
      </c>
      <c r="AM179" s="19">
        <v>28503.9</v>
      </c>
      <c r="AN179" s="19">
        <v>28863.4</v>
      </c>
      <c r="AO179" s="19">
        <v>28238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19">
        <v>0</v>
      </c>
      <c r="CL179" s="19">
        <v>0</v>
      </c>
      <c r="CM179" s="19">
        <v>0</v>
      </c>
      <c r="CN179" s="19">
        <v>0</v>
      </c>
      <c r="CO179" s="19">
        <v>0</v>
      </c>
      <c r="CP179" s="19">
        <v>0</v>
      </c>
      <c r="CQ179" s="19">
        <v>0</v>
      </c>
      <c r="CR179" s="19">
        <v>0</v>
      </c>
      <c r="CS179" s="19">
        <v>0</v>
      </c>
      <c r="CT179" s="19">
        <v>0</v>
      </c>
      <c r="CU179" s="19">
        <v>0</v>
      </c>
      <c r="CV179" s="19">
        <v>0</v>
      </c>
      <c r="CW179" s="19">
        <v>0</v>
      </c>
      <c r="CX179" s="19">
        <v>0</v>
      </c>
      <c r="CY179" s="19">
        <v>0</v>
      </c>
      <c r="CZ179" s="19">
        <v>0</v>
      </c>
      <c r="DA179" s="19">
        <v>0</v>
      </c>
      <c r="DB179" s="19">
        <v>0</v>
      </c>
      <c r="DC179" s="19">
        <v>0</v>
      </c>
      <c r="DD179" s="19">
        <v>0</v>
      </c>
      <c r="DE179" s="19">
        <v>0</v>
      </c>
      <c r="DF179" s="19">
        <v>0</v>
      </c>
      <c r="DG179" s="19">
        <v>0</v>
      </c>
    </row>
    <row r="180" spans="2:111" x14ac:dyDescent="0.15">
      <c r="B180" s="19" t="str">
        <f t="shared" si="2"/>
        <v>10_男_25</v>
      </c>
      <c r="C180" s="18">
        <v>10</v>
      </c>
      <c r="D180" s="18" t="s">
        <v>9</v>
      </c>
      <c r="E180" s="18">
        <v>25</v>
      </c>
      <c r="F180" s="19">
        <v>1552.8</v>
      </c>
      <c r="G180" s="19">
        <v>3610</v>
      </c>
      <c r="H180" s="19">
        <v>6078.6</v>
      </c>
      <c r="I180" s="19">
        <v>8855</v>
      </c>
      <c r="J180" s="19">
        <v>10875.3</v>
      </c>
      <c r="K180" s="19">
        <v>13032</v>
      </c>
      <c r="L180" s="19">
        <v>15332.8</v>
      </c>
      <c r="M180" s="19">
        <v>17785.7</v>
      </c>
      <c r="N180" s="19">
        <v>20399.400000000001</v>
      </c>
      <c r="O180" s="19">
        <v>23182.9</v>
      </c>
      <c r="P180" s="19">
        <v>23327</v>
      </c>
      <c r="Q180" s="19">
        <v>23477.1</v>
      </c>
      <c r="R180" s="19">
        <v>23633.599999999999</v>
      </c>
      <c r="S180" s="19">
        <v>23796.7</v>
      </c>
      <c r="T180" s="19">
        <v>23966.5</v>
      </c>
      <c r="U180" s="19">
        <v>24143.3</v>
      </c>
      <c r="V180" s="19">
        <v>24327.3</v>
      </c>
      <c r="W180" s="19">
        <v>24518.9</v>
      </c>
      <c r="X180" s="19">
        <v>24718.1</v>
      </c>
      <c r="Y180" s="19">
        <v>24925.3</v>
      </c>
      <c r="Z180" s="19">
        <v>25140.9</v>
      </c>
      <c r="AA180" s="19">
        <v>25365</v>
      </c>
      <c r="AB180" s="19">
        <v>25597.9</v>
      </c>
      <c r="AC180" s="19">
        <v>25840.2</v>
      </c>
      <c r="AD180" s="19">
        <v>26092</v>
      </c>
      <c r="AE180" s="19">
        <v>26353.7</v>
      </c>
      <c r="AF180" s="19">
        <v>26625.9</v>
      </c>
      <c r="AG180" s="19">
        <v>26908.799999999999</v>
      </c>
      <c r="AH180" s="19">
        <v>27203.1</v>
      </c>
      <c r="AI180" s="19">
        <v>27509.200000000001</v>
      </c>
      <c r="AJ180" s="19">
        <v>27827.7</v>
      </c>
      <c r="AK180" s="19">
        <v>28159.200000000001</v>
      </c>
      <c r="AL180" s="19">
        <v>28504.3</v>
      </c>
      <c r="AM180" s="19">
        <v>28863.599999999999</v>
      </c>
      <c r="AN180" s="19">
        <v>28238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0</v>
      </c>
      <c r="CO180" s="19">
        <v>0</v>
      </c>
      <c r="CP180" s="19">
        <v>0</v>
      </c>
      <c r="CQ180" s="19">
        <v>0</v>
      </c>
      <c r="CR180" s="19">
        <v>0</v>
      </c>
      <c r="CS180" s="19">
        <v>0</v>
      </c>
      <c r="CT180" s="19">
        <v>0</v>
      </c>
      <c r="CU180" s="19">
        <v>0</v>
      </c>
      <c r="CV180" s="19">
        <v>0</v>
      </c>
      <c r="CW180" s="19">
        <v>0</v>
      </c>
      <c r="CX180" s="19">
        <v>0</v>
      </c>
      <c r="CY180" s="19">
        <v>0</v>
      </c>
      <c r="CZ180" s="19">
        <v>0</v>
      </c>
      <c r="DA180" s="19">
        <v>0</v>
      </c>
      <c r="DB180" s="19">
        <v>0</v>
      </c>
      <c r="DC180" s="19">
        <v>0</v>
      </c>
      <c r="DD180" s="19">
        <v>0</v>
      </c>
      <c r="DE180" s="19">
        <v>0</v>
      </c>
      <c r="DF180" s="19">
        <v>0</v>
      </c>
      <c r="DG180" s="19">
        <v>0</v>
      </c>
    </row>
    <row r="181" spans="2:111" x14ac:dyDescent="0.15">
      <c r="B181" s="19" t="str">
        <f t="shared" si="2"/>
        <v>10_男_26</v>
      </c>
      <c r="C181" s="18">
        <v>10</v>
      </c>
      <c r="D181" s="18" t="s">
        <v>9</v>
      </c>
      <c r="E181" s="18">
        <v>26</v>
      </c>
      <c r="F181" s="19">
        <v>1560.5</v>
      </c>
      <c r="G181" s="19">
        <v>3627.9</v>
      </c>
      <c r="H181" s="19">
        <v>6108.6</v>
      </c>
      <c r="I181" s="19">
        <v>8898.7999999999993</v>
      </c>
      <c r="J181" s="19">
        <v>10933.6</v>
      </c>
      <c r="K181" s="19">
        <v>13105.8</v>
      </c>
      <c r="L181" s="19">
        <v>15422.9</v>
      </c>
      <c r="M181" s="19">
        <v>17893.2</v>
      </c>
      <c r="N181" s="19">
        <v>20525.3</v>
      </c>
      <c r="O181" s="19">
        <v>23328.2</v>
      </c>
      <c r="P181" s="19">
        <v>23478.400000000001</v>
      </c>
      <c r="Q181" s="19">
        <v>23634.9</v>
      </c>
      <c r="R181" s="19">
        <v>23797.9</v>
      </c>
      <c r="S181" s="19">
        <v>23967.8</v>
      </c>
      <c r="T181" s="19">
        <v>24144.6</v>
      </c>
      <c r="U181" s="19">
        <v>24328.6</v>
      </c>
      <c r="V181" s="19">
        <v>24520.2</v>
      </c>
      <c r="W181" s="19">
        <v>24719.4</v>
      </c>
      <c r="X181" s="19">
        <v>24926.7</v>
      </c>
      <c r="Y181" s="19">
        <v>25142.2</v>
      </c>
      <c r="Z181" s="19">
        <v>25366.3</v>
      </c>
      <c r="AA181" s="19">
        <v>25599.200000000001</v>
      </c>
      <c r="AB181" s="19">
        <v>25841.4</v>
      </c>
      <c r="AC181" s="19">
        <v>26093.200000000001</v>
      </c>
      <c r="AD181" s="19">
        <v>26354.9</v>
      </c>
      <c r="AE181" s="19">
        <v>26627</v>
      </c>
      <c r="AF181" s="19">
        <v>26909.9</v>
      </c>
      <c r="AG181" s="19">
        <v>27204.1</v>
      </c>
      <c r="AH181" s="19">
        <v>27510</v>
      </c>
      <c r="AI181" s="19">
        <v>27828.400000000001</v>
      </c>
      <c r="AJ181" s="19">
        <v>28159.7</v>
      </c>
      <c r="AK181" s="19">
        <v>28504.7</v>
      </c>
      <c r="AL181" s="19">
        <v>28863.8</v>
      </c>
      <c r="AM181" s="19">
        <v>28238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19">
        <v>0</v>
      </c>
      <c r="CL181" s="19">
        <v>0</v>
      </c>
      <c r="CM181" s="19">
        <v>0</v>
      </c>
      <c r="CN181" s="19">
        <v>0</v>
      </c>
      <c r="CO181" s="19">
        <v>0</v>
      </c>
      <c r="CP181" s="19">
        <v>0</v>
      </c>
      <c r="CQ181" s="19">
        <v>0</v>
      </c>
      <c r="CR181" s="19">
        <v>0</v>
      </c>
      <c r="CS181" s="19">
        <v>0</v>
      </c>
      <c r="CT181" s="19">
        <v>0</v>
      </c>
      <c r="CU181" s="19">
        <v>0</v>
      </c>
      <c r="CV181" s="19">
        <v>0</v>
      </c>
      <c r="CW181" s="19">
        <v>0</v>
      </c>
      <c r="CX181" s="19">
        <v>0</v>
      </c>
      <c r="CY181" s="19">
        <v>0</v>
      </c>
      <c r="CZ181" s="19">
        <v>0</v>
      </c>
      <c r="DA181" s="19">
        <v>0</v>
      </c>
      <c r="DB181" s="19">
        <v>0</v>
      </c>
      <c r="DC181" s="19">
        <v>0</v>
      </c>
      <c r="DD181" s="19">
        <v>0</v>
      </c>
      <c r="DE181" s="19">
        <v>0</v>
      </c>
      <c r="DF181" s="19">
        <v>0</v>
      </c>
      <c r="DG181" s="19">
        <v>0</v>
      </c>
    </row>
    <row r="182" spans="2:111" x14ac:dyDescent="0.15">
      <c r="B182" s="19" t="str">
        <f t="shared" si="2"/>
        <v>10_男_27</v>
      </c>
      <c r="C182" s="18">
        <v>10</v>
      </c>
      <c r="D182" s="18" t="s">
        <v>9</v>
      </c>
      <c r="E182" s="18">
        <v>27</v>
      </c>
      <c r="F182" s="19">
        <v>1568.6</v>
      </c>
      <c r="G182" s="19">
        <v>3646.6</v>
      </c>
      <c r="H182" s="19">
        <v>6140</v>
      </c>
      <c r="I182" s="19">
        <v>8944.4</v>
      </c>
      <c r="J182" s="19">
        <v>10994.5</v>
      </c>
      <c r="K182" s="19">
        <v>13182.7</v>
      </c>
      <c r="L182" s="19">
        <v>15516.9</v>
      </c>
      <c r="M182" s="19">
        <v>18005.3</v>
      </c>
      <c r="N182" s="19">
        <v>20656.5</v>
      </c>
      <c r="O182" s="19">
        <v>23479.599999999999</v>
      </c>
      <c r="P182" s="19">
        <v>23636.1</v>
      </c>
      <c r="Q182" s="19">
        <v>23799.200000000001</v>
      </c>
      <c r="R182" s="19">
        <v>23969.1</v>
      </c>
      <c r="S182" s="19">
        <v>24145.9</v>
      </c>
      <c r="T182" s="19">
        <v>24330</v>
      </c>
      <c r="U182" s="19">
        <v>24521.5</v>
      </c>
      <c r="V182" s="19">
        <v>24720.799999999999</v>
      </c>
      <c r="W182" s="19">
        <v>24928</v>
      </c>
      <c r="X182" s="19">
        <v>25143.5</v>
      </c>
      <c r="Y182" s="19">
        <v>25367.599999999999</v>
      </c>
      <c r="Z182" s="19">
        <v>25600.5</v>
      </c>
      <c r="AA182" s="19">
        <v>25842.7</v>
      </c>
      <c r="AB182" s="19">
        <v>26094.400000000001</v>
      </c>
      <c r="AC182" s="19">
        <v>26356.1</v>
      </c>
      <c r="AD182" s="19">
        <v>26628.1</v>
      </c>
      <c r="AE182" s="19">
        <v>26910.9</v>
      </c>
      <c r="AF182" s="19">
        <v>27205</v>
      </c>
      <c r="AG182" s="19">
        <v>27510.9</v>
      </c>
      <c r="AH182" s="19">
        <v>27829.200000000001</v>
      </c>
      <c r="AI182" s="19">
        <v>28160.3</v>
      </c>
      <c r="AJ182" s="19">
        <v>28505.1</v>
      </c>
      <c r="AK182" s="19">
        <v>28864.1</v>
      </c>
      <c r="AL182" s="19">
        <v>28238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  <c r="BT182" s="19">
        <v>0</v>
      </c>
      <c r="BU182" s="19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0</v>
      </c>
      <c r="CD182" s="19">
        <v>0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19">
        <v>0</v>
      </c>
      <c r="CL182" s="19">
        <v>0</v>
      </c>
      <c r="CM182" s="19">
        <v>0</v>
      </c>
      <c r="CN182" s="19">
        <v>0</v>
      </c>
      <c r="CO182" s="19">
        <v>0</v>
      </c>
      <c r="CP182" s="19">
        <v>0</v>
      </c>
      <c r="CQ182" s="19">
        <v>0</v>
      </c>
      <c r="CR182" s="19">
        <v>0</v>
      </c>
      <c r="CS182" s="19">
        <v>0</v>
      </c>
      <c r="CT182" s="19">
        <v>0</v>
      </c>
      <c r="CU182" s="19">
        <v>0</v>
      </c>
      <c r="CV182" s="19">
        <v>0</v>
      </c>
      <c r="CW182" s="19">
        <v>0</v>
      </c>
      <c r="CX182" s="19">
        <v>0</v>
      </c>
      <c r="CY182" s="19">
        <v>0</v>
      </c>
      <c r="CZ182" s="19">
        <v>0</v>
      </c>
      <c r="DA182" s="19">
        <v>0</v>
      </c>
      <c r="DB182" s="19">
        <v>0</v>
      </c>
      <c r="DC182" s="19">
        <v>0</v>
      </c>
      <c r="DD182" s="19">
        <v>0</v>
      </c>
      <c r="DE182" s="19">
        <v>0</v>
      </c>
      <c r="DF182" s="19">
        <v>0</v>
      </c>
      <c r="DG182" s="19">
        <v>0</v>
      </c>
    </row>
    <row r="183" spans="2:111" x14ac:dyDescent="0.15">
      <c r="B183" s="19" t="str">
        <f t="shared" si="2"/>
        <v>10_男_28</v>
      </c>
      <c r="C183" s="18">
        <v>10</v>
      </c>
      <c r="D183" s="18" t="s">
        <v>9</v>
      </c>
      <c r="E183" s="18">
        <v>28</v>
      </c>
      <c r="F183" s="19">
        <v>1577</v>
      </c>
      <c r="G183" s="19">
        <v>3666.1</v>
      </c>
      <c r="H183" s="19">
        <v>6172.8</v>
      </c>
      <c r="I183" s="19">
        <v>8992.1</v>
      </c>
      <c r="J183" s="19">
        <v>11057.9</v>
      </c>
      <c r="K183" s="19">
        <v>13263</v>
      </c>
      <c r="L183" s="19">
        <v>15615</v>
      </c>
      <c r="M183" s="19">
        <v>18122.2</v>
      </c>
      <c r="N183" s="19">
        <v>20793.3</v>
      </c>
      <c r="O183" s="19">
        <v>23637.4</v>
      </c>
      <c r="P183" s="19">
        <v>23800.6</v>
      </c>
      <c r="Q183" s="19">
        <v>23970.400000000001</v>
      </c>
      <c r="R183" s="19">
        <v>24147.3</v>
      </c>
      <c r="S183" s="19">
        <v>24331.4</v>
      </c>
      <c r="T183" s="19">
        <v>24522.9</v>
      </c>
      <c r="U183" s="19">
        <v>24722.2</v>
      </c>
      <c r="V183" s="19">
        <v>24929.4</v>
      </c>
      <c r="W183" s="19">
        <v>25144.9</v>
      </c>
      <c r="X183" s="19">
        <v>25369</v>
      </c>
      <c r="Y183" s="19">
        <v>25601.9</v>
      </c>
      <c r="Z183" s="19">
        <v>25844</v>
      </c>
      <c r="AA183" s="19">
        <v>26095.7</v>
      </c>
      <c r="AB183" s="19">
        <v>26357.3</v>
      </c>
      <c r="AC183" s="19">
        <v>26629.3</v>
      </c>
      <c r="AD183" s="19">
        <v>26912</v>
      </c>
      <c r="AE183" s="19">
        <v>27206</v>
      </c>
      <c r="AF183" s="19">
        <v>27511.8</v>
      </c>
      <c r="AG183" s="19">
        <v>27829.9</v>
      </c>
      <c r="AH183" s="19">
        <v>28160.9</v>
      </c>
      <c r="AI183" s="19">
        <v>28505.5</v>
      </c>
      <c r="AJ183" s="19">
        <v>28864.3</v>
      </c>
      <c r="AK183" s="19">
        <v>28238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0</v>
      </c>
      <c r="CD183" s="19">
        <v>0</v>
      </c>
      <c r="CE183" s="19">
        <v>0</v>
      </c>
      <c r="CF183" s="19">
        <v>0</v>
      </c>
      <c r="CG183" s="19">
        <v>0</v>
      </c>
      <c r="CH183" s="19">
        <v>0</v>
      </c>
      <c r="CI183" s="19">
        <v>0</v>
      </c>
      <c r="CJ183" s="19">
        <v>0</v>
      </c>
      <c r="CK183" s="19">
        <v>0</v>
      </c>
      <c r="CL183" s="19">
        <v>0</v>
      </c>
      <c r="CM183" s="19">
        <v>0</v>
      </c>
      <c r="CN183" s="19">
        <v>0</v>
      </c>
      <c r="CO183" s="19">
        <v>0</v>
      </c>
      <c r="CP183" s="19">
        <v>0</v>
      </c>
      <c r="CQ183" s="19">
        <v>0</v>
      </c>
      <c r="CR183" s="19">
        <v>0</v>
      </c>
      <c r="CS183" s="19">
        <v>0</v>
      </c>
      <c r="CT183" s="19">
        <v>0</v>
      </c>
      <c r="CU183" s="19">
        <v>0</v>
      </c>
      <c r="CV183" s="19">
        <v>0</v>
      </c>
      <c r="CW183" s="19">
        <v>0</v>
      </c>
      <c r="CX183" s="19">
        <v>0</v>
      </c>
      <c r="CY183" s="19">
        <v>0</v>
      </c>
      <c r="CZ183" s="19">
        <v>0</v>
      </c>
      <c r="DA183" s="19">
        <v>0</v>
      </c>
      <c r="DB183" s="19">
        <v>0</v>
      </c>
      <c r="DC183" s="19">
        <v>0</v>
      </c>
      <c r="DD183" s="19">
        <v>0</v>
      </c>
      <c r="DE183" s="19">
        <v>0</v>
      </c>
      <c r="DF183" s="19">
        <v>0</v>
      </c>
      <c r="DG183" s="19">
        <v>0</v>
      </c>
    </row>
    <row r="184" spans="2:111" x14ac:dyDescent="0.15">
      <c r="B184" s="19" t="str">
        <f t="shared" si="2"/>
        <v>10_男_29</v>
      </c>
      <c r="C184" s="18">
        <v>10</v>
      </c>
      <c r="D184" s="18" t="s">
        <v>9</v>
      </c>
      <c r="E184" s="18">
        <v>29</v>
      </c>
      <c r="F184" s="19">
        <v>1585.7</v>
      </c>
      <c r="G184" s="19">
        <v>3686.5</v>
      </c>
      <c r="H184" s="19">
        <v>6207</v>
      </c>
      <c r="I184" s="19">
        <v>9041.7000000000007</v>
      </c>
      <c r="J184" s="19">
        <v>11124.1</v>
      </c>
      <c r="K184" s="19">
        <v>13346.7</v>
      </c>
      <c r="L184" s="19">
        <v>15717.3</v>
      </c>
      <c r="M184" s="19">
        <v>18244.099999999999</v>
      </c>
      <c r="N184" s="19">
        <v>20935.900000000001</v>
      </c>
      <c r="O184" s="19">
        <v>23801.9</v>
      </c>
      <c r="P184" s="19">
        <v>23971.8</v>
      </c>
      <c r="Q184" s="19">
        <v>24148.7</v>
      </c>
      <c r="R184" s="19">
        <v>24332.799999999999</v>
      </c>
      <c r="S184" s="19">
        <v>24524.3</v>
      </c>
      <c r="T184" s="19">
        <v>24723.599999999999</v>
      </c>
      <c r="U184" s="19">
        <v>24930.799999999999</v>
      </c>
      <c r="V184" s="19">
        <v>25146.3</v>
      </c>
      <c r="W184" s="19">
        <v>25370.400000000001</v>
      </c>
      <c r="X184" s="19">
        <v>25603.3</v>
      </c>
      <c r="Y184" s="19">
        <v>25845.4</v>
      </c>
      <c r="Z184" s="19">
        <v>26097</v>
      </c>
      <c r="AA184" s="19">
        <v>26358.5</v>
      </c>
      <c r="AB184" s="19">
        <v>26630.400000000001</v>
      </c>
      <c r="AC184" s="19">
        <v>26913.1</v>
      </c>
      <c r="AD184" s="19">
        <v>27207</v>
      </c>
      <c r="AE184" s="19">
        <v>27512.7</v>
      </c>
      <c r="AF184" s="19">
        <v>27830.7</v>
      </c>
      <c r="AG184" s="19">
        <v>28161.5</v>
      </c>
      <c r="AH184" s="19">
        <v>28505.9</v>
      </c>
      <c r="AI184" s="19">
        <v>28864.5</v>
      </c>
      <c r="AJ184" s="19">
        <v>28238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0</v>
      </c>
      <c r="CD184" s="19">
        <v>0</v>
      </c>
      <c r="CE184" s="19">
        <v>0</v>
      </c>
      <c r="CF184" s="19">
        <v>0</v>
      </c>
      <c r="CG184" s="19">
        <v>0</v>
      </c>
      <c r="CH184" s="19">
        <v>0</v>
      </c>
      <c r="CI184" s="19">
        <v>0</v>
      </c>
      <c r="CJ184" s="19">
        <v>0</v>
      </c>
      <c r="CK184" s="19">
        <v>0</v>
      </c>
      <c r="CL184" s="19">
        <v>0</v>
      </c>
      <c r="CM184" s="19">
        <v>0</v>
      </c>
      <c r="CN184" s="19">
        <v>0</v>
      </c>
      <c r="CO184" s="19">
        <v>0</v>
      </c>
      <c r="CP184" s="19">
        <v>0</v>
      </c>
      <c r="CQ184" s="19">
        <v>0</v>
      </c>
      <c r="CR184" s="19">
        <v>0</v>
      </c>
      <c r="CS184" s="19">
        <v>0</v>
      </c>
      <c r="CT184" s="19">
        <v>0</v>
      </c>
      <c r="CU184" s="19">
        <v>0</v>
      </c>
      <c r="CV184" s="19">
        <v>0</v>
      </c>
      <c r="CW184" s="19">
        <v>0</v>
      </c>
      <c r="CX184" s="19">
        <v>0</v>
      </c>
      <c r="CY184" s="19">
        <v>0</v>
      </c>
      <c r="CZ184" s="19">
        <v>0</v>
      </c>
      <c r="DA184" s="19">
        <v>0</v>
      </c>
      <c r="DB184" s="19">
        <v>0</v>
      </c>
      <c r="DC184" s="19">
        <v>0</v>
      </c>
      <c r="DD184" s="19">
        <v>0</v>
      </c>
      <c r="DE184" s="19">
        <v>0</v>
      </c>
      <c r="DF184" s="19">
        <v>0</v>
      </c>
      <c r="DG184" s="19">
        <v>0</v>
      </c>
    </row>
    <row r="185" spans="2:111" x14ac:dyDescent="0.15">
      <c r="B185" s="19" t="str">
        <f t="shared" si="2"/>
        <v>10_男_30</v>
      </c>
      <c r="C185" s="18">
        <v>10</v>
      </c>
      <c r="D185" s="18" t="s">
        <v>9</v>
      </c>
      <c r="E185" s="18">
        <v>30</v>
      </c>
      <c r="F185" s="19">
        <v>1594.9</v>
      </c>
      <c r="G185" s="19">
        <v>3707.7</v>
      </c>
      <c r="H185" s="19">
        <v>6242.6</v>
      </c>
      <c r="I185" s="19">
        <v>9093.5</v>
      </c>
      <c r="J185" s="19">
        <v>11193.1</v>
      </c>
      <c r="K185" s="19">
        <v>13433.9</v>
      </c>
      <c r="L185" s="19">
        <v>15823.8</v>
      </c>
      <c r="M185" s="19">
        <v>18371.099999999999</v>
      </c>
      <c r="N185" s="19">
        <v>21084.5</v>
      </c>
      <c r="O185" s="19">
        <v>23973.200000000001</v>
      </c>
      <c r="P185" s="19">
        <v>24150.1</v>
      </c>
      <c r="Q185" s="19">
        <v>24334.2</v>
      </c>
      <c r="R185" s="19">
        <v>24525.8</v>
      </c>
      <c r="S185" s="19">
        <v>24725</v>
      </c>
      <c r="T185" s="19">
        <v>24932.3</v>
      </c>
      <c r="U185" s="19">
        <v>25147.8</v>
      </c>
      <c r="V185" s="19">
        <v>25371.8</v>
      </c>
      <c r="W185" s="19">
        <v>25604.7</v>
      </c>
      <c r="X185" s="19">
        <v>25846.7</v>
      </c>
      <c r="Y185" s="19">
        <v>26098.3</v>
      </c>
      <c r="Z185" s="19">
        <v>26359.8</v>
      </c>
      <c r="AA185" s="19">
        <v>26631.7</v>
      </c>
      <c r="AB185" s="19">
        <v>26914.2</v>
      </c>
      <c r="AC185" s="19">
        <v>27208</v>
      </c>
      <c r="AD185" s="19">
        <v>27513.599999999999</v>
      </c>
      <c r="AE185" s="19">
        <v>27831.4</v>
      </c>
      <c r="AF185" s="19">
        <v>28162.2</v>
      </c>
      <c r="AG185" s="19">
        <v>28506.400000000001</v>
      </c>
      <c r="AH185" s="19">
        <v>28864.7</v>
      </c>
      <c r="AI185" s="19">
        <v>28238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19">
        <v>0</v>
      </c>
      <c r="CL185" s="19">
        <v>0</v>
      </c>
      <c r="CM185" s="19">
        <v>0</v>
      </c>
      <c r="CN185" s="19">
        <v>0</v>
      </c>
      <c r="CO185" s="19">
        <v>0</v>
      </c>
      <c r="CP185" s="19">
        <v>0</v>
      </c>
      <c r="CQ185" s="19">
        <v>0</v>
      </c>
      <c r="CR185" s="19">
        <v>0</v>
      </c>
      <c r="CS185" s="19">
        <v>0</v>
      </c>
      <c r="CT185" s="19">
        <v>0</v>
      </c>
      <c r="CU185" s="19">
        <v>0</v>
      </c>
      <c r="CV185" s="19">
        <v>0</v>
      </c>
      <c r="CW185" s="19">
        <v>0</v>
      </c>
      <c r="CX185" s="19">
        <v>0</v>
      </c>
      <c r="CY185" s="19">
        <v>0</v>
      </c>
      <c r="CZ185" s="19">
        <v>0</v>
      </c>
      <c r="DA185" s="19">
        <v>0</v>
      </c>
      <c r="DB185" s="19">
        <v>0</v>
      </c>
      <c r="DC185" s="19">
        <v>0</v>
      </c>
      <c r="DD185" s="19">
        <v>0</v>
      </c>
      <c r="DE185" s="19">
        <v>0</v>
      </c>
      <c r="DF185" s="19">
        <v>0</v>
      </c>
      <c r="DG185" s="19">
        <v>0</v>
      </c>
    </row>
    <row r="186" spans="2:111" x14ac:dyDescent="0.15">
      <c r="B186" s="19" t="str">
        <f t="shared" si="2"/>
        <v>10_男_31</v>
      </c>
      <c r="C186" s="18">
        <v>10</v>
      </c>
      <c r="D186" s="18" t="s">
        <v>9</v>
      </c>
      <c r="E186" s="18">
        <v>31</v>
      </c>
      <c r="F186" s="19">
        <v>1604.4</v>
      </c>
      <c r="G186" s="19">
        <v>3729.8</v>
      </c>
      <c r="H186" s="19">
        <v>6279.7</v>
      </c>
      <c r="I186" s="19">
        <v>9147.5</v>
      </c>
      <c r="J186" s="19">
        <v>11265</v>
      </c>
      <c r="K186" s="19">
        <v>13524.8</v>
      </c>
      <c r="L186" s="19">
        <v>15934.8</v>
      </c>
      <c r="M186" s="19">
        <v>18503.3</v>
      </c>
      <c r="N186" s="19">
        <v>21239.1</v>
      </c>
      <c r="O186" s="19">
        <v>24151.599999999999</v>
      </c>
      <c r="P186" s="19">
        <v>24335.7</v>
      </c>
      <c r="Q186" s="19">
        <v>24527.3</v>
      </c>
      <c r="R186" s="19">
        <v>24726.5</v>
      </c>
      <c r="S186" s="19">
        <v>24933.8</v>
      </c>
      <c r="T186" s="19">
        <v>25149.200000000001</v>
      </c>
      <c r="U186" s="19">
        <v>25373.3</v>
      </c>
      <c r="V186" s="19">
        <v>25606.1</v>
      </c>
      <c r="W186" s="19">
        <v>25848.1</v>
      </c>
      <c r="X186" s="19">
        <v>26099.7</v>
      </c>
      <c r="Y186" s="19">
        <v>26361.1</v>
      </c>
      <c r="Z186" s="19">
        <v>26632.9</v>
      </c>
      <c r="AA186" s="19">
        <v>26915.4</v>
      </c>
      <c r="AB186" s="19">
        <v>27209.1</v>
      </c>
      <c r="AC186" s="19">
        <v>27514.5</v>
      </c>
      <c r="AD186" s="19">
        <v>27832.3</v>
      </c>
      <c r="AE186" s="19">
        <v>28162.799999999999</v>
      </c>
      <c r="AF186" s="19">
        <v>28506.799999999999</v>
      </c>
      <c r="AG186" s="19">
        <v>28865</v>
      </c>
      <c r="AH186" s="19">
        <v>28238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0</v>
      </c>
      <c r="CN186" s="19">
        <v>0</v>
      </c>
      <c r="CO186" s="19">
        <v>0</v>
      </c>
      <c r="CP186" s="19">
        <v>0</v>
      </c>
      <c r="CQ186" s="19">
        <v>0</v>
      </c>
      <c r="CR186" s="19">
        <v>0</v>
      </c>
      <c r="CS186" s="19">
        <v>0</v>
      </c>
      <c r="CT186" s="19">
        <v>0</v>
      </c>
      <c r="CU186" s="19">
        <v>0</v>
      </c>
      <c r="CV186" s="19">
        <v>0</v>
      </c>
      <c r="CW186" s="19">
        <v>0</v>
      </c>
      <c r="CX186" s="19">
        <v>0</v>
      </c>
      <c r="CY186" s="19">
        <v>0</v>
      </c>
      <c r="CZ186" s="19">
        <v>0</v>
      </c>
      <c r="DA186" s="19">
        <v>0</v>
      </c>
      <c r="DB186" s="19">
        <v>0</v>
      </c>
      <c r="DC186" s="19">
        <v>0</v>
      </c>
      <c r="DD186" s="19">
        <v>0</v>
      </c>
      <c r="DE186" s="19">
        <v>0</v>
      </c>
      <c r="DF186" s="19">
        <v>0</v>
      </c>
      <c r="DG186" s="19">
        <v>0</v>
      </c>
    </row>
    <row r="187" spans="2:111" x14ac:dyDescent="0.15">
      <c r="B187" s="19" t="str">
        <f t="shared" si="2"/>
        <v>10_男_32</v>
      </c>
      <c r="C187" s="18">
        <v>10</v>
      </c>
      <c r="D187" s="18" t="s">
        <v>9</v>
      </c>
      <c r="E187" s="18">
        <v>32</v>
      </c>
      <c r="F187" s="19">
        <v>1614.4</v>
      </c>
      <c r="G187" s="19">
        <v>3752.8</v>
      </c>
      <c r="H187" s="19">
        <v>6318.4</v>
      </c>
      <c r="I187" s="19">
        <v>9203.7000000000007</v>
      </c>
      <c r="J187" s="19">
        <v>11339.9</v>
      </c>
      <c r="K187" s="19">
        <v>13619.4</v>
      </c>
      <c r="L187" s="19">
        <v>16050.4</v>
      </c>
      <c r="M187" s="19">
        <v>18641</v>
      </c>
      <c r="N187" s="19">
        <v>21400.2</v>
      </c>
      <c r="O187" s="19">
        <v>24337.200000000001</v>
      </c>
      <c r="P187" s="19">
        <v>24528.799999999999</v>
      </c>
      <c r="Q187" s="19">
        <v>24728.1</v>
      </c>
      <c r="R187" s="19">
        <v>24935.3</v>
      </c>
      <c r="S187" s="19">
        <v>25150.799999999999</v>
      </c>
      <c r="T187" s="19">
        <v>25374.799999999999</v>
      </c>
      <c r="U187" s="19">
        <v>25607.599999999999</v>
      </c>
      <c r="V187" s="19">
        <v>25849.599999999999</v>
      </c>
      <c r="W187" s="19">
        <v>26101.1</v>
      </c>
      <c r="X187" s="19">
        <v>26362.5</v>
      </c>
      <c r="Y187" s="19">
        <v>26634.2</v>
      </c>
      <c r="Z187" s="19">
        <v>26916.6</v>
      </c>
      <c r="AA187" s="19">
        <v>27210.2</v>
      </c>
      <c r="AB187" s="19">
        <v>27515.5</v>
      </c>
      <c r="AC187" s="19">
        <v>27833.1</v>
      </c>
      <c r="AD187" s="19">
        <v>28163.5</v>
      </c>
      <c r="AE187" s="19">
        <v>28507.3</v>
      </c>
      <c r="AF187" s="19">
        <v>28865.200000000001</v>
      </c>
      <c r="AG187" s="19">
        <v>28238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19">
        <v>0</v>
      </c>
      <c r="CL187" s="19">
        <v>0</v>
      </c>
      <c r="CM187" s="19">
        <v>0</v>
      </c>
      <c r="CN187" s="19">
        <v>0</v>
      </c>
      <c r="CO187" s="19">
        <v>0</v>
      </c>
      <c r="CP187" s="19">
        <v>0</v>
      </c>
      <c r="CQ187" s="19">
        <v>0</v>
      </c>
      <c r="CR187" s="19">
        <v>0</v>
      </c>
      <c r="CS187" s="19">
        <v>0</v>
      </c>
      <c r="CT187" s="19">
        <v>0</v>
      </c>
      <c r="CU187" s="19">
        <v>0</v>
      </c>
      <c r="CV187" s="19">
        <v>0</v>
      </c>
      <c r="CW187" s="19">
        <v>0</v>
      </c>
      <c r="CX187" s="19">
        <v>0</v>
      </c>
      <c r="CY187" s="19">
        <v>0</v>
      </c>
      <c r="CZ187" s="19">
        <v>0</v>
      </c>
      <c r="DA187" s="19">
        <v>0</v>
      </c>
      <c r="DB187" s="19">
        <v>0</v>
      </c>
      <c r="DC187" s="19">
        <v>0</v>
      </c>
      <c r="DD187" s="19">
        <v>0</v>
      </c>
      <c r="DE187" s="19">
        <v>0</v>
      </c>
      <c r="DF187" s="19">
        <v>0</v>
      </c>
      <c r="DG187" s="19">
        <v>0</v>
      </c>
    </row>
    <row r="188" spans="2:111" x14ac:dyDescent="0.15">
      <c r="B188" s="19" t="str">
        <f t="shared" si="2"/>
        <v>10_男_33</v>
      </c>
      <c r="C188" s="18">
        <v>10</v>
      </c>
      <c r="D188" s="18" t="s">
        <v>9</v>
      </c>
      <c r="E188" s="18">
        <v>33</v>
      </c>
      <c r="F188" s="19">
        <v>1624.7</v>
      </c>
      <c r="G188" s="19">
        <v>3776.8</v>
      </c>
      <c r="H188" s="19">
        <v>6358.7</v>
      </c>
      <c r="I188" s="19">
        <v>9262.2999999999993</v>
      </c>
      <c r="J188" s="19">
        <v>11417.9</v>
      </c>
      <c r="K188" s="19">
        <v>13718</v>
      </c>
      <c r="L188" s="19">
        <v>16170.7</v>
      </c>
      <c r="M188" s="19">
        <v>18784.3</v>
      </c>
      <c r="N188" s="19">
        <v>21567.7</v>
      </c>
      <c r="O188" s="19">
        <v>24530.3</v>
      </c>
      <c r="P188" s="19">
        <v>24729.599999999999</v>
      </c>
      <c r="Q188" s="19">
        <v>24936.9</v>
      </c>
      <c r="R188" s="19">
        <v>25152.3</v>
      </c>
      <c r="S188" s="19">
        <v>25376.3</v>
      </c>
      <c r="T188" s="19">
        <v>25609.1</v>
      </c>
      <c r="U188" s="19">
        <v>25851.1</v>
      </c>
      <c r="V188" s="19">
        <v>26102.5</v>
      </c>
      <c r="W188" s="19">
        <v>26363.9</v>
      </c>
      <c r="X188" s="19">
        <v>26635.5</v>
      </c>
      <c r="Y188" s="19">
        <v>26917.8</v>
      </c>
      <c r="Z188" s="19">
        <v>27211.3</v>
      </c>
      <c r="AA188" s="19">
        <v>27516.5</v>
      </c>
      <c r="AB188" s="19">
        <v>27833.9</v>
      </c>
      <c r="AC188" s="19">
        <v>28164.1</v>
      </c>
      <c r="AD188" s="19">
        <v>28507.8</v>
      </c>
      <c r="AE188" s="19">
        <v>28865.5</v>
      </c>
      <c r="AF188" s="19">
        <v>28238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19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0</v>
      </c>
      <c r="CN188" s="19">
        <v>0</v>
      </c>
      <c r="CO188" s="19">
        <v>0</v>
      </c>
      <c r="CP188" s="19">
        <v>0</v>
      </c>
      <c r="CQ188" s="19">
        <v>0</v>
      </c>
      <c r="CR188" s="19">
        <v>0</v>
      </c>
      <c r="CS188" s="19">
        <v>0</v>
      </c>
      <c r="CT188" s="19">
        <v>0</v>
      </c>
      <c r="CU188" s="19">
        <v>0</v>
      </c>
      <c r="CV188" s="19">
        <v>0</v>
      </c>
      <c r="CW188" s="19">
        <v>0</v>
      </c>
      <c r="CX188" s="19">
        <v>0</v>
      </c>
      <c r="CY188" s="19">
        <v>0</v>
      </c>
      <c r="CZ188" s="19">
        <v>0</v>
      </c>
      <c r="DA188" s="19">
        <v>0</v>
      </c>
      <c r="DB188" s="19">
        <v>0</v>
      </c>
      <c r="DC188" s="19">
        <v>0</v>
      </c>
      <c r="DD188" s="19">
        <v>0</v>
      </c>
      <c r="DE188" s="19">
        <v>0</v>
      </c>
      <c r="DF188" s="19">
        <v>0</v>
      </c>
      <c r="DG188" s="19">
        <v>0</v>
      </c>
    </row>
    <row r="189" spans="2:111" x14ac:dyDescent="0.15">
      <c r="B189" s="19" t="str">
        <f t="shared" si="2"/>
        <v>10_男_34</v>
      </c>
      <c r="C189" s="18">
        <v>10</v>
      </c>
      <c r="D189" s="18" t="s">
        <v>9</v>
      </c>
      <c r="E189" s="18">
        <v>34</v>
      </c>
      <c r="F189" s="19">
        <v>1635.5</v>
      </c>
      <c r="G189" s="19">
        <v>3801.8</v>
      </c>
      <c r="H189" s="19">
        <v>6400.7</v>
      </c>
      <c r="I189" s="19">
        <v>9323.2000000000007</v>
      </c>
      <c r="J189" s="19">
        <v>11499</v>
      </c>
      <c r="K189" s="19">
        <v>13820.6</v>
      </c>
      <c r="L189" s="19">
        <v>16295.9</v>
      </c>
      <c r="M189" s="19">
        <v>18933.400000000001</v>
      </c>
      <c r="N189" s="19">
        <v>21742</v>
      </c>
      <c r="O189" s="19">
        <v>24731.200000000001</v>
      </c>
      <c r="P189" s="19">
        <v>24938.400000000001</v>
      </c>
      <c r="Q189" s="19">
        <v>25153.9</v>
      </c>
      <c r="R189" s="19">
        <v>25377.9</v>
      </c>
      <c r="S189" s="19">
        <v>25610.6</v>
      </c>
      <c r="T189" s="19">
        <v>25852.6</v>
      </c>
      <c r="U189" s="19">
        <v>26104</v>
      </c>
      <c r="V189" s="19">
        <v>26365.3</v>
      </c>
      <c r="W189" s="19">
        <v>26636.799999999999</v>
      </c>
      <c r="X189" s="19">
        <v>26919</v>
      </c>
      <c r="Y189" s="19">
        <v>27212.400000000001</v>
      </c>
      <c r="Z189" s="19">
        <v>27517.5</v>
      </c>
      <c r="AA189" s="19">
        <v>27834.799999999999</v>
      </c>
      <c r="AB189" s="19">
        <v>28164.799999999999</v>
      </c>
      <c r="AC189" s="19">
        <v>28508.3</v>
      </c>
      <c r="AD189" s="19">
        <v>28865.8</v>
      </c>
      <c r="AE189" s="19">
        <v>28238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19">
        <v>0</v>
      </c>
      <c r="CL189" s="19">
        <v>0</v>
      </c>
      <c r="CM189" s="19">
        <v>0</v>
      </c>
      <c r="CN189" s="19">
        <v>0</v>
      </c>
      <c r="CO189" s="19">
        <v>0</v>
      </c>
      <c r="CP189" s="19">
        <v>0</v>
      </c>
      <c r="CQ189" s="19">
        <v>0</v>
      </c>
      <c r="CR189" s="19">
        <v>0</v>
      </c>
      <c r="CS189" s="19">
        <v>0</v>
      </c>
      <c r="CT189" s="19">
        <v>0</v>
      </c>
      <c r="CU189" s="19">
        <v>0</v>
      </c>
      <c r="CV189" s="19">
        <v>0</v>
      </c>
      <c r="CW189" s="19">
        <v>0</v>
      </c>
      <c r="CX189" s="19">
        <v>0</v>
      </c>
      <c r="CY189" s="19">
        <v>0</v>
      </c>
      <c r="CZ189" s="19">
        <v>0</v>
      </c>
      <c r="DA189" s="19">
        <v>0</v>
      </c>
      <c r="DB189" s="19">
        <v>0</v>
      </c>
      <c r="DC189" s="19">
        <v>0</v>
      </c>
      <c r="DD189" s="19">
        <v>0</v>
      </c>
      <c r="DE189" s="19">
        <v>0</v>
      </c>
      <c r="DF189" s="19">
        <v>0</v>
      </c>
      <c r="DG189" s="19">
        <v>0</v>
      </c>
    </row>
    <row r="190" spans="2:111" x14ac:dyDescent="0.15">
      <c r="B190" s="19" t="str">
        <f t="shared" si="2"/>
        <v>10_男_35</v>
      </c>
      <c r="C190" s="18">
        <v>10</v>
      </c>
      <c r="D190" s="18" t="s">
        <v>9</v>
      </c>
      <c r="E190" s="18">
        <v>35</v>
      </c>
      <c r="F190" s="19">
        <v>1646.7</v>
      </c>
      <c r="G190" s="19">
        <v>3827.8</v>
      </c>
      <c r="H190" s="19">
        <v>6444.3</v>
      </c>
      <c r="I190" s="19">
        <v>9386.6</v>
      </c>
      <c r="J190" s="19">
        <v>11583.5</v>
      </c>
      <c r="K190" s="19">
        <v>13927.3</v>
      </c>
      <c r="L190" s="19">
        <v>16426.099999999999</v>
      </c>
      <c r="M190" s="19">
        <v>19088.5</v>
      </c>
      <c r="N190" s="19">
        <v>21923.3</v>
      </c>
      <c r="O190" s="19">
        <v>24940.1</v>
      </c>
      <c r="P190" s="19">
        <v>25155.5</v>
      </c>
      <c r="Q190" s="19">
        <v>25379.5</v>
      </c>
      <c r="R190" s="19">
        <v>25612.2</v>
      </c>
      <c r="S190" s="19">
        <v>25854.1</v>
      </c>
      <c r="T190" s="19">
        <v>26105.5</v>
      </c>
      <c r="U190" s="19">
        <v>26366.7</v>
      </c>
      <c r="V190" s="19">
        <v>26638.1</v>
      </c>
      <c r="W190" s="19">
        <v>26920.3</v>
      </c>
      <c r="X190" s="19">
        <v>27213.599999999999</v>
      </c>
      <c r="Y190" s="19">
        <v>27518.5</v>
      </c>
      <c r="Z190" s="19">
        <v>27835.599999999999</v>
      </c>
      <c r="AA190" s="19">
        <v>28165.5</v>
      </c>
      <c r="AB190" s="19">
        <v>28508.799999999999</v>
      </c>
      <c r="AC190" s="19">
        <v>28866</v>
      </c>
      <c r="AD190" s="19">
        <v>28238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>
        <v>0</v>
      </c>
      <c r="BW190" s="19">
        <v>0</v>
      </c>
      <c r="BX190" s="19">
        <v>0</v>
      </c>
      <c r="BY190" s="19">
        <v>0</v>
      </c>
      <c r="BZ190" s="19">
        <v>0</v>
      </c>
      <c r="CA190" s="19">
        <v>0</v>
      </c>
      <c r="CB190" s="19">
        <v>0</v>
      </c>
      <c r="CC190" s="19">
        <v>0</v>
      </c>
      <c r="CD190" s="19">
        <v>0</v>
      </c>
      <c r="CE190" s="19">
        <v>0</v>
      </c>
      <c r="CF190" s="19">
        <v>0</v>
      </c>
      <c r="CG190" s="19">
        <v>0</v>
      </c>
      <c r="CH190" s="19">
        <v>0</v>
      </c>
      <c r="CI190" s="19">
        <v>0</v>
      </c>
      <c r="CJ190" s="19">
        <v>0</v>
      </c>
      <c r="CK190" s="19">
        <v>0</v>
      </c>
      <c r="CL190" s="19">
        <v>0</v>
      </c>
      <c r="CM190" s="19">
        <v>0</v>
      </c>
      <c r="CN190" s="19">
        <v>0</v>
      </c>
      <c r="CO190" s="19">
        <v>0</v>
      </c>
      <c r="CP190" s="19">
        <v>0</v>
      </c>
      <c r="CQ190" s="19">
        <v>0</v>
      </c>
      <c r="CR190" s="19">
        <v>0</v>
      </c>
      <c r="CS190" s="19">
        <v>0</v>
      </c>
      <c r="CT190" s="19">
        <v>0</v>
      </c>
      <c r="CU190" s="19">
        <v>0</v>
      </c>
      <c r="CV190" s="19">
        <v>0</v>
      </c>
      <c r="CW190" s="19">
        <v>0</v>
      </c>
      <c r="CX190" s="19">
        <v>0</v>
      </c>
      <c r="CY190" s="19">
        <v>0</v>
      </c>
      <c r="CZ190" s="19">
        <v>0</v>
      </c>
      <c r="DA190" s="19">
        <v>0</v>
      </c>
      <c r="DB190" s="19">
        <v>0</v>
      </c>
      <c r="DC190" s="19">
        <v>0</v>
      </c>
      <c r="DD190" s="19">
        <v>0</v>
      </c>
      <c r="DE190" s="19">
        <v>0</v>
      </c>
      <c r="DF190" s="19">
        <v>0</v>
      </c>
      <c r="DG190" s="19">
        <v>0</v>
      </c>
    </row>
    <row r="191" spans="2:111" x14ac:dyDescent="0.15">
      <c r="B191" s="19" t="str">
        <f t="shared" si="2"/>
        <v>10_男_36</v>
      </c>
      <c r="C191" s="18">
        <v>10</v>
      </c>
      <c r="D191" s="18" t="s">
        <v>9</v>
      </c>
      <c r="E191" s="18">
        <v>36</v>
      </c>
      <c r="F191" s="19">
        <v>1658.4</v>
      </c>
      <c r="G191" s="19">
        <v>3854.8</v>
      </c>
      <c r="H191" s="19">
        <v>6489.8</v>
      </c>
      <c r="I191" s="19">
        <v>9452.6</v>
      </c>
      <c r="J191" s="19">
        <v>11671.3</v>
      </c>
      <c r="K191" s="19">
        <v>14038.2</v>
      </c>
      <c r="L191" s="19">
        <v>16561.5</v>
      </c>
      <c r="M191" s="19">
        <v>19249.7</v>
      </c>
      <c r="N191" s="19">
        <v>22111.7</v>
      </c>
      <c r="O191" s="19">
        <v>25157.1</v>
      </c>
      <c r="P191" s="19">
        <v>25381.1</v>
      </c>
      <c r="Q191" s="19">
        <v>25613.8</v>
      </c>
      <c r="R191" s="19">
        <v>25855.7</v>
      </c>
      <c r="S191" s="19">
        <v>26107</v>
      </c>
      <c r="T191" s="19">
        <v>26368.1</v>
      </c>
      <c r="U191" s="19">
        <v>26639.5</v>
      </c>
      <c r="V191" s="19">
        <v>26921.599999999999</v>
      </c>
      <c r="W191" s="19">
        <v>27214.7</v>
      </c>
      <c r="X191" s="19">
        <v>27519.5</v>
      </c>
      <c r="Y191" s="19">
        <v>27836.5</v>
      </c>
      <c r="Z191" s="19">
        <v>28166.2</v>
      </c>
      <c r="AA191" s="19">
        <v>28509.3</v>
      </c>
      <c r="AB191" s="19">
        <v>28866.3</v>
      </c>
      <c r="AC191" s="19">
        <v>28238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19">
        <v>0</v>
      </c>
      <c r="CL191" s="19">
        <v>0</v>
      </c>
      <c r="CM191" s="19">
        <v>0</v>
      </c>
      <c r="CN191" s="19">
        <v>0</v>
      </c>
      <c r="CO191" s="19">
        <v>0</v>
      </c>
      <c r="CP191" s="19">
        <v>0</v>
      </c>
      <c r="CQ191" s="19">
        <v>0</v>
      </c>
      <c r="CR191" s="19">
        <v>0</v>
      </c>
      <c r="CS191" s="19">
        <v>0</v>
      </c>
      <c r="CT191" s="19">
        <v>0</v>
      </c>
      <c r="CU191" s="19">
        <v>0</v>
      </c>
      <c r="CV191" s="19">
        <v>0</v>
      </c>
      <c r="CW191" s="19">
        <v>0</v>
      </c>
      <c r="CX191" s="19">
        <v>0</v>
      </c>
      <c r="CY191" s="19">
        <v>0</v>
      </c>
      <c r="CZ191" s="19">
        <v>0</v>
      </c>
      <c r="DA191" s="19">
        <v>0</v>
      </c>
      <c r="DB191" s="19">
        <v>0</v>
      </c>
      <c r="DC191" s="19">
        <v>0</v>
      </c>
      <c r="DD191" s="19">
        <v>0</v>
      </c>
      <c r="DE191" s="19">
        <v>0</v>
      </c>
      <c r="DF191" s="19">
        <v>0</v>
      </c>
      <c r="DG191" s="19">
        <v>0</v>
      </c>
    </row>
    <row r="192" spans="2:111" x14ac:dyDescent="0.15">
      <c r="B192" s="19" t="str">
        <f t="shared" si="2"/>
        <v>10_男_37</v>
      </c>
      <c r="C192" s="18">
        <v>10</v>
      </c>
      <c r="D192" s="18" t="s">
        <v>9</v>
      </c>
      <c r="E192" s="18">
        <v>37</v>
      </c>
      <c r="F192" s="19">
        <v>1670.5</v>
      </c>
      <c r="G192" s="19">
        <v>3883</v>
      </c>
      <c r="H192" s="19">
        <v>6537</v>
      </c>
      <c r="I192" s="19">
        <v>9521.2000000000007</v>
      </c>
      <c r="J192" s="19">
        <v>11762.6</v>
      </c>
      <c r="K192" s="19">
        <v>14153.6</v>
      </c>
      <c r="L192" s="19">
        <v>16702.3</v>
      </c>
      <c r="M192" s="19">
        <v>19417.2</v>
      </c>
      <c r="N192" s="19">
        <v>22307.5</v>
      </c>
      <c r="O192" s="19">
        <v>25382.7</v>
      </c>
      <c r="P192" s="19">
        <v>25615.4</v>
      </c>
      <c r="Q192" s="19">
        <v>25857.200000000001</v>
      </c>
      <c r="R192" s="19">
        <v>26108.5</v>
      </c>
      <c r="S192" s="19">
        <v>26369.599999999999</v>
      </c>
      <c r="T192" s="19">
        <v>26640.9</v>
      </c>
      <c r="U192" s="19">
        <v>26922.9</v>
      </c>
      <c r="V192" s="19">
        <v>27215.9</v>
      </c>
      <c r="W192" s="19">
        <v>27520.6</v>
      </c>
      <c r="X192" s="19">
        <v>27837.4</v>
      </c>
      <c r="Y192" s="19">
        <v>28166.9</v>
      </c>
      <c r="Z192" s="19">
        <v>28509.8</v>
      </c>
      <c r="AA192" s="19">
        <v>28866.6</v>
      </c>
      <c r="AB192" s="19">
        <v>28238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>
        <v>0</v>
      </c>
      <c r="BW192" s="19">
        <v>0</v>
      </c>
      <c r="BX192" s="19">
        <v>0</v>
      </c>
      <c r="BY192" s="19">
        <v>0</v>
      </c>
      <c r="BZ192" s="19">
        <v>0</v>
      </c>
      <c r="CA192" s="19">
        <v>0</v>
      </c>
      <c r="CB192" s="19">
        <v>0</v>
      </c>
      <c r="CC192" s="19">
        <v>0</v>
      </c>
      <c r="CD192" s="19">
        <v>0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19">
        <v>0</v>
      </c>
      <c r="CL192" s="19">
        <v>0</v>
      </c>
      <c r="CM192" s="19">
        <v>0</v>
      </c>
      <c r="CN192" s="19">
        <v>0</v>
      </c>
      <c r="CO192" s="19">
        <v>0</v>
      </c>
      <c r="CP192" s="19">
        <v>0</v>
      </c>
      <c r="CQ192" s="19">
        <v>0</v>
      </c>
      <c r="CR192" s="19">
        <v>0</v>
      </c>
      <c r="CS192" s="19">
        <v>0</v>
      </c>
      <c r="CT192" s="19">
        <v>0</v>
      </c>
      <c r="CU192" s="19">
        <v>0</v>
      </c>
      <c r="CV192" s="19">
        <v>0</v>
      </c>
      <c r="CW192" s="19">
        <v>0</v>
      </c>
      <c r="CX192" s="19">
        <v>0</v>
      </c>
      <c r="CY192" s="19">
        <v>0</v>
      </c>
      <c r="CZ192" s="19">
        <v>0</v>
      </c>
      <c r="DA192" s="19">
        <v>0</v>
      </c>
      <c r="DB192" s="19">
        <v>0</v>
      </c>
      <c r="DC192" s="19">
        <v>0</v>
      </c>
      <c r="DD192" s="19">
        <v>0</v>
      </c>
      <c r="DE192" s="19">
        <v>0</v>
      </c>
      <c r="DF192" s="19">
        <v>0</v>
      </c>
      <c r="DG192" s="19">
        <v>0</v>
      </c>
    </row>
    <row r="193" spans="2:111" x14ac:dyDescent="0.15">
      <c r="B193" s="19" t="str">
        <f t="shared" si="2"/>
        <v>10_男_38</v>
      </c>
      <c r="C193" s="18">
        <v>10</v>
      </c>
      <c r="D193" s="18" t="s">
        <v>9</v>
      </c>
      <c r="E193" s="18">
        <v>38</v>
      </c>
      <c r="F193" s="19">
        <v>1683.2</v>
      </c>
      <c r="G193" s="19">
        <v>3912.2</v>
      </c>
      <c r="H193" s="19">
        <v>6586.1</v>
      </c>
      <c r="I193" s="19">
        <v>9592.5</v>
      </c>
      <c r="J193" s="19">
        <v>11857.6</v>
      </c>
      <c r="K193" s="19">
        <v>14273.5</v>
      </c>
      <c r="L193" s="19">
        <v>16848.5</v>
      </c>
      <c r="M193" s="19">
        <v>19591.3</v>
      </c>
      <c r="N193" s="19">
        <v>22511</v>
      </c>
      <c r="O193" s="19">
        <v>25617.1</v>
      </c>
      <c r="P193" s="19">
        <v>25858.9</v>
      </c>
      <c r="Q193" s="19">
        <v>26110.1</v>
      </c>
      <c r="R193" s="19">
        <v>26371.1</v>
      </c>
      <c r="S193" s="19">
        <v>26642.3</v>
      </c>
      <c r="T193" s="19">
        <v>26924.2</v>
      </c>
      <c r="U193" s="19">
        <v>27217.1</v>
      </c>
      <c r="V193" s="19">
        <v>27521.7</v>
      </c>
      <c r="W193" s="19">
        <v>27838.3</v>
      </c>
      <c r="X193" s="19">
        <v>28167.7</v>
      </c>
      <c r="Y193" s="19">
        <v>28510.3</v>
      </c>
      <c r="Z193" s="19">
        <v>28866.799999999999</v>
      </c>
      <c r="AA193" s="19">
        <v>28238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19">
        <v>0</v>
      </c>
      <c r="CL193" s="19">
        <v>0</v>
      </c>
      <c r="CM193" s="19">
        <v>0</v>
      </c>
      <c r="CN193" s="19">
        <v>0</v>
      </c>
      <c r="CO193" s="19">
        <v>0</v>
      </c>
      <c r="CP193" s="19">
        <v>0</v>
      </c>
      <c r="CQ193" s="19">
        <v>0</v>
      </c>
      <c r="CR193" s="19">
        <v>0</v>
      </c>
      <c r="CS193" s="19">
        <v>0</v>
      </c>
      <c r="CT193" s="19">
        <v>0</v>
      </c>
      <c r="CU193" s="19">
        <v>0</v>
      </c>
      <c r="CV193" s="19">
        <v>0</v>
      </c>
      <c r="CW193" s="19">
        <v>0</v>
      </c>
      <c r="CX193" s="19">
        <v>0</v>
      </c>
      <c r="CY193" s="19">
        <v>0</v>
      </c>
      <c r="CZ193" s="19">
        <v>0</v>
      </c>
      <c r="DA193" s="19">
        <v>0</v>
      </c>
      <c r="DB193" s="19">
        <v>0</v>
      </c>
      <c r="DC193" s="19">
        <v>0</v>
      </c>
      <c r="DD193" s="19">
        <v>0</v>
      </c>
      <c r="DE193" s="19">
        <v>0</v>
      </c>
      <c r="DF193" s="19">
        <v>0</v>
      </c>
      <c r="DG193" s="19">
        <v>0</v>
      </c>
    </row>
    <row r="194" spans="2:111" x14ac:dyDescent="0.15">
      <c r="B194" s="19" t="str">
        <f t="shared" si="2"/>
        <v>10_男_39</v>
      </c>
      <c r="C194" s="18">
        <v>10</v>
      </c>
      <c r="D194" s="18" t="s">
        <v>9</v>
      </c>
      <c r="E194" s="18">
        <v>39</v>
      </c>
      <c r="F194" s="19">
        <v>1696.3</v>
      </c>
      <c r="G194" s="19">
        <v>3942.6</v>
      </c>
      <c r="H194" s="19">
        <v>6637.1</v>
      </c>
      <c r="I194" s="19">
        <v>9666.6</v>
      </c>
      <c r="J194" s="19">
        <v>11956.2</v>
      </c>
      <c r="K194" s="19">
        <v>14398.1</v>
      </c>
      <c r="L194" s="19">
        <v>17000.5</v>
      </c>
      <c r="M194" s="19">
        <v>19772.2</v>
      </c>
      <c r="N194" s="19">
        <v>22722.3</v>
      </c>
      <c r="O194" s="19">
        <v>25860.5</v>
      </c>
      <c r="P194" s="19">
        <v>26111.7</v>
      </c>
      <c r="Q194" s="19">
        <v>26372.6</v>
      </c>
      <c r="R194" s="19">
        <v>26643.8</v>
      </c>
      <c r="S194" s="19">
        <v>26925.5</v>
      </c>
      <c r="T194" s="19">
        <v>27218.400000000001</v>
      </c>
      <c r="U194" s="19">
        <v>27522.799999999999</v>
      </c>
      <c r="V194" s="19">
        <v>27839.3</v>
      </c>
      <c r="W194" s="19">
        <v>28168.400000000001</v>
      </c>
      <c r="X194" s="19">
        <v>28510.799999999999</v>
      </c>
      <c r="Y194" s="19">
        <v>28867.1</v>
      </c>
      <c r="Z194" s="19">
        <v>28238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>
        <v>0</v>
      </c>
      <c r="BW194" s="19">
        <v>0</v>
      </c>
      <c r="BX194" s="19">
        <v>0</v>
      </c>
      <c r="BY194" s="19">
        <v>0</v>
      </c>
      <c r="BZ194" s="19">
        <v>0</v>
      </c>
      <c r="CA194" s="19">
        <v>0</v>
      </c>
      <c r="CB194" s="19">
        <v>0</v>
      </c>
      <c r="CC194" s="19">
        <v>0</v>
      </c>
      <c r="CD194" s="19">
        <v>0</v>
      </c>
      <c r="CE194" s="19">
        <v>0</v>
      </c>
      <c r="CF194" s="19">
        <v>0</v>
      </c>
      <c r="CG194" s="19">
        <v>0</v>
      </c>
      <c r="CH194" s="19">
        <v>0</v>
      </c>
      <c r="CI194" s="19">
        <v>0</v>
      </c>
      <c r="CJ194" s="19">
        <v>0</v>
      </c>
      <c r="CK194" s="19">
        <v>0</v>
      </c>
      <c r="CL194" s="19">
        <v>0</v>
      </c>
      <c r="CM194" s="19">
        <v>0</v>
      </c>
      <c r="CN194" s="19">
        <v>0</v>
      </c>
      <c r="CO194" s="19">
        <v>0</v>
      </c>
      <c r="CP194" s="19">
        <v>0</v>
      </c>
      <c r="CQ194" s="19">
        <v>0</v>
      </c>
      <c r="CR194" s="19">
        <v>0</v>
      </c>
      <c r="CS194" s="19">
        <v>0</v>
      </c>
      <c r="CT194" s="19">
        <v>0</v>
      </c>
      <c r="CU194" s="19">
        <v>0</v>
      </c>
      <c r="CV194" s="19">
        <v>0</v>
      </c>
      <c r="CW194" s="19">
        <v>0</v>
      </c>
      <c r="CX194" s="19">
        <v>0</v>
      </c>
      <c r="CY194" s="19">
        <v>0</v>
      </c>
      <c r="CZ194" s="19">
        <v>0</v>
      </c>
      <c r="DA194" s="19">
        <v>0</v>
      </c>
      <c r="DB194" s="19">
        <v>0</v>
      </c>
      <c r="DC194" s="19">
        <v>0</v>
      </c>
      <c r="DD194" s="19">
        <v>0</v>
      </c>
      <c r="DE194" s="19">
        <v>0</v>
      </c>
      <c r="DF194" s="19">
        <v>0</v>
      </c>
      <c r="DG194" s="19">
        <v>0</v>
      </c>
    </row>
    <row r="195" spans="2:111" x14ac:dyDescent="0.15">
      <c r="B195" s="19" t="str">
        <f t="shared" ref="B195:B258" si="3">C195&amp;"_"&amp;D195&amp;"_"&amp;E195</f>
        <v>10_男_40</v>
      </c>
      <c r="C195" s="18">
        <v>10</v>
      </c>
      <c r="D195" s="18" t="s">
        <v>9</v>
      </c>
      <c r="E195" s="18">
        <v>40</v>
      </c>
      <c r="F195" s="19">
        <v>1709.9</v>
      </c>
      <c r="G195" s="19">
        <v>3974.2</v>
      </c>
      <c r="H195" s="19">
        <v>6690.1</v>
      </c>
      <c r="I195" s="19">
        <v>9743.6</v>
      </c>
      <c r="J195" s="19">
        <v>12058.6</v>
      </c>
      <c r="K195" s="19">
        <v>14527.4</v>
      </c>
      <c r="L195" s="19">
        <v>17158.3</v>
      </c>
      <c r="M195" s="19">
        <v>19960</v>
      </c>
      <c r="N195" s="19">
        <v>22941.7</v>
      </c>
      <c r="O195" s="19">
        <v>26113.3</v>
      </c>
      <c r="P195" s="19">
        <v>26374.2</v>
      </c>
      <c r="Q195" s="19">
        <v>26645.200000000001</v>
      </c>
      <c r="R195" s="19">
        <v>26926.9</v>
      </c>
      <c r="S195" s="19">
        <v>27219.599999999999</v>
      </c>
      <c r="T195" s="19">
        <v>27523.9</v>
      </c>
      <c r="U195" s="19">
        <v>27840.2</v>
      </c>
      <c r="V195" s="19">
        <v>28169.200000000001</v>
      </c>
      <c r="W195" s="19">
        <v>28511.4</v>
      </c>
      <c r="X195" s="19">
        <v>28867.4</v>
      </c>
      <c r="Y195" s="19">
        <v>28238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>
        <v>0</v>
      </c>
      <c r="BW195" s="19">
        <v>0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0</v>
      </c>
      <c r="CD195" s="19">
        <v>0</v>
      </c>
      <c r="CE195" s="19">
        <v>0</v>
      </c>
      <c r="CF195" s="19">
        <v>0</v>
      </c>
      <c r="CG195" s="19">
        <v>0</v>
      </c>
      <c r="CH195" s="19">
        <v>0</v>
      </c>
      <c r="CI195" s="19">
        <v>0</v>
      </c>
      <c r="CJ195" s="19">
        <v>0</v>
      </c>
      <c r="CK195" s="19">
        <v>0</v>
      </c>
      <c r="CL195" s="19">
        <v>0</v>
      </c>
      <c r="CM195" s="19">
        <v>0</v>
      </c>
      <c r="CN195" s="19">
        <v>0</v>
      </c>
      <c r="CO195" s="19">
        <v>0</v>
      </c>
      <c r="CP195" s="19">
        <v>0</v>
      </c>
      <c r="CQ195" s="19">
        <v>0</v>
      </c>
      <c r="CR195" s="19">
        <v>0</v>
      </c>
      <c r="CS195" s="19">
        <v>0</v>
      </c>
      <c r="CT195" s="19">
        <v>0</v>
      </c>
      <c r="CU195" s="19">
        <v>0</v>
      </c>
      <c r="CV195" s="19">
        <v>0</v>
      </c>
      <c r="CW195" s="19">
        <v>0</v>
      </c>
      <c r="CX195" s="19">
        <v>0</v>
      </c>
      <c r="CY195" s="19">
        <v>0</v>
      </c>
      <c r="CZ195" s="19">
        <v>0</v>
      </c>
      <c r="DA195" s="19">
        <v>0</v>
      </c>
      <c r="DB195" s="19">
        <v>0</v>
      </c>
      <c r="DC195" s="19">
        <v>0</v>
      </c>
      <c r="DD195" s="19">
        <v>0</v>
      </c>
      <c r="DE195" s="19">
        <v>0</v>
      </c>
      <c r="DF195" s="19">
        <v>0</v>
      </c>
      <c r="DG195" s="19">
        <v>0</v>
      </c>
    </row>
    <row r="196" spans="2:111" x14ac:dyDescent="0.15">
      <c r="B196" s="19" t="str">
        <f t="shared" si="3"/>
        <v>10_男_41</v>
      </c>
      <c r="C196" s="18">
        <v>10</v>
      </c>
      <c r="D196" s="18" t="s">
        <v>9</v>
      </c>
      <c r="E196" s="18">
        <v>41</v>
      </c>
      <c r="F196" s="19">
        <v>1724.1</v>
      </c>
      <c r="G196" s="19">
        <v>4007</v>
      </c>
      <c r="H196" s="19">
        <v>6745.1</v>
      </c>
      <c r="I196" s="19">
        <v>9823.5</v>
      </c>
      <c r="J196" s="19">
        <v>12165</v>
      </c>
      <c r="K196" s="19">
        <v>14661.8</v>
      </c>
      <c r="L196" s="19">
        <v>17322.099999999999</v>
      </c>
      <c r="M196" s="19">
        <v>20155</v>
      </c>
      <c r="N196" s="19">
        <v>23169.5</v>
      </c>
      <c r="O196" s="19">
        <v>26375.7</v>
      </c>
      <c r="P196" s="19">
        <v>26646.7</v>
      </c>
      <c r="Q196" s="19">
        <v>26928.3</v>
      </c>
      <c r="R196" s="19">
        <v>27220.9</v>
      </c>
      <c r="S196" s="19">
        <v>27525</v>
      </c>
      <c r="T196" s="19">
        <v>27841.200000000001</v>
      </c>
      <c r="U196" s="19">
        <v>28169.9</v>
      </c>
      <c r="V196" s="19">
        <v>28511.9</v>
      </c>
      <c r="W196" s="19">
        <v>28867.7</v>
      </c>
      <c r="X196" s="19">
        <v>28238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0</v>
      </c>
      <c r="CN196" s="19">
        <v>0</v>
      </c>
      <c r="CO196" s="19">
        <v>0</v>
      </c>
      <c r="CP196" s="19">
        <v>0</v>
      </c>
      <c r="CQ196" s="19">
        <v>0</v>
      </c>
      <c r="CR196" s="19">
        <v>0</v>
      </c>
      <c r="CS196" s="19">
        <v>0</v>
      </c>
      <c r="CT196" s="19">
        <v>0</v>
      </c>
      <c r="CU196" s="19">
        <v>0</v>
      </c>
      <c r="CV196" s="19">
        <v>0</v>
      </c>
      <c r="CW196" s="19">
        <v>0</v>
      </c>
      <c r="CX196" s="19">
        <v>0</v>
      </c>
      <c r="CY196" s="19">
        <v>0</v>
      </c>
      <c r="CZ196" s="19">
        <v>0</v>
      </c>
      <c r="DA196" s="19">
        <v>0</v>
      </c>
      <c r="DB196" s="19">
        <v>0</v>
      </c>
      <c r="DC196" s="19">
        <v>0</v>
      </c>
      <c r="DD196" s="19">
        <v>0</v>
      </c>
      <c r="DE196" s="19">
        <v>0</v>
      </c>
      <c r="DF196" s="19">
        <v>0</v>
      </c>
      <c r="DG196" s="19">
        <v>0</v>
      </c>
    </row>
    <row r="197" spans="2:111" x14ac:dyDescent="0.15">
      <c r="B197" s="19" t="str">
        <f t="shared" si="3"/>
        <v>10_男_42</v>
      </c>
      <c r="C197" s="18">
        <v>10</v>
      </c>
      <c r="D197" s="18" t="s">
        <v>9</v>
      </c>
      <c r="E197" s="18">
        <v>42</v>
      </c>
      <c r="F197" s="19">
        <v>1738.8</v>
      </c>
      <c r="G197" s="19">
        <v>4041.1</v>
      </c>
      <c r="H197" s="19">
        <v>6802.3</v>
      </c>
      <c r="I197" s="19">
        <v>9906.4</v>
      </c>
      <c r="J197" s="19">
        <v>12275.4</v>
      </c>
      <c r="K197" s="19">
        <v>14801.2</v>
      </c>
      <c r="L197" s="19">
        <v>17492.2</v>
      </c>
      <c r="M197" s="19">
        <v>20357.400000000001</v>
      </c>
      <c r="N197" s="19">
        <v>23406.1</v>
      </c>
      <c r="O197" s="19">
        <v>26648.2</v>
      </c>
      <c r="P197" s="19">
        <v>26929.7</v>
      </c>
      <c r="Q197" s="19">
        <v>27222.1</v>
      </c>
      <c r="R197" s="19">
        <v>27526.1</v>
      </c>
      <c r="S197" s="19">
        <v>27842.1</v>
      </c>
      <c r="T197" s="19">
        <v>28170.7</v>
      </c>
      <c r="U197" s="19">
        <v>28512.5</v>
      </c>
      <c r="V197" s="19">
        <v>28868</v>
      </c>
      <c r="W197" s="19">
        <v>28238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0</v>
      </c>
      <c r="CD197" s="19">
        <v>0</v>
      </c>
      <c r="CE197" s="19">
        <v>0</v>
      </c>
      <c r="CF197" s="19">
        <v>0</v>
      </c>
      <c r="CG197" s="19">
        <v>0</v>
      </c>
      <c r="CH197" s="19">
        <v>0</v>
      </c>
      <c r="CI197" s="19">
        <v>0</v>
      </c>
      <c r="CJ197" s="19">
        <v>0</v>
      </c>
      <c r="CK197" s="19">
        <v>0</v>
      </c>
      <c r="CL197" s="19">
        <v>0</v>
      </c>
      <c r="CM197" s="19">
        <v>0</v>
      </c>
      <c r="CN197" s="19">
        <v>0</v>
      </c>
      <c r="CO197" s="19">
        <v>0</v>
      </c>
      <c r="CP197" s="19">
        <v>0</v>
      </c>
      <c r="CQ197" s="19">
        <v>0</v>
      </c>
      <c r="CR197" s="19">
        <v>0</v>
      </c>
      <c r="CS197" s="19">
        <v>0</v>
      </c>
      <c r="CT197" s="19">
        <v>0</v>
      </c>
      <c r="CU197" s="19">
        <v>0</v>
      </c>
      <c r="CV197" s="19">
        <v>0</v>
      </c>
      <c r="CW197" s="19">
        <v>0</v>
      </c>
      <c r="CX197" s="19">
        <v>0</v>
      </c>
      <c r="CY197" s="19">
        <v>0</v>
      </c>
      <c r="CZ197" s="19">
        <v>0</v>
      </c>
      <c r="DA197" s="19">
        <v>0</v>
      </c>
      <c r="DB197" s="19">
        <v>0</v>
      </c>
      <c r="DC197" s="19">
        <v>0</v>
      </c>
      <c r="DD197" s="19">
        <v>0</v>
      </c>
      <c r="DE197" s="19">
        <v>0</v>
      </c>
      <c r="DF197" s="19">
        <v>0</v>
      </c>
      <c r="DG197" s="19">
        <v>0</v>
      </c>
    </row>
    <row r="198" spans="2:111" x14ac:dyDescent="0.15">
      <c r="B198" s="19" t="str">
        <f t="shared" si="3"/>
        <v>10_男_43</v>
      </c>
      <c r="C198" s="18">
        <v>10</v>
      </c>
      <c r="D198" s="18" t="s">
        <v>9</v>
      </c>
      <c r="E198" s="18">
        <v>43</v>
      </c>
      <c r="F198" s="19">
        <v>1754.1</v>
      </c>
      <c r="G198" s="19">
        <v>4076.4</v>
      </c>
      <c r="H198" s="19">
        <v>6861.6</v>
      </c>
      <c r="I198" s="19">
        <v>9992.6</v>
      </c>
      <c r="J198" s="19">
        <v>12390.1</v>
      </c>
      <c r="K198" s="19">
        <v>14946</v>
      </c>
      <c r="L198" s="19">
        <v>17668.8</v>
      </c>
      <c r="M198" s="19">
        <v>20567.5</v>
      </c>
      <c r="N198" s="19">
        <v>23651.599999999999</v>
      </c>
      <c r="O198" s="19">
        <v>26931.1</v>
      </c>
      <c r="P198" s="19">
        <v>27223.4</v>
      </c>
      <c r="Q198" s="19">
        <v>27527.3</v>
      </c>
      <c r="R198" s="19">
        <v>27843.1</v>
      </c>
      <c r="S198" s="19">
        <v>28171.5</v>
      </c>
      <c r="T198" s="19">
        <v>28513</v>
      </c>
      <c r="U198" s="19">
        <v>28868.3</v>
      </c>
      <c r="V198" s="19">
        <v>28238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0</v>
      </c>
      <c r="CD198" s="19">
        <v>0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19">
        <v>0</v>
      </c>
      <c r="CL198" s="19">
        <v>0</v>
      </c>
      <c r="CM198" s="19">
        <v>0</v>
      </c>
      <c r="CN198" s="19">
        <v>0</v>
      </c>
      <c r="CO198" s="19">
        <v>0</v>
      </c>
      <c r="CP198" s="19">
        <v>0</v>
      </c>
      <c r="CQ198" s="19">
        <v>0</v>
      </c>
      <c r="CR198" s="19">
        <v>0</v>
      </c>
      <c r="CS198" s="19">
        <v>0</v>
      </c>
      <c r="CT198" s="19">
        <v>0</v>
      </c>
      <c r="CU198" s="19">
        <v>0</v>
      </c>
      <c r="CV198" s="19">
        <v>0</v>
      </c>
      <c r="CW198" s="19">
        <v>0</v>
      </c>
      <c r="CX198" s="19">
        <v>0</v>
      </c>
      <c r="CY198" s="19">
        <v>0</v>
      </c>
      <c r="CZ198" s="19">
        <v>0</v>
      </c>
      <c r="DA198" s="19">
        <v>0</v>
      </c>
      <c r="DB198" s="19">
        <v>0</v>
      </c>
      <c r="DC198" s="19">
        <v>0</v>
      </c>
      <c r="DD198" s="19">
        <v>0</v>
      </c>
      <c r="DE198" s="19">
        <v>0</v>
      </c>
      <c r="DF198" s="19">
        <v>0</v>
      </c>
      <c r="DG198" s="19">
        <v>0</v>
      </c>
    </row>
    <row r="199" spans="2:111" x14ac:dyDescent="0.15">
      <c r="B199" s="19" t="str">
        <f t="shared" si="3"/>
        <v>10_男_44</v>
      </c>
      <c r="C199" s="18">
        <v>10</v>
      </c>
      <c r="D199" s="18" t="s">
        <v>9</v>
      </c>
      <c r="E199" s="18">
        <v>44</v>
      </c>
      <c r="F199" s="19">
        <v>1770</v>
      </c>
      <c r="G199" s="19">
        <v>4113.1000000000004</v>
      </c>
      <c r="H199" s="19">
        <v>6923.1</v>
      </c>
      <c r="I199" s="19">
        <v>10081.9</v>
      </c>
      <c r="J199" s="19">
        <v>12509</v>
      </c>
      <c r="K199" s="19">
        <v>15096.2</v>
      </c>
      <c r="L199" s="19">
        <v>17852.099999999999</v>
      </c>
      <c r="M199" s="19">
        <v>20785.599999999999</v>
      </c>
      <c r="N199" s="19">
        <v>23906.5</v>
      </c>
      <c r="O199" s="19">
        <v>27224.7</v>
      </c>
      <c r="P199" s="19">
        <v>27528.400000000001</v>
      </c>
      <c r="Q199" s="19">
        <v>27844.1</v>
      </c>
      <c r="R199" s="19">
        <v>28172.3</v>
      </c>
      <c r="S199" s="19">
        <v>28513.599999999999</v>
      </c>
      <c r="T199" s="19">
        <v>28868.6</v>
      </c>
      <c r="U199" s="19">
        <v>28238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>
        <v>0</v>
      </c>
      <c r="BW199" s="19">
        <v>0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19">
        <v>0</v>
      </c>
      <c r="CL199" s="19">
        <v>0</v>
      </c>
      <c r="CM199" s="19">
        <v>0</v>
      </c>
      <c r="CN199" s="19">
        <v>0</v>
      </c>
      <c r="CO199" s="19">
        <v>0</v>
      </c>
      <c r="CP199" s="19">
        <v>0</v>
      </c>
      <c r="CQ199" s="19">
        <v>0</v>
      </c>
      <c r="CR199" s="19">
        <v>0</v>
      </c>
      <c r="CS199" s="19">
        <v>0</v>
      </c>
      <c r="CT199" s="19">
        <v>0</v>
      </c>
      <c r="CU199" s="19">
        <v>0</v>
      </c>
      <c r="CV199" s="19">
        <v>0</v>
      </c>
      <c r="CW199" s="19">
        <v>0</v>
      </c>
      <c r="CX199" s="19">
        <v>0</v>
      </c>
      <c r="CY199" s="19">
        <v>0</v>
      </c>
      <c r="CZ199" s="19">
        <v>0</v>
      </c>
      <c r="DA199" s="19">
        <v>0</v>
      </c>
      <c r="DB199" s="19">
        <v>0</v>
      </c>
      <c r="DC199" s="19">
        <v>0</v>
      </c>
      <c r="DD199" s="19">
        <v>0</v>
      </c>
      <c r="DE199" s="19">
        <v>0</v>
      </c>
      <c r="DF199" s="19">
        <v>0</v>
      </c>
      <c r="DG199" s="19">
        <v>0</v>
      </c>
    </row>
    <row r="200" spans="2:111" x14ac:dyDescent="0.15">
      <c r="B200" s="19" t="str">
        <f t="shared" si="3"/>
        <v>10_男_45</v>
      </c>
      <c r="C200" s="18">
        <v>10</v>
      </c>
      <c r="D200" s="18" t="s">
        <v>9</v>
      </c>
      <c r="E200" s="18">
        <v>45</v>
      </c>
      <c r="F200" s="19">
        <v>1786.4</v>
      </c>
      <c r="G200" s="19">
        <v>4151.2</v>
      </c>
      <c r="H200" s="19">
        <v>6987</v>
      </c>
      <c r="I200" s="19">
        <v>10174.700000000001</v>
      </c>
      <c r="J200" s="19">
        <v>12632.5</v>
      </c>
      <c r="K200" s="19">
        <v>15252.1</v>
      </c>
      <c r="L200" s="19">
        <v>18042.3</v>
      </c>
      <c r="M200" s="19">
        <v>21012</v>
      </c>
      <c r="N200" s="19">
        <v>24171</v>
      </c>
      <c r="O200" s="19">
        <v>27529.5</v>
      </c>
      <c r="P200" s="19">
        <v>27845.1</v>
      </c>
      <c r="Q200" s="19">
        <v>28173</v>
      </c>
      <c r="R200" s="19">
        <v>28514.1</v>
      </c>
      <c r="S200" s="19">
        <v>28868.9</v>
      </c>
      <c r="T200" s="19">
        <v>28238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0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>
        <v>0</v>
      </c>
      <c r="BW200" s="19">
        <v>0</v>
      </c>
      <c r="BX200" s="19">
        <v>0</v>
      </c>
      <c r="BY200" s="19">
        <v>0</v>
      </c>
      <c r="BZ200" s="19">
        <v>0</v>
      </c>
      <c r="CA200" s="19">
        <v>0</v>
      </c>
      <c r="CB200" s="19">
        <v>0</v>
      </c>
      <c r="CC200" s="19">
        <v>0</v>
      </c>
      <c r="CD200" s="19">
        <v>0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19">
        <v>0</v>
      </c>
      <c r="CL200" s="19">
        <v>0</v>
      </c>
      <c r="CM200" s="19">
        <v>0</v>
      </c>
      <c r="CN200" s="19">
        <v>0</v>
      </c>
      <c r="CO200" s="19">
        <v>0</v>
      </c>
      <c r="CP200" s="19">
        <v>0</v>
      </c>
      <c r="CQ200" s="19">
        <v>0</v>
      </c>
      <c r="CR200" s="19">
        <v>0</v>
      </c>
      <c r="CS200" s="19">
        <v>0</v>
      </c>
      <c r="CT200" s="19">
        <v>0</v>
      </c>
      <c r="CU200" s="19">
        <v>0</v>
      </c>
      <c r="CV200" s="19">
        <v>0</v>
      </c>
      <c r="CW200" s="19">
        <v>0</v>
      </c>
      <c r="CX200" s="19">
        <v>0</v>
      </c>
      <c r="CY200" s="19">
        <v>0</v>
      </c>
      <c r="CZ200" s="19">
        <v>0</v>
      </c>
      <c r="DA200" s="19">
        <v>0</v>
      </c>
      <c r="DB200" s="19">
        <v>0</v>
      </c>
      <c r="DC200" s="19">
        <v>0</v>
      </c>
      <c r="DD200" s="19">
        <v>0</v>
      </c>
      <c r="DE200" s="19">
        <v>0</v>
      </c>
      <c r="DF200" s="19">
        <v>0</v>
      </c>
      <c r="DG200" s="19">
        <v>0</v>
      </c>
    </row>
    <row r="201" spans="2:111" x14ac:dyDescent="0.15">
      <c r="B201" s="19" t="str">
        <f t="shared" si="3"/>
        <v>1_女_0</v>
      </c>
      <c r="C201" s="18">
        <v>1</v>
      </c>
      <c r="D201" s="18" t="s">
        <v>2</v>
      </c>
      <c r="E201" s="18">
        <v>0</v>
      </c>
      <c r="F201" s="19">
        <v>17905.599999999999</v>
      </c>
      <c r="G201" s="19">
        <v>18796</v>
      </c>
      <c r="H201" s="19">
        <v>19732.5</v>
      </c>
      <c r="I201" s="19">
        <v>20716.8</v>
      </c>
      <c r="J201" s="19">
        <v>20750.8</v>
      </c>
      <c r="K201" s="19">
        <v>20786.8</v>
      </c>
      <c r="L201" s="19">
        <v>20824.7</v>
      </c>
      <c r="M201" s="19">
        <v>20864.599999999999</v>
      </c>
      <c r="N201" s="19">
        <v>20906.599999999999</v>
      </c>
      <c r="O201" s="19">
        <v>20950.7</v>
      </c>
      <c r="P201" s="19">
        <v>20997</v>
      </c>
      <c r="Q201" s="19">
        <v>21045.7</v>
      </c>
      <c r="R201" s="19">
        <v>21096.7</v>
      </c>
      <c r="S201" s="19">
        <v>21150.2</v>
      </c>
      <c r="T201" s="19">
        <v>21206.3</v>
      </c>
      <c r="U201" s="19">
        <v>21265.1</v>
      </c>
      <c r="V201" s="19">
        <v>21326.799999999999</v>
      </c>
      <c r="W201" s="19">
        <v>21391.599999999999</v>
      </c>
      <c r="X201" s="19">
        <v>21459.4</v>
      </c>
      <c r="Y201" s="19">
        <v>21530.7</v>
      </c>
      <c r="Z201" s="19">
        <v>21605.4</v>
      </c>
      <c r="AA201" s="19">
        <v>21683.8</v>
      </c>
      <c r="AB201" s="19">
        <v>21766</v>
      </c>
      <c r="AC201" s="19">
        <v>21852.3</v>
      </c>
      <c r="AD201" s="19">
        <v>21942.799999999999</v>
      </c>
      <c r="AE201" s="19">
        <v>22037.8</v>
      </c>
      <c r="AF201" s="19">
        <v>22137.5</v>
      </c>
      <c r="AG201" s="19">
        <v>22242.1</v>
      </c>
      <c r="AH201" s="19">
        <v>22351.8</v>
      </c>
      <c r="AI201" s="19">
        <v>22467</v>
      </c>
      <c r="AJ201" s="19">
        <v>22587.8</v>
      </c>
      <c r="AK201" s="19">
        <v>22714.6</v>
      </c>
      <c r="AL201" s="19">
        <v>22847.5</v>
      </c>
      <c r="AM201" s="19">
        <v>22987</v>
      </c>
      <c r="AN201" s="19">
        <v>23133.3</v>
      </c>
      <c r="AO201" s="19">
        <v>23286.7</v>
      </c>
      <c r="AP201" s="19">
        <v>23447.5</v>
      </c>
      <c r="AQ201" s="19">
        <v>23616.1</v>
      </c>
      <c r="AR201" s="19">
        <v>23792.9</v>
      </c>
      <c r="AS201" s="19">
        <v>23978.2</v>
      </c>
      <c r="AT201" s="19">
        <v>24172.400000000001</v>
      </c>
      <c r="AU201" s="19">
        <v>24376</v>
      </c>
      <c r="AV201" s="19">
        <v>24589.5</v>
      </c>
      <c r="AW201" s="19">
        <v>24813.200000000001</v>
      </c>
      <c r="AX201" s="19">
        <v>25047.8</v>
      </c>
      <c r="AY201" s="19">
        <v>25293.8</v>
      </c>
      <c r="AZ201" s="19">
        <v>25551.7</v>
      </c>
      <c r="BA201" s="19">
        <v>25822.2</v>
      </c>
      <c r="BB201" s="19">
        <v>26105.9</v>
      </c>
      <c r="BC201" s="19">
        <v>26403.5</v>
      </c>
      <c r="BD201" s="19">
        <v>26715.7</v>
      </c>
      <c r="BE201" s="19">
        <v>27043.200000000001</v>
      </c>
      <c r="BF201" s="19">
        <v>27386.9</v>
      </c>
      <c r="BG201" s="19">
        <v>27747.599999999999</v>
      </c>
      <c r="BH201" s="19">
        <v>28126.3</v>
      </c>
      <c r="BI201" s="19">
        <v>28524</v>
      </c>
      <c r="BJ201" s="19">
        <v>28941.7</v>
      </c>
      <c r="BK201" s="19">
        <v>29380.6</v>
      </c>
      <c r="BL201" s="19">
        <v>29842</v>
      </c>
      <c r="BM201" s="19">
        <v>29327.1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>
        <v>0</v>
      </c>
      <c r="BW201" s="19">
        <v>0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19">
        <v>0</v>
      </c>
      <c r="CL201" s="19">
        <v>0</v>
      </c>
      <c r="CM201" s="19">
        <v>0</v>
      </c>
      <c r="CN201" s="19">
        <v>0</v>
      </c>
      <c r="CO201" s="19">
        <v>0</v>
      </c>
      <c r="CP201" s="19">
        <v>0</v>
      </c>
      <c r="CQ201" s="19">
        <v>0</v>
      </c>
      <c r="CR201" s="19">
        <v>0</v>
      </c>
      <c r="CS201" s="19">
        <v>0</v>
      </c>
      <c r="CT201" s="19">
        <v>0</v>
      </c>
      <c r="CU201" s="19">
        <v>0</v>
      </c>
      <c r="CV201" s="19">
        <v>0</v>
      </c>
      <c r="CW201" s="19">
        <v>0</v>
      </c>
      <c r="CX201" s="19">
        <v>0</v>
      </c>
      <c r="CY201" s="19">
        <v>0</v>
      </c>
      <c r="CZ201" s="19">
        <v>0</v>
      </c>
      <c r="DA201" s="19">
        <v>0</v>
      </c>
      <c r="DB201" s="19">
        <v>0</v>
      </c>
      <c r="DC201" s="19">
        <v>0</v>
      </c>
      <c r="DD201" s="19">
        <v>0</v>
      </c>
      <c r="DE201" s="19">
        <v>0</v>
      </c>
      <c r="DF201" s="19">
        <v>0</v>
      </c>
      <c r="DG201" s="19">
        <v>0</v>
      </c>
    </row>
    <row r="202" spans="2:111" x14ac:dyDescent="0.15">
      <c r="B202" s="19" t="str">
        <f t="shared" si="3"/>
        <v>1_女_1</v>
      </c>
      <c r="C202" s="18">
        <v>1</v>
      </c>
      <c r="D202" s="18" t="s">
        <v>2</v>
      </c>
      <c r="E202" s="18">
        <v>1</v>
      </c>
      <c r="F202" s="19">
        <v>17932.8</v>
      </c>
      <c r="G202" s="19">
        <v>18825.900000000001</v>
      </c>
      <c r="H202" s="19">
        <v>19764.7</v>
      </c>
      <c r="I202" s="19">
        <v>20750.900000000001</v>
      </c>
      <c r="J202" s="19">
        <v>20786.900000000001</v>
      </c>
      <c r="K202" s="19">
        <v>20824.8</v>
      </c>
      <c r="L202" s="19">
        <v>20864.8</v>
      </c>
      <c r="M202" s="19">
        <v>20906.8</v>
      </c>
      <c r="N202" s="19">
        <v>20950.900000000001</v>
      </c>
      <c r="O202" s="19">
        <v>20997.200000000001</v>
      </c>
      <c r="P202" s="19">
        <v>21045.8</v>
      </c>
      <c r="Q202" s="19">
        <v>21096.799999999999</v>
      </c>
      <c r="R202" s="19">
        <v>21150.3</v>
      </c>
      <c r="S202" s="19">
        <v>21206.5</v>
      </c>
      <c r="T202" s="19">
        <v>21265.3</v>
      </c>
      <c r="U202" s="19">
        <v>21327</v>
      </c>
      <c r="V202" s="19">
        <v>21391.8</v>
      </c>
      <c r="W202" s="19">
        <v>21459.7</v>
      </c>
      <c r="X202" s="19">
        <v>21530.9</v>
      </c>
      <c r="Y202" s="19">
        <v>21605.599999999999</v>
      </c>
      <c r="Z202" s="19">
        <v>21684</v>
      </c>
      <c r="AA202" s="19">
        <v>21766.2</v>
      </c>
      <c r="AB202" s="19">
        <v>21852.5</v>
      </c>
      <c r="AC202" s="19">
        <v>21943</v>
      </c>
      <c r="AD202" s="19">
        <v>22038</v>
      </c>
      <c r="AE202" s="19">
        <v>22137.7</v>
      </c>
      <c r="AF202" s="19">
        <v>22242.3</v>
      </c>
      <c r="AG202" s="19">
        <v>22352.1</v>
      </c>
      <c r="AH202" s="19">
        <v>22467.3</v>
      </c>
      <c r="AI202" s="19">
        <v>22588.1</v>
      </c>
      <c r="AJ202" s="19">
        <v>22714.9</v>
      </c>
      <c r="AK202" s="19">
        <v>22847.9</v>
      </c>
      <c r="AL202" s="19">
        <v>22987.3</v>
      </c>
      <c r="AM202" s="19">
        <v>23133.599999999999</v>
      </c>
      <c r="AN202" s="19">
        <v>23287</v>
      </c>
      <c r="AO202" s="19">
        <v>23447.8</v>
      </c>
      <c r="AP202" s="19">
        <v>23616.5</v>
      </c>
      <c r="AQ202" s="19">
        <v>23793.200000000001</v>
      </c>
      <c r="AR202" s="19">
        <v>23978.5</v>
      </c>
      <c r="AS202" s="19">
        <v>24172.799999999999</v>
      </c>
      <c r="AT202" s="19">
        <v>24376.400000000001</v>
      </c>
      <c r="AU202" s="19">
        <v>24589.8</v>
      </c>
      <c r="AV202" s="19">
        <v>24813.599999999999</v>
      </c>
      <c r="AW202" s="19">
        <v>25048.2</v>
      </c>
      <c r="AX202" s="19">
        <v>25294.2</v>
      </c>
      <c r="AY202" s="19">
        <v>25552.1</v>
      </c>
      <c r="AZ202" s="19">
        <v>25822.6</v>
      </c>
      <c r="BA202" s="19">
        <v>26106.3</v>
      </c>
      <c r="BB202" s="19">
        <v>26403.8</v>
      </c>
      <c r="BC202" s="19">
        <v>26716</v>
      </c>
      <c r="BD202" s="19">
        <v>27043.5</v>
      </c>
      <c r="BE202" s="19">
        <v>27387.200000000001</v>
      </c>
      <c r="BF202" s="19">
        <v>27747.9</v>
      </c>
      <c r="BG202" s="19">
        <v>28126.6</v>
      </c>
      <c r="BH202" s="19">
        <v>28524.2</v>
      </c>
      <c r="BI202" s="19">
        <v>28941.9</v>
      </c>
      <c r="BJ202" s="19">
        <v>29380.799999999999</v>
      </c>
      <c r="BK202" s="19">
        <v>29842.1</v>
      </c>
      <c r="BL202" s="19">
        <v>29327.1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>
        <v>0</v>
      </c>
      <c r="BW202" s="19">
        <v>0</v>
      </c>
      <c r="BX202" s="19">
        <v>0</v>
      </c>
      <c r="BY202" s="19">
        <v>0</v>
      </c>
      <c r="BZ202" s="19">
        <v>0</v>
      </c>
      <c r="CA202" s="19">
        <v>0</v>
      </c>
      <c r="CB202" s="19">
        <v>0</v>
      </c>
      <c r="CC202" s="19">
        <v>0</v>
      </c>
      <c r="CD202" s="19">
        <v>0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19">
        <v>0</v>
      </c>
      <c r="CL202" s="19">
        <v>0</v>
      </c>
      <c r="CM202" s="19">
        <v>0</v>
      </c>
      <c r="CN202" s="19">
        <v>0</v>
      </c>
      <c r="CO202" s="19">
        <v>0</v>
      </c>
      <c r="CP202" s="19">
        <v>0</v>
      </c>
      <c r="CQ202" s="19">
        <v>0</v>
      </c>
      <c r="CR202" s="19">
        <v>0</v>
      </c>
      <c r="CS202" s="19">
        <v>0</v>
      </c>
      <c r="CT202" s="19">
        <v>0</v>
      </c>
      <c r="CU202" s="19">
        <v>0</v>
      </c>
      <c r="CV202" s="19">
        <v>0</v>
      </c>
      <c r="CW202" s="19">
        <v>0</v>
      </c>
      <c r="CX202" s="19">
        <v>0</v>
      </c>
      <c r="CY202" s="19">
        <v>0</v>
      </c>
      <c r="CZ202" s="19">
        <v>0</v>
      </c>
      <c r="DA202" s="19">
        <v>0</v>
      </c>
      <c r="DB202" s="19">
        <v>0</v>
      </c>
      <c r="DC202" s="19">
        <v>0</v>
      </c>
      <c r="DD202" s="19">
        <v>0</v>
      </c>
      <c r="DE202" s="19">
        <v>0</v>
      </c>
      <c r="DF202" s="19">
        <v>0</v>
      </c>
      <c r="DG202" s="19">
        <v>0</v>
      </c>
    </row>
    <row r="203" spans="2:111" x14ac:dyDescent="0.15">
      <c r="B203" s="19" t="str">
        <f t="shared" si="3"/>
        <v>1_女_2</v>
      </c>
      <c r="C203" s="18">
        <v>1</v>
      </c>
      <c r="D203" s="18" t="s">
        <v>2</v>
      </c>
      <c r="E203" s="18">
        <v>2</v>
      </c>
      <c r="F203" s="19">
        <v>17962.599999999999</v>
      </c>
      <c r="G203" s="19">
        <v>18858</v>
      </c>
      <c r="H203" s="19">
        <v>19798.8</v>
      </c>
      <c r="I203" s="19">
        <v>20787.099999999999</v>
      </c>
      <c r="J203" s="19">
        <v>20825</v>
      </c>
      <c r="K203" s="19">
        <v>20864.900000000001</v>
      </c>
      <c r="L203" s="19">
        <v>20906.900000000001</v>
      </c>
      <c r="M203" s="19">
        <v>20951</v>
      </c>
      <c r="N203" s="19">
        <v>20997.4</v>
      </c>
      <c r="O203" s="19">
        <v>21046</v>
      </c>
      <c r="P203" s="19">
        <v>21097</v>
      </c>
      <c r="Q203" s="19">
        <v>21150.5</v>
      </c>
      <c r="R203" s="19">
        <v>21206.6</v>
      </c>
      <c r="S203" s="19">
        <v>21265.5</v>
      </c>
      <c r="T203" s="19">
        <v>21327.200000000001</v>
      </c>
      <c r="U203" s="19">
        <v>21392</v>
      </c>
      <c r="V203" s="19">
        <v>21459.9</v>
      </c>
      <c r="W203" s="19">
        <v>21531.1</v>
      </c>
      <c r="X203" s="19">
        <v>21605.8</v>
      </c>
      <c r="Y203" s="19">
        <v>21684.2</v>
      </c>
      <c r="Z203" s="19">
        <v>21766.5</v>
      </c>
      <c r="AA203" s="19">
        <v>21852.7</v>
      </c>
      <c r="AB203" s="19">
        <v>21943.3</v>
      </c>
      <c r="AC203" s="19">
        <v>22038.3</v>
      </c>
      <c r="AD203" s="19">
        <v>22138</v>
      </c>
      <c r="AE203" s="19">
        <v>22242.6</v>
      </c>
      <c r="AF203" s="19">
        <v>22352.400000000001</v>
      </c>
      <c r="AG203" s="19">
        <v>22467.599999999999</v>
      </c>
      <c r="AH203" s="19">
        <v>22588.400000000001</v>
      </c>
      <c r="AI203" s="19">
        <v>22715.200000000001</v>
      </c>
      <c r="AJ203" s="19">
        <v>22848.2</v>
      </c>
      <c r="AK203" s="19">
        <v>22987.7</v>
      </c>
      <c r="AL203" s="19">
        <v>23134</v>
      </c>
      <c r="AM203" s="19">
        <v>23287.4</v>
      </c>
      <c r="AN203" s="19">
        <v>23448.2</v>
      </c>
      <c r="AO203" s="19">
        <v>23616.799999999999</v>
      </c>
      <c r="AP203" s="19">
        <v>23793.599999999999</v>
      </c>
      <c r="AQ203" s="19">
        <v>23978.9</v>
      </c>
      <c r="AR203" s="19">
        <v>24173.1</v>
      </c>
      <c r="AS203" s="19">
        <v>24376.799999999999</v>
      </c>
      <c r="AT203" s="19">
        <v>24590.2</v>
      </c>
      <c r="AU203" s="19">
        <v>24814</v>
      </c>
      <c r="AV203" s="19">
        <v>25048.6</v>
      </c>
      <c r="AW203" s="19">
        <v>25294.6</v>
      </c>
      <c r="AX203" s="19">
        <v>25552.5</v>
      </c>
      <c r="AY203" s="19">
        <v>25823</v>
      </c>
      <c r="AZ203" s="19">
        <v>26106.7</v>
      </c>
      <c r="BA203" s="19">
        <v>26404.2</v>
      </c>
      <c r="BB203" s="19">
        <v>26716.3</v>
      </c>
      <c r="BC203" s="19">
        <v>27043.8</v>
      </c>
      <c r="BD203" s="19">
        <v>27387.5</v>
      </c>
      <c r="BE203" s="19">
        <v>27748.2</v>
      </c>
      <c r="BF203" s="19">
        <v>28126.799999999999</v>
      </c>
      <c r="BG203" s="19">
        <v>28524.400000000001</v>
      </c>
      <c r="BH203" s="19">
        <v>28942.1</v>
      </c>
      <c r="BI203" s="19">
        <v>29380.9</v>
      </c>
      <c r="BJ203" s="19">
        <v>29842.1</v>
      </c>
      <c r="BK203" s="19">
        <v>29327.1</v>
      </c>
      <c r="BL203" s="19">
        <v>0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>
        <v>0</v>
      </c>
      <c r="BW203" s="19">
        <v>0</v>
      </c>
      <c r="BX203" s="19">
        <v>0</v>
      </c>
      <c r="BY203" s="19">
        <v>0</v>
      </c>
      <c r="BZ203" s="19">
        <v>0</v>
      </c>
      <c r="CA203" s="19">
        <v>0</v>
      </c>
      <c r="CB203" s="19">
        <v>0</v>
      </c>
      <c r="CC203" s="19">
        <v>0</v>
      </c>
      <c r="CD203" s="19">
        <v>0</v>
      </c>
      <c r="CE203" s="19">
        <v>0</v>
      </c>
      <c r="CF203" s="19">
        <v>0</v>
      </c>
      <c r="CG203" s="19">
        <v>0</v>
      </c>
      <c r="CH203" s="19">
        <v>0</v>
      </c>
      <c r="CI203" s="19">
        <v>0</v>
      </c>
      <c r="CJ203" s="19">
        <v>0</v>
      </c>
      <c r="CK203" s="19">
        <v>0</v>
      </c>
      <c r="CL203" s="19">
        <v>0</v>
      </c>
      <c r="CM203" s="19">
        <v>0</v>
      </c>
      <c r="CN203" s="19">
        <v>0</v>
      </c>
      <c r="CO203" s="19">
        <v>0</v>
      </c>
      <c r="CP203" s="19">
        <v>0</v>
      </c>
      <c r="CQ203" s="19">
        <v>0</v>
      </c>
      <c r="CR203" s="19">
        <v>0</v>
      </c>
      <c r="CS203" s="19">
        <v>0</v>
      </c>
      <c r="CT203" s="19">
        <v>0</v>
      </c>
      <c r="CU203" s="19">
        <v>0</v>
      </c>
      <c r="CV203" s="19">
        <v>0</v>
      </c>
      <c r="CW203" s="19">
        <v>0</v>
      </c>
      <c r="CX203" s="19">
        <v>0</v>
      </c>
      <c r="CY203" s="19">
        <v>0</v>
      </c>
      <c r="CZ203" s="19">
        <v>0</v>
      </c>
      <c r="DA203" s="19">
        <v>0</v>
      </c>
      <c r="DB203" s="19">
        <v>0</v>
      </c>
      <c r="DC203" s="19">
        <v>0</v>
      </c>
      <c r="DD203" s="19">
        <v>0</v>
      </c>
      <c r="DE203" s="19">
        <v>0</v>
      </c>
      <c r="DF203" s="19">
        <v>0</v>
      </c>
      <c r="DG203" s="19">
        <v>0</v>
      </c>
    </row>
    <row r="204" spans="2:111" x14ac:dyDescent="0.15">
      <c r="B204" s="19" t="str">
        <f t="shared" si="3"/>
        <v>1_女_3</v>
      </c>
      <c r="C204" s="18">
        <v>1</v>
      </c>
      <c r="D204" s="18" t="s">
        <v>2</v>
      </c>
      <c r="E204" s="18">
        <v>3</v>
      </c>
      <c r="F204" s="19">
        <v>17994.7</v>
      </c>
      <c r="G204" s="19">
        <v>18892.2</v>
      </c>
      <c r="H204" s="19">
        <v>19834.900000000001</v>
      </c>
      <c r="I204" s="19">
        <v>20825.099999999999</v>
      </c>
      <c r="J204" s="19">
        <v>20865.099999999999</v>
      </c>
      <c r="K204" s="19">
        <v>20907.099999999999</v>
      </c>
      <c r="L204" s="19">
        <v>20951.2</v>
      </c>
      <c r="M204" s="19">
        <v>20997.5</v>
      </c>
      <c r="N204" s="19">
        <v>21046.2</v>
      </c>
      <c r="O204" s="19">
        <v>21097.200000000001</v>
      </c>
      <c r="P204" s="19">
        <v>21150.7</v>
      </c>
      <c r="Q204" s="19">
        <v>21206.799999999999</v>
      </c>
      <c r="R204" s="19">
        <v>21265.7</v>
      </c>
      <c r="S204" s="19">
        <v>21327.4</v>
      </c>
      <c r="T204" s="19">
        <v>21392.2</v>
      </c>
      <c r="U204" s="19">
        <v>21460.1</v>
      </c>
      <c r="V204" s="19">
        <v>21531.3</v>
      </c>
      <c r="W204" s="19">
        <v>21606.1</v>
      </c>
      <c r="X204" s="19">
        <v>21684.5</v>
      </c>
      <c r="Y204" s="19">
        <v>21766.7</v>
      </c>
      <c r="Z204" s="19">
        <v>21853</v>
      </c>
      <c r="AA204" s="19">
        <v>21943.599999999999</v>
      </c>
      <c r="AB204" s="19">
        <v>22038.6</v>
      </c>
      <c r="AC204" s="19">
        <v>22138.3</v>
      </c>
      <c r="AD204" s="19">
        <v>22242.9</v>
      </c>
      <c r="AE204" s="19">
        <v>22352.7</v>
      </c>
      <c r="AF204" s="19">
        <v>22467.9</v>
      </c>
      <c r="AG204" s="19">
        <v>22588.7</v>
      </c>
      <c r="AH204" s="19">
        <v>22715.5</v>
      </c>
      <c r="AI204" s="19">
        <v>22848.5</v>
      </c>
      <c r="AJ204" s="19">
        <v>22988</v>
      </c>
      <c r="AK204" s="19">
        <v>23134.3</v>
      </c>
      <c r="AL204" s="19">
        <v>23287.7</v>
      </c>
      <c r="AM204" s="19">
        <v>23448.6</v>
      </c>
      <c r="AN204" s="19">
        <v>23617.200000000001</v>
      </c>
      <c r="AO204" s="19">
        <v>23794</v>
      </c>
      <c r="AP204" s="19">
        <v>23979.3</v>
      </c>
      <c r="AQ204" s="19">
        <v>24173.5</v>
      </c>
      <c r="AR204" s="19">
        <v>24377.200000000001</v>
      </c>
      <c r="AS204" s="19">
        <v>24590.6</v>
      </c>
      <c r="AT204" s="19">
        <v>24814.400000000001</v>
      </c>
      <c r="AU204" s="19">
        <v>25049</v>
      </c>
      <c r="AV204" s="19">
        <v>25295</v>
      </c>
      <c r="AW204" s="19">
        <v>25552.9</v>
      </c>
      <c r="AX204" s="19">
        <v>25823.4</v>
      </c>
      <c r="AY204" s="19">
        <v>26107.1</v>
      </c>
      <c r="AZ204" s="19">
        <v>26404.6</v>
      </c>
      <c r="BA204" s="19">
        <v>26716.7</v>
      </c>
      <c r="BB204" s="19">
        <v>27044.2</v>
      </c>
      <c r="BC204" s="19">
        <v>27387.8</v>
      </c>
      <c r="BD204" s="19">
        <v>27748.5</v>
      </c>
      <c r="BE204" s="19">
        <v>28127.1</v>
      </c>
      <c r="BF204" s="19">
        <v>28524.7</v>
      </c>
      <c r="BG204" s="19">
        <v>28942.3</v>
      </c>
      <c r="BH204" s="19">
        <v>29381</v>
      </c>
      <c r="BI204" s="19">
        <v>29842.2</v>
      </c>
      <c r="BJ204" s="19">
        <v>29327.1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0</v>
      </c>
      <c r="CO204" s="19">
        <v>0</v>
      </c>
      <c r="CP204" s="19">
        <v>0</v>
      </c>
      <c r="CQ204" s="19">
        <v>0</v>
      </c>
      <c r="CR204" s="19">
        <v>0</v>
      </c>
      <c r="CS204" s="19">
        <v>0</v>
      </c>
      <c r="CT204" s="19">
        <v>0</v>
      </c>
      <c r="CU204" s="19">
        <v>0</v>
      </c>
      <c r="CV204" s="19">
        <v>0</v>
      </c>
      <c r="CW204" s="19">
        <v>0</v>
      </c>
      <c r="CX204" s="19">
        <v>0</v>
      </c>
      <c r="CY204" s="19">
        <v>0</v>
      </c>
      <c r="CZ204" s="19">
        <v>0</v>
      </c>
      <c r="DA204" s="19">
        <v>0</v>
      </c>
      <c r="DB204" s="19">
        <v>0</v>
      </c>
      <c r="DC204" s="19">
        <v>0</v>
      </c>
      <c r="DD204" s="19">
        <v>0</v>
      </c>
      <c r="DE204" s="19">
        <v>0</v>
      </c>
      <c r="DF204" s="19">
        <v>0</v>
      </c>
      <c r="DG204" s="19">
        <v>0</v>
      </c>
    </row>
    <row r="205" spans="2:111" x14ac:dyDescent="0.15">
      <c r="B205" s="19" t="str">
        <f t="shared" si="3"/>
        <v>1_女_4</v>
      </c>
      <c r="C205" s="18">
        <v>1</v>
      </c>
      <c r="D205" s="18" t="s">
        <v>2</v>
      </c>
      <c r="E205" s="18">
        <v>4</v>
      </c>
      <c r="F205" s="19">
        <v>18028.8</v>
      </c>
      <c r="G205" s="19">
        <v>18928.3</v>
      </c>
      <c r="H205" s="19">
        <v>19873</v>
      </c>
      <c r="I205" s="19">
        <v>20865.2</v>
      </c>
      <c r="J205" s="19">
        <v>20907.2</v>
      </c>
      <c r="K205" s="19">
        <v>20951.400000000001</v>
      </c>
      <c r="L205" s="19">
        <v>20997.7</v>
      </c>
      <c r="M205" s="19">
        <v>21046.3</v>
      </c>
      <c r="N205" s="19">
        <v>21097.4</v>
      </c>
      <c r="O205" s="19">
        <v>21150.9</v>
      </c>
      <c r="P205" s="19">
        <v>21207</v>
      </c>
      <c r="Q205" s="19">
        <v>21265.9</v>
      </c>
      <c r="R205" s="19">
        <v>21327.599999999999</v>
      </c>
      <c r="S205" s="19">
        <v>21392.400000000001</v>
      </c>
      <c r="T205" s="19">
        <v>21460.3</v>
      </c>
      <c r="U205" s="19">
        <v>21531.599999999999</v>
      </c>
      <c r="V205" s="19">
        <v>21606.3</v>
      </c>
      <c r="W205" s="19">
        <v>21684.7</v>
      </c>
      <c r="X205" s="19">
        <v>21767</v>
      </c>
      <c r="Y205" s="19">
        <v>21853.3</v>
      </c>
      <c r="Z205" s="19">
        <v>21943.8</v>
      </c>
      <c r="AA205" s="19">
        <v>22038.9</v>
      </c>
      <c r="AB205" s="19">
        <v>22138.6</v>
      </c>
      <c r="AC205" s="19">
        <v>22243.200000000001</v>
      </c>
      <c r="AD205" s="19">
        <v>22353</v>
      </c>
      <c r="AE205" s="19">
        <v>22468.2</v>
      </c>
      <c r="AF205" s="19">
        <v>22589</v>
      </c>
      <c r="AG205" s="19">
        <v>22715.8</v>
      </c>
      <c r="AH205" s="19">
        <v>22848.9</v>
      </c>
      <c r="AI205" s="19">
        <v>22988.400000000001</v>
      </c>
      <c r="AJ205" s="19">
        <v>23134.7</v>
      </c>
      <c r="AK205" s="19">
        <v>23288.1</v>
      </c>
      <c r="AL205" s="19">
        <v>23448.9</v>
      </c>
      <c r="AM205" s="19">
        <v>23617.599999999999</v>
      </c>
      <c r="AN205" s="19">
        <v>23794.400000000001</v>
      </c>
      <c r="AO205" s="19">
        <v>23979.7</v>
      </c>
      <c r="AP205" s="19">
        <v>24174</v>
      </c>
      <c r="AQ205" s="19">
        <v>24377.599999999999</v>
      </c>
      <c r="AR205" s="19">
        <v>24591.1</v>
      </c>
      <c r="AS205" s="19">
        <v>24814.799999999999</v>
      </c>
      <c r="AT205" s="19">
        <v>25049.4</v>
      </c>
      <c r="AU205" s="19">
        <v>25295.4</v>
      </c>
      <c r="AV205" s="19">
        <v>25553.3</v>
      </c>
      <c r="AW205" s="19">
        <v>25823.8</v>
      </c>
      <c r="AX205" s="19">
        <v>26107.5</v>
      </c>
      <c r="AY205" s="19">
        <v>26405</v>
      </c>
      <c r="AZ205" s="19">
        <v>26717.1</v>
      </c>
      <c r="BA205" s="19">
        <v>27044.5</v>
      </c>
      <c r="BB205" s="19">
        <v>27388.1</v>
      </c>
      <c r="BC205" s="19">
        <v>27748.799999999999</v>
      </c>
      <c r="BD205" s="19">
        <v>28127.4</v>
      </c>
      <c r="BE205" s="19">
        <v>28524.9</v>
      </c>
      <c r="BF205" s="19">
        <v>28942.400000000001</v>
      </c>
      <c r="BG205" s="19">
        <v>29381.200000000001</v>
      </c>
      <c r="BH205" s="19">
        <v>29842.3</v>
      </c>
      <c r="BI205" s="19">
        <v>29327.1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19">
        <v>0</v>
      </c>
      <c r="CL205" s="19">
        <v>0</v>
      </c>
      <c r="CM205" s="19">
        <v>0</v>
      </c>
      <c r="CN205" s="19">
        <v>0</v>
      </c>
      <c r="CO205" s="19">
        <v>0</v>
      </c>
      <c r="CP205" s="19">
        <v>0</v>
      </c>
      <c r="CQ205" s="19">
        <v>0</v>
      </c>
      <c r="CR205" s="19">
        <v>0</v>
      </c>
      <c r="CS205" s="19">
        <v>0</v>
      </c>
      <c r="CT205" s="19">
        <v>0</v>
      </c>
      <c r="CU205" s="19">
        <v>0</v>
      </c>
      <c r="CV205" s="19">
        <v>0</v>
      </c>
      <c r="CW205" s="19">
        <v>0</v>
      </c>
      <c r="CX205" s="19">
        <v>0</v>
      </c>
      <c r="CY205" s="19">
        <v>0</v>
      </c>
      <c r="CZ205" s="19">
        <v>0</v>
      </c>
      <c r="DA205" s="19">
        <v>0</v>
      </c>
      <c r="DB205" s="19">
        <v>0</v>
      </c>
      <c r="DC205" s="19">
        <v>0</v>
      </c>
      <c r="DD205" s="19">
        <v>0</v>
      </c>
      <c r="DE205" s="19">
        <v>0</v>
      </c>
      <c r="DF205" s="19">
        <v>0</v>
      </c>
      <c r="DG205" s="19">
        <v>0</v>
      </c>
    </row>
    <row r="206" spans="2:111" x14ac:dyDescent="0.15">
      <c r="B206" s="19" t="str">
        <f t="shared" si="3"/>
        <v>1_女_5</v>
      </c>
      <c r="C206" s="18">
        <v>1</v>
      </c>
      <c r="D206" s="18" t="s">
        <v>2</v>
      </c>
      <c r="E206" s="18">
        <v>5</v>
      </c>
      <c r="F206" s="19">
        <v>18064.900000000001</v>
      </c>
      <c r="G206" s="19">
        <v>18966.3</v>
      </c>
      <c r="H206" s="19">
        <v>19913.099999999999</v>
      </c>
      <c r="I206" s="19">
        <v>20907.400000000001</v>
      </c>
      <c r="J206" s="19">
        <v>20951.5</v>
      </c>
      <c r="K206" s="19">
        <v>20997.9</v>
      </c>
      <c r="L206" s="19">
        <v>21046.5</v>
      </c>
      <c r="M206" s="19">
        <v>21097.599999999999</v>
      </c>
      <c r="N206" s="19">
        <v>21151.1</v>
      </c>
      <c r="O206" s="19">
        <v>21207.200000000001</v>
      </c>
      <c r="P206" s="19">
        <v>21266.1</v>
      </c>
      <c r="Q206" s="19">
        <v>21327.8</v>
      </c>
      <c r="R206" s="19">
        <v>21392.6</v>
      </c>
      <c r="S206" s="19">
        <v>21460.5</v>
      </c>
      <c r="T206" s="19">
        <v>21531.8</v>
      </c>
      <c r="U206" s="19">
        <v>21606.5</v>
      </c>
      <c r="V206" s="19">
        <v>21685</v>
      </c>
      <c r="W206" s="19">
        <v>21767.200000000001</v>
      </c>
      <c r="X206" s="19">
        <v>21853.5</v>
      </c>
      <c r="Y206" s="19">
        <v>21944.1</v>
      </c>
      <c r="Z206" s="19">
        <v>22039.1</v>
      </c>
      <c r="AA206" s="19">
        <v>22138.9</v>
      </c>
      <c r="AB206" s="19">
        <v>22243.5</v>
      </c>
      <c r="AC206" s="19">
        <v>22353.3</v>
      </c>
      <c r="AD206" s="19">
        <v>22468.5</v>
      </c>
      <c r="AE206" s="19">
        <v>22589.4</v>
      </c>
      <c r="AF206" s="19">
        <v>22716.2</v>
      </c>
      <c r="AG206" s="19">
        <v>22849.200000000001</v>
      </c>
      <c r="AH206" s="19">
        <v>22988.7</v>
      </c>
      <c r="AI206" s="19">
        <v>23135</v>
      </c>
      <c r="AJ206" s="19">
        <v>23288.5</v>
      </c>
      <c r="AK206" s="19">
        <v>23449.3</v>
      </c>
      <c r="AL206" s="19">
        <v>23618</v>
      </c>
      <c r="AM206" s="19">
        <v>23794.799999999999</v>
      </c>
      <c r="AN206" s="19">
        <v>23980.1</v>
      </c>
      <c r="AO206" s="19">
        <v>24174.400000000001</v>
      </c>
      <c r="AP206" s="19">
        <v>24378</v>
      </c>
      <c r="AQ206" s="19">
        <v>24591.5</v>
      </c>
      <c r="AR206" s="19">
        <v>24815.3</v>
      </c>
      <c r="AS206" s="19">
        <v>25049.9</v>
      </c>
      <c r="AT206" s="19">
        <v>25295.9</v>
      </c>
      <c r="AU206" s="19">
        <v>25553.8</v>
      </c>
      <c r="AV206" s="19">
        <v>25824.2</v>
      </c>
      <c r="AW206" s="19">
        <v>26107.9</v>
      </c>
      <c r="AX206" s="19">
        <v>26405.4</v>
      </c>
      <c r="AY206" s="19">
        <v>26717.5</v>
      </c>
      <c r="AZ206" s="19">
        <v>27044.9</v>
      </c>
      <c r="BA206" s="19">
        <v>27388.5</v>
      </c>
      <c r="BB206" s="19">
        <v>27749.1</v>
      </c>
      <c r="BC206" s="19">
        <v>28127.7</v>
      </c>
      <c r="BD206" s="19">
        <v>28525.1</v>
      </c>
      <c r="BE206" s="19">
        <v>28942.6</v>
      </c>
      <c r="BF206" s="19">
        <v>29381.3</v>
      </c>
      <c r="BG206" s="19">
        <v>29842.3</v>
      </c>
      <c r="BH206" s="19">
        <v>29327.1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  <c r="BT206" s="19">
        <v>0</v>
      </c>
      <c r="BU206" s="19">
        <v>0</v>
      </c>
      <c r="BV206" s="19">
        <v>0</v>
      </c>
      <c r="BW206" s="19">
        <v>0</v>
      </c>
      <c r="BX206" s="19">
        <v>0</v>
      </c>
      <c r="BY206" s="19">
        <v>0</v>
      </c>
      <c r="BZ206" s="19">
        <v>0</v>
      </c>
      <c r="CA206" s="19">
        <v>0</v>
      </c>
      <c r="CB206" s="19">
        <v>0</v>
      </c>
      <c r="CC206" s="19">
        <v>0</v>
      </c>
      <c r="CD206" s="19">
        <v>0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19">
        <v>0</v>
      </c>
      <c r="CL206" s="19">
        <v>0</v>
      </c>
      <c r="CM206" s="19">
        <v>0</v>
      </c>
      <c r="CN206" s="19">
        <v>0</v>
      </c>
      <c r="CO206" s="19">
        <v>0</v>
      </c>
      <c r="CP206" s="19">
        <v>0</v>
      </c>
      <c r="CQ206" s="19">
        <v>0</v>
      </c>
      <c r="CR206" s="19">
        <v>0</v>
      </c>
      <c r="CS206" s="19">
        <v>0</v>
      </c>
      <c r="CT206" s="19">
        <v>0</v>
      </c>
      <c r="CU206" s="19">
        <v>0</v>
      </c>
      <c r="CV206" s="19">
        <v>0</v>
      </c>
      <c r="CW206" s="19">
        <v>0</v>
      </c>
      <c r="CX206" s="19">
        <v>0</v>
      </c>
      <c r="CY206" s="19">
        <v>0</v>
      </c>
      <c r="CZ206" s="19">
        <v>0</v>
      </c>
      <c r="DA206" s="19">
        <v>0</v>
      </c>
      <c r="DB206" s="19">
        <v>0</v>
      </c>
      <c r="DC206" s="19">
        <v>0</v>
      </c>
      <c r="DD206" s="19">
        <v>0</v>
      </c>
      <c r="DE206" s="19">
        <v>0</v>
      </c>
      <c r="DF206" s="19">
        <v>0</v>
      </c>
      <c r="DG206" s="19">
        <v>0</v>
      </c>
    </row>
    <row r="207" spans="2:111" x14ac:dyDescent="0.15">
      <c r="B207" s="19" t="str">
        <f t="shared" si="3"/>
        <v>1_女_6</v>
      </c>
      <c r="C207" s="18">
        <v>1</v>
      </c>
      <c r="D207" s="18" t="s">
        <v>2</v>
      </c>
      <c r="E207" s="18">
        <v>6</v>
      </c>
      <c r="F207" s="19">
        <v>18102.900000000001</v>
      </c>
      <c r="G207" s="19">
        <v>19006.400000000001</v>
      </c>
      <c r="H207" s="19">
        <v>19955.3</v>
      </c>
      <c r="I207" s="19">
        <v>20951.7</v>
      </c>
      <c r="J207" s="19">
        <v>20998.1</v>
      </c>
      <c r="K207" s="19">
        <v>21046.7</v>
      </c>
      <c r="L207" s="19">
        <v>21097.8</v>
      </c>
      <c r="M207" s="19">
        <v>21151.3</v>
      </c>
      <c r="N207" s="19">
        <v>21207.4</v>
      </c>
      <c r="O207" s="19">
        <v>21266.3</v>
      </c>
      <c r="P207" s="19">
        <v>21328.1</v>
      </c>
      <c r="Q207" s="19">
        <v>21392.799999999999</v>
      </c>
      <c r="R207" s="19">
        <v>21460.799999999999</v>
      </c>
      <c r="S207" s="19">
        <v>21532</v>
      </c>
      <c r="T207" s="19">
        <v>21606.799999999999</v>
      </c>
      <c r="U207" s="19">
        <v>21685.200000000001</v>
      </c>
      <c r="V207" s="19">
        <v>21767.5</v>
      </c>
      <c r="W207" s="19">
        <v>21853.8</v>
      </c>
      <c r="X207" s="19">
        <v>21944.400000000001</v>
      </c>
      <c r="Y207" s="19">
        <v>22039.4</v>
      </c>
      <c r="Z207" s="19">
        <v>22139.200000000001</v>
      </c>
      <c r="AA207" s="19">
        <v>22243.8</v>
      </c>
      <c r="AB207" s="19">
        <v>22353.599999999999</v>
      </c>
      <c r="AC207" s="19">
        <v>22468.799999999999</v>
      </c>
      <c r="AD207" s="19">
        <v>22589.7</v>
      </c>
      <c r="AE207" s="19">
        <v>22716.5</v>
      </c>
      <c r="AF207" s="19">
        <v>22849.599999999999</v>
      </c>
      <c r="AG207" s="19">
        <v>22989.1</v>
      </c>
      <c r="AH207" s="19">
        <v>23135.4</v>
      </c>
      <c r="AI207" s="19">
        <v>23288.9</v>
      </c>
      <c r="AJ207" s="19">
        <v>23449.7</v>
      </c>
      <c r="AK207" s="19">
        <v>23618.400000000001</v>
      </c>
      <c r="AL207" s="19">
        <v>23795.200000000001</v>
      </c>
      <c r="AM207" s="19">
        <v>23980.5</v>
      </c>
      <c r="AN207" s="19">
        <v>24174.799999999999</v>
      </c>
      <c r="AO207" s="19">
        <v>24378.5</v>
      </c>
      <c r="AP207" s="19">
        <v>24591.9</v>
      </c>
      <c r="AQ207" s="19">
        <v>24815.7</v>
      </c>
      <c r="AR207" s="19">
        <v>25050.3</v>
      </c>
      <c r="AS207" s="19">
        <v>25296.3</v>
      </c>
      <c r="AT207" s="19">
        <v>25554.2</v>
      </c>
      <c r="AU207" s="19">
        <v>25824.7</v>
      </c>
      <c r="AV207" s="19">
        <v>26108.3</v>
      </c>
      <c r="AW207" s="19">
        <v>26405.8</v>
      </c>
      <c r="AX207" s="19">
        <v>26717.9</v>
      </c>
      <c r="AY207" s="19">
        <v>27045.3</v>
      </c>
      <c r="AZ207" s="19">
        <v>27388.9</v>
      </c>
      <c r="BA207" s="19">
        <v>27749.4</v>
      </c>
      <c r="BB207" s="19">
        <v>28127.9</v>
      </c>
      <c r="BC207" s="19">
        <v>28525.4</v>
      </c>
      <c r="BD207" s="19">
        <v>28942.799999999999</v>
      </c>
      <c r="BE207" s="19">
        <v>29381.4</v>
      </c>
      <c r="BF207" s="19">
        <v>29842.400000000001</v>
      </c>
      <c r="BG207" s="19">
        <v>29327.1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19">
        <v>0</v>
      </c>
      <c r="CL207" s="19">
        <v>0</v>
      </c>
      <c r="CM207" s="19">
        <v>0</v>
      </c>
      <c r="CN207" s="19">
        <v>0</v>
      </c>
      <c r="CO207" s="19">
        <v>0</v>
      </c>
      <c r="CP207" s="19">
        <v>0</v>
      </c>
      <c r="CQ207" s="19">
        <v>0</v>
      </c>
      <c r="CR207" s="19">
        <v>0</v>
      </c>
      <c r="CS207" s="19">
        <v>0</v>
      </c>
      <c r="CT207" s="19">
        <v>0</v>
      </c>
      <c r="CU207" s="19">
        <v>0</v>
      </c>
      <c r="CV207" s="19">
        <v>0</v>
      </c>
      <c r="CW207" s="19">
        <v>0</v>
      </c>
      <c r="CX207" s="19">
        <v>0</v>
      </c>
      <c r="CY207" s="19">
        <v>0</v>
      </c>
      <c r="CZ207" s="19">
        <v>0</v>
      </c>
      <c r="DA207" s="19">
        <v>0</v>
      </c>
      <c r="DB207" s="19">
        <v>0</v>
      </c>
      <c r="DC207" s="19">
        <v>0</v>
      </c>
      <c r="DD207" s="19">
        <v>0</v>
      </c>
      <c r="DE207" s="19">
        <v>0</v>
      </c>
      <c r="DF207" s="19">
        <v>0</v>
      </c>
      <c r="DG207" s="19">
        <v>0</v>
      </c>
    </row>
    <row r="208" spans="2:111" x14ac:dyDescent="0.15">
      <c r="B208" s="19" t="str">
        <f t="shared" si="3"/>
        <v>1_女_7</v>
      </c>
      <c r="C208" s="18">
        <v>1</v>
      </c>
      <c r="D208" s="18" t="s">
        <v>2</v>
      </c>
      <c r="E208" s="18">
        <v>7</v>
      </c>
      <c r="F208" s="19">
        <v>18143</v>
      </c>
      <c r="G208" s="19">
        <v>19048.599999999999</v>
      </c>
      <c r="H208" s="19">
        <v>19999.599999999999</v>
      </c>
      <c r="I208" s="19">
        <v>20998.3</v>
      </c>
      <c r="J208" s="19">
        <v>21046.9</v>
      </c>
      <c r="K208" s="19">
        <v>21098</v>
      </c>
      <c r="L208" s="19">
        <v>21151.5</v>
      </c>
      <c r="M208" s="19">
        <v>21207.7</v>
      </c>
      <c r="N208" s="19">
        <v>21266.5</v>
      </c>
      <c r="O208" s="19">
        <v>21328.3</v>
      </c>
      <c r="P208" s="19">
        <v>21393.1</v>
      </c>
      <c r="Q208" s="19">
        <v>21461</v>
      </c>
      <c r="R208" s="19">
        <v>21532.3</v>
      </c>
      <c r="S208" s="19">
        <v>21607.1</v>
      </c>
      <c r="T208" s="19">
        <v>21685.5</v>
      </c>
      <c r="U208" s="19">
        <v>21767.8</v>
      </c>
      <c r="V208" s="19">
        <v>21854.1</v>
      </c>
      <c r="W208" s="19">
        <v>21944.7</v>
      </c>
      <c r="X208" s="19">
        <v>22039.7</v>
      </c>
      <c r="Y208" s="19">
        <v>22139.5</v>
      </c>
      <c r="Z208" s="19">
        <v>22244.1</v>
      </c>
      <c r="AA208" s="19">
        <v>22354</v>
      </c>
      <c r="AB208" s="19">
        <v>22469.200000000001</v>
      </c>
      <c r="AC208" s="19">
        <v>22590.1</v>
      </c>
      <c r="AD208" s="19">
        <v>22716.9</v>
      </c>
      <c r="AE208" s="19">
        <v>22850</v>
      </c>
      <c r="AF208" s="19">
        <v>22989.5</v>
      </c>
      <c r="AG208" s="19">
        <v>23135.8</v>
      </c>
      <c r="AH208" s="19">
        <v>23289.3</v>
      </c>
      <c r="AI208" s="19">
        <v>23450.2</v>
      </c>
      <c r="AJ208" s="19">
        <v>23618.799999999999</v>
      </c>
      <c r="AK208" s="19">
        <v>23795.599999999999</v>
      </c>
      <c r="AL208" s="19">
        <v>23981</v>
      </c>
      <c r="AM208" s="19">
        <v>24175.3</v>
      </c>
      <c r="AN208" s="19">
        <v>24378.9</v>
      </c>
      <c r="AO208" s="19">
        <v>24592.400000000001</v>
      </c>
      <c r="AP208" s="19">
        <v>24816.2</v>
      </c>
      <c r="AQ208" s="19">
        <v>25050.799999999999</v>
      </c>
      <c r="AR208" s="19">
        <v>25296.799999999999</v>
      </c>
      <c r="AS208" s="19">
        <v>25554.7</v>
      </c>
      <c r="AT208" s="19">
        <v>25825.1</v>
      </c>
      <c r="AU208" s="19">
        <v>26108.7</v>
      </c>
      <c r="AV208" s="19">
        <v>26406.2</v>
      </c>
      <c r="AW208" s="19">
        <v>26718.3</v>
      </c>
      <c r="AX208" s="19">
        <v>27045.7</v>
      </c>
      <c r="AY208" s="19">
        <v>27389.200000000001</v>
      </c>
      <c r="AZ208" s="19">
        <v>27749.8</v>
      </c>
      <c r="BA208" s="19">
        <v>28128.2</v>
      </c>
      <c r="BB208" s="19">
        <v>28525.7</v>
      </c>
      <c r="BC208" s="19">
        <v>28943</v>
      </c>
      <c r="BD208" s="19">
        <v>29381.599999999999</v>
      </c>
      <c r="BE208" s="19">
        <v>29842.5</v>
      </c>
      <c r="BF208" s="19">
        <v>29327.1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>
        <v>0</v>
      </c>
      <c r="BW208" s="19">
        <v>0</v>
      </c>
      <c r="BX208" s="19">
        <v>0</v>
      </c>
      <c r="BY208" s="19">
        <v>0</v>
      </c>
      <c r="BZ208" s="19">
        <v>0</v>
      </c>
      <c r="CA208" s="19">
        <v>0</v>
      </c>
      <c r="CB208" s="19">
        <v>0</v>
      </c>
      <c r="CC208" s="19">
        <v>0</v>
      </c>
      <c r="CD208" s="19">
        <v>0</v>
      </c>
      <c r="CE208" s="19">
        <v>0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19">
        <v>0</v>
      </c>
      <c r="CL208" s="19">
        <v>0</v>
      </c>
      <c r="CM208" s="19">
        <v>0</v>
      </c>
      <c r="CN208" s="19">
        <v>0</v>
      </c>
      <c r="CO208" s="19">
        <v>0</v>
      </c>
      <c r="CP208" s="19">
        <v>0</v>
      </c>
      <c r="CQ208" s="19">
        <v>0</v>
      </c>
      <c r="CR208" s="19">
        <v>0</v>
      </c>
      <c r="CS208" s="19">
        <v>0</v>
      </c>
      <c r="CT208" s="19">
        <v>0</v>
      </c>
      <c r="CU208" s="19">
        <v>0</v>
      </c>
      <c r="CV208" s="19">
        <v>0</v>
      </c>
      <c r="CW208" s="19">
        <v>0</v>
      </c>
      <c r="CX208" s="19">
        <v>0</v>
      </c>
      <c r="CY208" s="19">
        <v>0</v>
      </c>
      <c r="CZ208" s="19">
        <v>0</v>
      </c>
      <c r="DA208" s="19">
        <v>0</v>
      </c>
      <c r="DB208" s="19">
        <v>0</v>
      </c>
      <c r="DC208" s="19">
        <v>0</v>
      </c>
      <c r="DD208" s="19">
        <v>0</v>
      </c>
      <c r="DE208" s="19">
        <v>0</v>
      </c>
      <c r="DF208" s="19">
        <v>0</v>
      </c>
      <c r="DG208" s="19">
        <v>0</v>
      </c>
    </row>
    <row r="209" spans="2:111" x14ac:dyDescent="0.15">
      <c r="B209" s="19" t="str">
        <f t="shared" si="3"/>
        <v>1_女_8</v>
      </c>
      <c r="C209" s="18">
        <v>1</v>
      </c>
      <c r="D209" s="18" t="s">
        <v>2</v>
      </c>
      <c r="E209" s="18">
        <v>8</v>
      </c>
      <c r="F209" s="19">
        <v>18185.2</v>
      </c>
      <c r="G209" s="19">
        <v>19093</v>
      </c>
      <c r="H209" s="19">
        <v>20046.2</v>
      </c>
      <c r="I209" s="19">
        <v>21047.1</v>
      </c>
      <c r="J209" s="19">
        <v>21098.2</v>
      </c>
      <c r="K209" s="19">
        <v>21151.7</v>
      </c>
      <c r="L209" s="19">
        <v>21207.9</v>
      </c>
      <c r="M209" s="19">
        <v>21266.799999999999</v>
      </c>
      <c r="N209" s="19">
        <v>21328.5</v>
      </c>
      <c r="O209" s="19">
        <v>21393.3</v>
      </c>
      <c r="P209" s="19">
        <v>21461.3</v>
      </c>
      <c r="Q209" s="19">
        <v>21532.6</v>
      </c>
      <c r="R209" s="19">
        <v>21607.3</v>
      </c>
      <c r="S209" s="19">
        <v>21685.8</v>
      </c>
      <c r="T209" s="19">
        <v>21768.1</v>
      </c>
      <c r="U209" s="19">
        <v>21854.400000000001</v>
      </c>
      <c r="V209" s="19">
        <v>21945</v>
      </c>
      <c r="W209" s="19">
        <v>22040.1</v>
      </c>
      <c r="X209" s="19">
        <v>22139.8</v>
      </c>
      <c r="Y209" s="19">
        <v>22244.5</v>
      </c>
      <c r="Z209" s="19">
        <v>22354.3</v>
      </c>
      <c r="AA209" s="19">
        <v>22469.5</v>
      </c>
      <c r="AB209" s="19">
        <v>22590.5</v>
      </c>
      <c r="AC209" s="19">
        <v>22717.3</v>
      </c>
      <c r="AD209" s="19">
        <v>22850.3</v>
      </c>
      <c r="AE209" s="19">
        <v>22989.9</v>
      </c>
      <c r="AF209" s="19">
        <v>23136.2</v>
      </c>
      <c r="AG209" s="19">
        <v>23289.7</v>
      </c>
      <c r="AH209" s="19">
        <v>23450.6</v>
      </c>
      <c r="AI209" s="19">
        <v>23619.3</v>
      </c>
      <c r="AJ209" s="19">
        <v>23796.1</v>
      </c>
      <c r="AK209" s="19">
        <v>23981.4</v>
      </c>
      <c r="AL209" s="19">
        <v>24175.7</v>
      </c>
      <c r="AM209" s="19">
        <v>24379.4</v>
      </c>
      <c r="AN209" s="19">
        <v>24592.9</v>
      </c>
      <c r="AO209" s="19">
        <v>24816.7</v>
      </c>
      <c r="AP209" s="19">
        <v>25051.3</v>
      </c>
      <c r="AQ209" s="19">
        <v>25297.200000000001</v>
      </c>
      <c r="AR209" s="19">
        <v>25555.1</v>
      </c>
      <c r="AS209" s="19">
        <v>25825.599999999999</v>
      </c>
      <c r="AT209" s="19">
        <v>26109.200000000001</v>
      </c>
      <c r="AU209" s="19">
        <v>26406.7</v>
      </c>
      <c r="AV209" s="19">
        <v>26718.7</v>
      </c>
      <c r="AW209" s="19">
        <v>27046.1</v>
      </c>
      <c r="AX209" s="19">
        <v>27389.599999999999</v>
      </c>
      <c r="AY209" s="19">
        <v>27750.1</v>
      </c>
      <c r="AZ209" s="19">
        <v>28128.6</v>
      </c>
      <c r="BA209" s="19">
        <v>28525.9</v>
      </c>
      <c r="BB209" s="19">
        <v>28943.3</v>
      </c>
      <c r="BC209" s="19">
        <v>29381.7</v>
      </c>
      <c r="BD209" s="19">
        <v>29842.6</v>
      </c>
      <c r="BE209" s="19">
        <v>29327.1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>
        <v>0</v>
      </c>
      <c r="BW209" s="19">
        <v>0</v>
      </c>
      <c r="BX209" s="19">
        <v>0</v>
      </c>
      <c r="BY209" s="19">
        <v>0</v>
      </c>
      <c r="BZ209" s="19">
        <v>0</v>
      </c>
      <c r="CA209" s="19">
        <v>0</v>
      </c>
      <c r="CB209" s="19">
        <v>0</v>
      </c>
      <c r="CC209" s="19">
        <v>0</v>
      </c>
      <c r="CD209" s="19">
        <v>0</v>
      </c>
      <c r="CE209" s="19">
        <v>0</v>
      </c>
      <c r="CF209" s="19">
        <v>0</v>
      </c>
      <c r="CG209" s="19">
        <v>0</v>
      </c>
      <c r="CH209" s="19">
        <v>0</v>
      </c>
      <c r="CI209" s="19">
        <v>0</v>
      </c>
      <c r="CJ209" s="19">
        <v>0</v>
      </c>
      <c r="CK209" s="19">
        <v>0</v>
      </c>
      <c r="CL209" s="19">
        <v>0</v>
      </c>
      <c r="CM209" s="19">
        <v>0</v>
      </c>
      <c r="CN209" s="19">
        <v>0</v>
      </c>
      <c r="CO209" s="19">
        <v>0</v>
      </c>
      <c r="CP209" s="19">
        <v>0</v>
      </c>
      <c r="CQ209" s="19">
        <v>0</v>
      </c>
      <c r="CR209" s="19">
        <v>0</v>
      </c>
      <c r="CS209" s="19">
        <v>0</v>
      </c>
      <c r="CT209" s="19">
        <v>0</v>
      </c>
      <c r="CU209" s="19">
        <v>0</v>
      </c>
      <c r="CV209" s="19">
        <v>0</v>
      </c>
      <c r="CW209" s="19">
        <v>0</v>
      </c>
      <c r="CX209" s="19">
        <v>0</v>
      </c>
      <c r="CY209" s="19">
        <v>0</v>
      </c>
      <c r="CZ209" s="19">
        <v>0</v>
      </c>
      <c r="DA209" s="19">
        <v>0</v>
      </c>
      <c r="DB209" s="19">
        <v>0</v>
      </c>
      <c r="DC209" s="19">
        <v>0</v>
      </c>
      <c r="DD209" s="19">
        <v>0</v>
      </c>
      <c r="DE209" s="19">
        <v>0</v>
      </c>
      <c r="DF209" s="19">
        <v>0</v>
      </c>
      <c r="DG209" s="19">
        <v>0</v>
      </c>
    </row>
    <row r="210" spans="2:111" x14ac:dyDescent="0.15">
      <c r="B210" s="19" t="str">
        <f t="shared" si="3"/>
        <v>1_女_9</v>
      </c>
      <c r="C210" s="18">
        <v>1</v>
      </c>
      <c r="D210" s="18" t="s">
        <v>2</v>
      </c>
      <c r="E210" s="18">
        <v>9</v>
      </c>
      <c r="F210" s="19">
        <v>18229.599999999999</v>
      </c>
      <c r="G210" s="19">
        <v>19139.5</v>
      </c>
      <c r="H210" s="19">
        <v>20095.099999999999</v>
      </c>
      <c r="I210" s="19">
        <v>21098.400000000001</v>
      </c>
      <c r="J210" s="19">
        <v>21152</v>
      </c>
      <c r="K210" s="19">
        <v>21208.1</v>
      </c>
      <c r="L210" s="19">
        <v>21267</v>
      </c>
      <c r="M210" s="19">
        <v>21328.799999999999</v>
      </c>
      <c r="N210" s="19">
        <v>21393.599999999999</v>
      </c>
      <c r="O210" s="19">
        <v>21461.5</v>
      </c>
      <c r="P210" s="19">
        <v>21532.799999999999</v>
      </c>
      <c r="Q210" s="19">
        <v>21607.599999999999</v>
      </c>
      <c r="R210" s="19">
        <v>21686.1</v>
      </c>
      <c r="S210" s="19">
        <v>21768.400000000001</v>
      </c>
      <c r="T210" s="19">
        <v>21854.7</v>
      </c>
      <c r="U210" s="19">
        <v>21945.3</v>
      </c>
      <c r="V210" s="19">
        <v>22040.400000000001</v>
      </c>
      <c r="W210" s="19">
        <v>22140.1</v>
      </c>
      <c r="X210" s="19">
        <v>22244.799999999999</v>
      </c>
      <c r="Y210" s="19">
        <v>22354.7</v>
      </c>
      <c r="Z210" s="19">
        <v>22469.9</v>
      </c>
      <c r="AA210" s="19">
        <v>22590.799999999999</v>
      </c>
      <c r="AB210" s="19">
        <v>22717.7</v>
      </c>
      <c r="AC210" s="19">
        <v>22850.7</v>
      </c>
      <c r="AD210" s="19">
        <v>22990.3</v>
      </c>
      <c r="AE210" s="19">
        <v>23136.7</v>
      </c>
      <c r="AF210" s="19">
        <v>23290.1</v>
      </c>
      <c r="AG210" s="19">
        <v>23451</v>
      </c>
      <c r="AH210" s="19">
        <v>23619.7</v>
      </c>
      <c r="AI210" s="19">
        <v>23796.5</v>
      </c>
      <c r="AJ210" s="19">
        <v>23981.9</v>
      </c>
      <c r="AK210" s="19">
        <v>24176.2</v>
      </c>
      <c r="AL210" s="19">
        <v>24379.9</v>
      </c>
      <c r="AM210" s="19">
        <v>24593.4</v>
      </c>
      <c r="AN210" s="19">
        <v>24817.200000000001</v>
      </c>
      <c r="AO210" s="19">
        <v>25051.8</v>
      </c>
      <c r="AP210" s="19">
        <v>25297.7</v>
      </c>
      <c r="AQ210" s="19">
        <v>25555.599999999999</v>
      </c>
      <c r="AR210" s="19">
        <v>25826.1</v>
      </c>
      <c r="AS210" s="19">
        <v>26109.7</v>
      </c>
      <c r="AT210" s="19">
        <v>26407.1</v>
      </c>
      <c r="AU210" s="19">
        <v>26719.200000000001</v>
      </c>
      <c r="AV210" s="19">
        <v>27046.5</v>
      </c>
      <c r="AW210" s="19">
        <v>27390</v>
      </c>
      <c r="AX210" s="19">
        <v>27750.5</v>
      </c>
      <c r="AY210" s="19">
        <v>28128.9</v>
      </c>
      <c r="AZ210" s="19">
        <v>28526.2</v>
      </c>
      <c r="BA210" s="19">
        <v>28943.5</v>
      </c>
      <c r="BB210" s="19">
        <v>29381.9</v>
      </c>
      <c r="BC210" s="19">
        <v>29842.7</v>
      </c>
      <c r="BD210" s="19">
        <v>29327.1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>
        <v>0</v>
      </c>
      <c r="BW210" s="19">
        <v>0</v>
      </c>
      <c r="BX210" s="19">
        <v>0</v>
      </c>
      <c r="BY210" s="19">
        <v>0</v>
      </c>
      <c r="BZ210" s="19">
        <v>0</v>
      </c>
      <c r="CA210" s="19">
        <v>0</v>
      </c>
      <c r="CB210" s="19">
        <v>0</v>
      </c>
      <c r="CC210" s="19">
        <v>0</v>
      </c>
      <c r="CD210" s="19">
        <v>0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19">
        <v>0</v>
      </c>
      <c r="CL210" s="19">
        <v>0</v>
      </c>
      <c r="CM210" s="19">
        <v>0</v>
      </c>
      <c r="CN210" s="19">
        <v>0</v>
      </c>
      <c r="CO210" s="19">
        <v>0</v>
      </c>
      <c r="CP210" s="19">
        <v>0</v>
      </c>
      <c r="CQ210" s="19">
        <v>0</v>
      </c>
      <c r="CR210" s="19">
        <v>0</v>
      </c>
      <c r="CS210" s="19">
        <v>0</v>
      </c>
      <c r="CT210" s="19">
        <v>0</v>
      </c>
      <c r="CU210" s="19">
        <v>0</v>
      </c>
      <c r="CV210" s="19">
        <v>0</v>
      </c>
      <c r="CW210" s="19">
        <v>0</v>
      </c>
      <c r="CX210" s="19">
        <v>0</v>
      </c>
      <c r="CY210" s="19">
        <v>0</v>
      </c>
      <c r="CZ210" s="19">
        <v>0</v>
      </c>
      <c r="DA210" s="19">
        <v>0</v>
      </c>
      <c r="DB210" s="19">
        <v>0</v>
      </c>
      <c r="DC210" s="19">
        <v>0</v>
      </c>
      <c r="DD210" s="19">
        <v>0</v>
      </c>
      <c r="DE210" s="19">
        <v>0</v>
      </c>
      <c r="DF210" s="19">
        <v>0</v>
      </c>
      <c r="DG210" s="19">
        <v>0</v>
      </c>
    </row>
    <row r="211" spans="2:111" x14ac:dyDescent="0.15">
      <c r="B211" s="19" t="str">
        <f t="shared" si="3"/>
        <v>1_女_10</v>
      </c>
      <c r="C211" s="18">
        <v>1</v>
      </c>
      <c r="D211" s="18" t="s">
        <v>2</v>
      </c>
      <c r="E211" s="18">
        <v>10</v>
      </c>
      <c r="F211" s="19">
        <v>18276.2</v>
      </c>
      <c r="G211" s="19">
        <v>19188.400000000001</v>
      </c>
      <c r="H211" s="19">
        <v>20146.400000000001</v>
      </c>
      <c r="I211" s="19">
        <v>21152.2</v>
      </c>
      <c r="J211" s="19">
        <v>21208.400000000001</v>
      </c>
      <c r="K211" s="19">
        <v>21267.3</v>
      </c>
      <c r="L211" s="19">
        <v>21329</v>
      </c>
      <c r="M211" s="19">
        <v>21393.9</v>
      </c>
      <c r="N211" s="19">
        <v>21461.8</v>
      </c>
      <c r="O211" s="19">
        <v>21533.1</v>
      </c>
      <c r="P211" s="19">
        <v>21607.9</v>
      </c>
      <c r="Q211" s="19">
        <v>21686.400000000001</v>
      </c>
      <c r="R211" s="19">
        <v>21768.7</v>
      </c>
      <c r="S211" s="19">
        <v>21855</v>
      </c>
      <c r="T211" s="19">
        <v>21945.599999999999</v>
      </c>
      <c r="U211" s="19">
        <v>22040.7</v>
      </c>
      <c r="V211" s="19">
        <v>22140.5</v>
      </c>
      <c r="W211" s="19">
        <v>22245.200000000001</v>
      </c>
      <c r="X211" s="19">
        <v>22355</v>
      </c>
      <c r="Y211" s="19">
        <v>22470.3</v>
      </c>
      <c r="Z211" s="19">
        <v>22591.200000000001</v>
      </c>
      <c r="AA211" s="19">
        <v>22718.1</v>
      </c>
      <c r="AB211" s="19">
        <v>22851.200000000001</v>
      </c>
      <c r="AC211" s="19">
        <v>22990.7</v>
      </c>
      <c r="AD211" s="19">
        <v>23137.1</v>
      </c>
      <c r="AE211" s="19">
        <v>23290.6</v>
      </c>
      <c r="AF211" s="19">
        <v>23451.5</v>
      </c>
      <c r="AG211" s="19">
        <v>23620.2</v>
      </c>
      <c r="AH211" s="19">
        <v>23797</v>
      </c>
      <c r="AI211" s="19">
        <v>23982.400000000001</v>
      </c>
      <c r="AJ211" s="19">
        <v>24176.7</v>
      </c>
      <c r="AK211" s="19">
        <v>24380.400000000001</v>
      </c>
      <c r="AL211" s="19">
        <v>24593.9</v>
      </c>
      <c r="AM211" s="19">
        <v>24817.7</v>
      </c>
      <c r="AN211" s="19">
        <v>25052.3</v>
      </c>
      <c r="AO211" s="19">
        <v>25298.2</v>
      </c>
      <c r="AP211" s="19">
        <v>25556.1</v>
      </c>
      <c r="AQ211" s="19">
        <v>25826.6</v>
      </c>
      <c r="AR211" s="19">
        <v>26110.2</v>
      </c>
      <c r="AS211" s="19">
        <v>26407.599999999999</v>
      </c>
      <c r="AT211" s="19">
        <v>26719.599999999999</v>
      </c>
      <c r="AU211" s="19">
        <v>27046.9</v>
      </c>
      <c r="AV211" s="19">
        <v>27390.400000000001</v>
      </c>
      <c r="AW211" s="19">
        <v>27750.799999999999</v>
      </c>
      <c r="AX211" s="19">
        <v>28129.200000000001</v>
      </c>
      <c r="AY211" s="19">
        <v>28526.5</v>
      </c>
      <c r="AZ211" s="19">
        <v>28943.7</v>
      </c>
      <c r="BA211" s="19">
        <v>29382.1</v>
      </c>
      <c r="BB211" s="19">
        <v>29842.7</v>
      </c>
      <c r="BC211" s="19">
        <v>29327.1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19">
        <v>0</v>
      </c>
      <c r="CL211" s="19">
        <v>0</v>
      </c>
      <c r="CM211" s="19">
        <v>0</v>
      </c>
      <c r="CN211" s="19">
        <v>0</v>
      </c>
      <c r="CO211" s="19">
        <v>0</v>
      </c>
      <c r="CP211" s="19">
        <v>0</v>
      </c>
      <c r="CQ211" s="19">
        <v>0</v>
      </c>
      <c r="CR211" s="19">
        <v>0</v>
      </c>
      <c r="CS211" s="19">
        <v>0</v>
      </c>
      <c r="CT211" s="19">
        <v>0</v>
      </c>
      <c r="CU211" s="19">
        <v>0</v>
      </c>
      <c r="CV211" s="19">
        <v>0</v>
      </c>
      <c r="CW211" s="19">
        <v>0</v>
      </c>
      <c r="CX211" s="19">
        <v>0</v>
      </c>
      <c r="CY211" s="19">
        <v>0</v>
      </c>
      <c r="CZ211" s="19">
        <v>0</v>
      </c>
      <c r="DA211" s="19">
        <v>0</v>
      </c>
      <c r="DB211" s="19">
        <v>0</v>
      </c>
      <c r="DC211" s="19">
        <v>0</v>
      </c>
      <c r="DD211" s="19">
        <v>0</v>
      </c>
      <c r="DE211" s="19">
        <v>0</v>
      </c>
      <c r="DF211" s="19">
        <v>0</v>
      </c>
      <c r="DG211" s="19">
        <v>0</v>
      </c>
    </row>
    <row r="212" spans="2:111" x14ac:dyDescent="0.15">
      <c r="B212" s="19" t="str">
        <f t="shared" si="3"/>
        <v>1_女_11</v>
      </c>
      <c r="C212" s="18">
        <v>1</v>
      </c>
      <c r="D212" s="18" t="s">
        <v>2</v>
      </c>
      <c r="E212" s="18">
        <v>11</v>
      </c>
      <c r="F212" s="19">
        <v>18325.099999999999</v>
      </c>
      <c r="G212" s="19">
        <v>19239.8</v>
      </c>
      <c r="H212" s="19">
        <v>20200.2</v>
      </c>
      <c r="I212" s="19">
        <v>21208.6</v>
      </c>
      <c r="J212" s="19">
        <v>21267.5</v>
      </c>
      <c r="K212" s="19">
        <v>21329.3</v>
      </c>
      <c r="L212" s="19">
        <v>21394.1</v>
      </c>
      <c r="M212" s="19">
        <v>21462.1</v>
      </c>
      <c r="N212" s="19">
        <v>21533.4</v>
      </c>
      <c r="O212" s="19">
        <v>21608.2</v>
      </c>
      <c r="P212" s="19">
        <v>21686.7</v>
      </c>
      <c r="Q212" s="19">
        <v>21769</v>
      </c>
      <c r="R212" s="19">
        <v>21855.4</v>
      </c>
      <c r="S212" s="19">
        <v>21946</v>
      </c>
      <c r="T212" s="19">
        <v>22041.1</v>
      </c>
      <c r="U212" s="19">
        <v>22140.9</v>
      </c>
      <c r="V212" s="19">
        <v>22245.599999999999</v>
      </c>
      <c r="W212" s="19">
        <v>22355.4</v>
      </c>
      <c r="X212" s="19">
        <v>22470.7</v>
      </c>
      <c r="Y212" s="19">
        <v>22591.599999999999</v>
      </c>
      <c r="Z212" s="19">
        <v>22718.5</v>
      </c>
      <c r="AA212" s="19">
        <v>22851.599999999999</v>
      </c>
      <c r="AB212" s="19">
        <v>22991.200000000001</v>
      </c>
      <c r="AC212" s="19">
        <v>23137.599999999999</v>
      </c>
      <c r="AD212" s="19">
        <v>23291</v>
      </c>
      <c r="AE212" s="19">
        <v>23452</v>
      </c>
      <c r="AF212" s="19">
        <v>23620.7</v>
      </c>
      <c r="AG212" s="19">
        <v>23797.5</v>
      </c>
      <c r="AH212" s="19">
        <v>23982.9</v>
      </c>
      <c r="AI212" s="19">
        <v>24177.200000000001</v>
      </c>
      <c r="AJ212" s="19">
        <v>24380.9</v>
      </c>
      <c r="AK212" s="19">
        <v>24594.400000000001</v>
      </c>
      <c r="AL212" s="19">
        <v>24818.2</v>
      </c>
      <c r="AM212" s="19">
        <v>25052.799999999999</v>
      </c>
      <c r="AN212" s="19">
        <v>25298.799999999999</v>
      </c>
      <c r="AO212" s="19">
        <v>25556.6</v>
      </c>
      <c r="AP212" s="19">
        <v>25827.1</v>
      </c>
      <c r="AQ212" s="19">
        <v>26110.7</v>
      </c>
      <c r="AR212" s="19">
        <v>26408.1</v>
      </c>
      <c r="AS212" s="19">
        <v>26720.1</v>
      </c>
      <c r="AT212" s="19">
        <v>27047.4</v>
      </c>
      <c r="AU212" s="19">
        <v>27390.799999999999</v>
      </c>
      <c r="AV212" s="19">
        <v>27751.200000000001</v>
      </c>
      <c r="AW212" s="19">
        <v>28129.5</v>
      </c>
      <c r="AX212" s="19">
        <v>28526.799999999999</v>
      </c>
      <c r="AY212" s="19">
        <v>28943.9</v>
      </c>
      <c r="AZ212" s="19">
        <v>29382.2</v>
      </c>
      <c r="BA212" s="19">
        <v>29842.799999999999</v>
      </c>
      <c r="BB212" s="19">
        <v>29327.1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0</v>
      </c>
      <c r="CO212" s="19">
        <v>0</v>
      </c>
      <c r="CP212" s="19">
        <v>0</v>
      </c>
      <c r="CQ212" s="19">
        <v>0</v>
      </c>
      <c r="CR212" s="19">
        <v>0</v>
      </c>
      <c r="CS212" s="19">
        <v>0</v>
      </c>
      <c r="CT212" s="19">
        <v>0</v>
      </c>
      <c r="CU212" s="19">
        <v>0</v>
      </c>
      <c r="CV212" s="19">
        <v>0</v>
      </c>
      <c r="CW212" s="19">
        <v>0</v>
      </c>
      <c r="CX212" s="19">
        <v>0</v>
      </c>
      <c r="CY212" s="19">
        <v>0</v>
      </c>
      <c r="CZ212" s="19">
        <v>0</v>
      </c>
      <c r="DA212" s="19">
        <v>0</v>
      </c>
      <c r="DB212" s="19">
        <v>0</v>
      </c>
      <c r="DC212" s="19">
        <v>0</v>
      </c>
      <c r="DD212" s="19">
        <v>0</v>
      </c>
      <c r="DE212" s="19">
        <v>0</v>
      </c>
      <c r="DF212" s="19">
        <v>0</v>
      </c>
      <c r="DG212" s="19">
        <v>0</v>
      </c>
    </row>
    <row r="213" spans="2:111" x14ac:dyDescent="0.15">
      <c r="B213" s="19" t="str">
        <f t="shared" si="3"/>
        <v>1_女_12</v>
      </c>
      <c r="C213" s="18">
        <v>1</v>
      </c>
      <c r="D213" s="18" t="s">
        <v>2</v>
      </c>
      <c r="E213" s="18">
        <v>12</v>
      </c>
      <c r="F213" s="19">
        <v>18376.5</v>
      </c>
      <c r="G213" s="19">
        <v>19293.599999999999</v>
      </c>
      <c r="H213" s="19">
        <v>20256.599999999999</v>
      </c>
      <c r="I213" s="19">
        <v>21267.8</v>
      </c>
      <c r="J213" s="19">
        <v>21329.599999999999</v>
      </c>
      <c r="K213" s="19">
        <v>21394.400000000001</v>
      </c>
      <c r="L213" s="19">
        <v>21462.400000000001</v>
      </c>
      <c r="M213" s="19">
        <v>21533.7</v>
      </c>
      <c r="N213" s="19">
        <v>21608.5</v>
      </c>
      <c r="O213" s="19">
        <v>21687</v>
      </c>
      <c r="P213" s="19">
        <v>21769.3</v>
      </c>
      <c r="Q213" s="19">
        <v>21855.7</v>
      </c>
      <c r="R213" s="19">
        <v>21946.3</v>
      </c>
      <c r="S213" s="19">
        <v>22041.4</v>
      </c>
      <c r="T213" s="19">
        <v>22141.200000000001</v>
      </c>
      <c r="U213" s="19">
        <v>22245.9</v>
      </c>
      <c r="V213" s="19">
        <v>22355.8</v>
      </c>
      <c r="W213" s="19">
        <v>22471.1</v>
      </c>
      <c r="X213" s="19">
        <v>22592</v>
      </c>
      <c r="Y213" s="19">
        <v>22718.9</v>
      </c>
      <c r="Z213" s="19">
        <v>22852</v>
      </c>
      <c r="AA213" s="19">
        <v>22991.599999999999</v>
      </c>
      <c r="AB213" s="19">
        <v>23138</v>
      </c>
      <c r="AC213" s="19">
        <v>23291.5</v>
      </c>
      <c r="AD213" s="19">
        <v>23452.5</v>
      </c>
      <c r="AE213" s="19">
        <v>23621.200000000001</v>
      </c>
      <c r="AF213" s="19">
        <v>23798</v>
      </c>
      <c r="AG213" s="19">
        <v>23983.4</v>
      </c>
      <c r="AH213" s="19">
        <v>24177.7</v>
      </c>
      <c r="AI213" s="19">
        <v>24381.4</v>
      </c>
      <c r="AJ213" s="19">
        <v>24594.9</v>
      </c>
      <c r="AK213" s="19">
        <v>24818.7</v>
      </c>
      <c r="AL213" s="19">
        <v>25053.3</v>
      </c>
      <c r="AM213" s="19">
        <v>25299.3</v>
      </c>
      <c r="AN213" s="19">
        <v>25557.200000000001</v>
      </c>
      <c r="AO213" s="19">
        <v>25827.599999999999</v>
      </c>
      <c r="AP213" s="19">
        <v>26111.200000000001</v>
      </c>
      <c r="AQ213" s="19">
        <v>26408.6</v>
      </c>
      <c r="AR213" s="19">
        <v>26720.6</v>
      </c>
      <c r="AS213" s="19">
        <v>27047.8</v>
      </c>
      <c r="AT213" s="19">
        <v>27391.200000000001</v>
      </c>
      <c r="AU213" s="19">
        <v>27751.599999999999</v>
      </c>
      <c r="AV213" s="19">
        <v>28129.9</v>
      </c>
      <c r="AW213" s="19">
        <v>28527.1</v>
      </c>
      <c r="AX213" s="19">
        <v>28944.2</v>
      </c>
      <c r="AY213" s="19">
        <v>29382.400000000001</v>
      </c>
      <c r="AZ213" s="19">
        <v>29842.9</v>
      </c>
      <c r="BA213" s="19">
        <v>29327.1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19">
        <v>0</v>
      </c>
      <c r="CL213" s="19">
        <v>0</v>
      </c>
      <c r="CM213" s="19">
        <v>0</v>
      </c>
      <c r="CN213" s="19">
        <v>0</v>
      </c>
      <c r="CO213" s="19">
        <v>0</v>
      </c>
      <c r="CP213" s="19">
        <v>0</v>
      </c>
      <c r="CQ213" s="19">
        <v>0</v>
      </c>
      <c r="CR213" s="19">
        <v>0</v>
      </c>
      <c r="CS213" s="19">
        <v>0</v>
      </c>
      <c r="CT213" s="19">
        <v>0</v>
      </c>
      <c r="CU213" s="19">
        <v>0</v>
      </c>
      <c r="CV213" s="19">
        <v>0</v>
      </c>
      <c r="CW213" s="19">
        <v>0</v>
      </c>
      <c r="CX213" s="19">
        <v>0</v>
      </c>
      <c r="CY213" s="19">
        <v>0</v>
      </c>
      <c r="CZ213" s="19">
        <v>0</v>
      </c>
      <c r="DA213" s="19">
        <v>0</v>
      </c>
      <c r="DB213" s="19">
        <v>0</v>
      </c>
      <c r="DC213" s="19">
        <v>0</v>
      </c>
      <c r="DD213" s="19">
        <v>0</v>
      </c>
      <c r="DE213" s="19">
        <v>0</v>
      </c>
      <c r="DF213" s="19">
        <v>0</v>
      </c>
      <c r="DG213" s="19">
        <v>0</v>
      </c>
    </row>
    <row r="214" spans="2:111" x14ac:dyDescent="0.15">
      <c r="B214" s="19" t="str">
        <f t="shared" si="3"/>
        <v>1_女_13</v>
      </c>
      <c r="C214" s="18">
        <v>1</v>
      </c>
      <c r="D214" s="18" t="s">
        <v>2</v>
      </c>
      <c r="E214" s="18">
        <v>13</v>
      </c>
      <c r="F214" s="19">
        <v>18430.3</v>
      </c>
      <c r="G214" s="19">
        <v>19350.099999999999</v>
      </c>
      <c r="H214" s="19">
        <v>20315.8</v>
      </c>
      <c r="I214" s="19">
        <v>21329.9</v>
      </c>
      <c r="J214" s="19">
        <v>21394.7</v>
      </c>
      <c r="K214" s="19">
        <v>21462.7</v>
      </c>
      <c r="L214" s="19">
        <v>21534</v>
      </c>
      <c r="M214" s="19">
        <v>21608.799999999999</v>
      </c>
      <c r="N214" s="19">
        <v>21687.3</v>
      </c>
      <c r="O214" s="19">
        <v>21769.7</v>
      </c>
      <c r="P214" s="19">
        <v>21856</v>
      </c>
      <c r="Q214" s="19">
        <v>21946.7</v>
      </c>
      <c r="R214" s="19">
        <v>22041.8</v>
      </c>
      <c r="S214" s="19">
        <v>22141.599999999999</v>
      </c>
      <c r="T214" s="19">
        <v>22246.3</v>
      </c>
      <c r="U214" s="19">
        <v>22356.2</v>
      </c>
      <c r="V214" s="19">
        <v>22471.5</v>
      </c>
      <c r="W214" s="19">
        <v>22592.5</v>
      </c>
      <c r="X214" s="19">
        <v>22719.4</v>
      </c>
      <c r="Y214" s="19">
        <v>22852.5</v>
      </c>
      <c r="Z214" s="19">
        <v>22992.1</v>
      </c>
      <c r="AA214" s="19">
        <v>23138.5</v>
      </c>
      <c r="AB214" s="19">
        <v>23292</v>
      </c>
      <c r="AC214" s="19">
        <v>23453</v>
      </c>
      <c r="AD214" s="19">
        <v>23621.7</v>
      </c>
      <c r="AE214" s="19">
        <v>23798.6</v>
      </c>
      <c r="AF214" s="19">
        <v>23983.9</v>
      </c>
      <c r="AG214" s="19">
        <v>24178.3</v>
      </c>
      <c r="AH214" s="19">
        <v>24382</v>
      </c>
      <c r="AI214" s="19">
        <v>24595.5</v>
      </c>
      <c r="AJ214" s="19">
        <v>24819.3</v>
      </c>
      <c r="AK214" s="19">
        <v>25053.9</v>
      </c>
      <c r="AL214" s="19">
        <v>25299.8</v>
      </c>
      <c r="AM214" s="19">
        <v>25557.7</v>
      </c>
      <c r="AN214" s="19">
        <v>25828.1</v>
      </c>
      <c r="AO214" s="19">
        <v>26111.7</v>
      </c>
      <c r="AP214" s="19">
        <v>26409.1</v>
      </c>
      <c r="AQ214" s="19">
        <v>26721.1</v>
      </c>
      <c r="AR214" s="19">
        <v>27048.3</v>
      </c>
      <c r="AS214" s="19">
        <v>27391.7</v>
      </c>
      <c r="AT214" s="19">
        <v>27752</v>
      </c>
      <c r="AU214" s="19">
        <v>28130.3</v>
      </c>
      <c r="AV214" s="19">
        <v>28527.4</v>
      </c>
      <c r="AW214" s="19">
        <v>28944.400000000001</v>
      </c>
      <c r="AX214" s="19">
        <v>29382.6</v>
      </c>
      <c r="AY214" s="19">
        <v>29843</v>
      </c>
      <c r="AZ214" s="19">
        <v>29327.1</v>
      </c>
      <c r="BA214" s="19">
        <v>0</v>
      </c>
      <c r="BB214" s="19">
        <v>0</v>
      </c>
      <c r="BC214" s="19">
        <v>0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>
        <v>0</v>
      </c>
      <c r="BW214" s="19">
        <v>0</v>
      </c>
      <c r="BX214" s="19">
        <v>0</v>
      </c>
      <c r="BY214" s="19">
        <v>0</v>
      </c>
      <c r="BZ214" s="19">
        <v>0</v>
      </c>
      <c r="CA214" s="19">
        <v>0</v>
      </c>
      <c r="CB214" s="19">
        <v>0</v>
      </c>
      <c r="CC214" s="19">
        <v>0</v>
      </c>
      <c r="CD214" s="19">
        <v>0</v>
      </c>
      <c r="CE214" s="19">
        <v>0</v>
      </c>
      <c r="CF214" s="19">
        <v>0</v>
      </c>
      <c r="CG214" s="19">
        <v>0</v>
      </c>
      <c r="CH214" s="19">
        <v>0</v>
      </c>
      <c r="CI214" s="19">
        <v>0</v>
      </c>
      <c r="CJ214" s="19">
        <v>0</v>
      </c>
      <c r="CK214" s="19">
        <v>0</v>
      </c>
      <c r="CL214" s="19">
        <v>0</v>
      </c>
      <c r="CM214" s="19">
        <v>0</v>
      </c>
      <c r="CN214" s="19">
        <v>0</v>
      </c>
      <c r="CO214" s="19">
        <v>0</v>
      </c>
      <c r="CP214" s="19">
        <v>0</v>
      </c>
      <c r="CQ214" s="19">
        <v>0</v>
      </c>
      <c r="CR214" s="19">
        <v>0</v>
      </c>
      <c r="CS214" s="19">
        <v>0</v>
      </c>
      <c r="CT214" s="19">
        <v>0</v>
      </c>
      <c r="CU214" s="19">
        <v>0</v>
      </c>
      <c r="CV214" s="19">
        <v>0</v>
      </c>
      <c r="CW214" s="19">
        <v>0</v>
      </c>
      <c r="CX214" s="19">
        <v>0</v>
      </c>
      <c r="CY214" s="19">
        <v>0</v>
      </c>
      <c r="CZ214" s="19">
        <v>0</v>
      </c>
      <c r="DA214" s="19">
        <v>0</v>
      </c>
      <c r="DB214" s="19">
        <v>0</v>
      </c>
      <c r="DC214" s="19">
        <v>0</v>
      </c>
      <c r="DD214" s="19">
        <v>0</v>
      </c>
      <c r="DE214" s="19">
        <v>0</v>
      </c>
      <c r="DF214" s="19">
        <v>0</v>
      </c>
      <c r="DG214" s="19">
        <v>0</v>
      </c>
    </row>
    <row r="215" spans="2:111" x14ac:dyDescent="0.15">
      <c r="B215" s="19" t="str">
        <f t="shared" si="3"/>
        <v>1_女_14</v>
      </c>
      <c r="C215" s="18">
        <v>1</v>
      </c>
      <c r="D215" s="18" t="s">
        <v>2</v>
      </c>
      <c r="E215" s="18">
        <v>14</v>
      </c>
      <c r="F215" s="19">
        <v>18486.900000000001</v>
      </c>
      <c r="G215" s="19">
        <v>19409.3</v>
      </c>
      <c r="H215" s="19">
        <v>20377.900000000001</v>
      </c>
      <c r="I215" s="19">
        <v>21395</v>
      </c>
      <c r="J215" s="19">
        <v>21463</v>
      </c>
      <c r="K215" s="19">
        <v>21534.3</v>
      </c>
      <c r="L215" s="19">
        <v>21609.200000000001</v>
      </c>
      <c r="M215" s="19">
        <v>21687.7</v>
      </c>
      <c r="N215" s="19">
        <v>21770</v>
      </c>
      <c r="O215" s="19">
        <v>21856.400000000001</v>
      </c>
      <c r="P215" s="19">
        <v>21947.1</v>
      </c>
      <c r="Q215" s="19">
        <v>22042.2</v>
      </c>
      <c r="R215" s="19">
        <v>22142</v>
      </c>
      <c r="S215" s="19">
        <v>22246.7</v>
      </c>
      <c r="T215" s="19">
        <v>22356.6</v>
      </c>
      <c r="U215" s="19">
        <v>22471.9</v>
      </c>
      <c r="V215" s="19">
        <v>22592.9</v>
      </c>
      <c r="W215" s="19">
        <v>22719.8</v>
      </c>
      <c r="X215" s="19">
        <v>22853</v>
      </c>
      <c r="Y215" s="19">
        <v>22992.6</v>
      </c>
      <c r="Z215" s="19">
        <v>23139</v>
      </c>
      <c r="AA215" s="19">
        <v>23292.5</v>
      </c>
      <c r="AB215" s="19">
        <v>23453.5</v>
      </c>
      <c r="AC215" s="19">
        <v>23622.2</v>
      </c>
      <c r="AD215" s="19">
        <v>23799.1</v>
      </c>
      <c r="AE215" s="19">
        <v>23984.5</v>
      </c>
      <c r="AF215" s="19">
        <v>24178.799999999999</v>
      </c>
      <c r="AG215" s="19">
        <v>24382.5</v>
      </c>
      <c r="AH215" s="19">
        <v>24596</v>
      </c>
      <c r="AI215" s="19">
        <v>24819.8</v>
      </c>
      <c r="AJ215" s="19">
        <v>25054.5</v>
      </c>
      <c r="AK215" s="19">
        <v>25300.400000000001</v>
      </c>
      <c r="AL215" s="19">
        <v>25558.3</v>
      </c>
      <c r="AM215" s="19">
        <v>25828.7</v>
      </c>
      <c r="AN215" s="19">
        <v>26112.3</v>
      </c>
      <c r="AO215" s="19">
        <v>26409.599999999999</v>
      </c>
      <c r="AP215" s="19">
        <v>26721.599999999999</v>
      </c>
      <c r="AQ215" s="19">
        <v>27048.799999999999</v>
      </c>
      <c r="AR215" s="19">
        <v>27392.1</v>
      </c>
      <c r="AS215" s="19">
        <v>27752.400000000001</v>
      </c>
      <c r="AT215" s="19">
        <v>28130.6</v>
      </c>
      <c r="AU215" s="19">
        <v>28527.7</v>
      </c>
      <c r="AV215" s="19">
        <v>28944.7</v>
      </c>
      <c r="AW215" s="19">
        <v>29382.7</v>
      </c>
      <c r="AX215" s="19">
        <v>29843.1</v>
      </c>
      <c r="AY215" s="19">
        <v>29327.1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>
        <v>0</v>
      </c>
      <c r="BW215" s="19">
        <v>0</v>
      </c>
      <c r="BX215" s="19">
        <v>0</v>
      </c>
      <c r="BY215" s="19">
        <v>0</v>
      </c>
      <c r="BZ215" s="19">
        <v>0</v>
      </c>
      <c r="CA215" s="19">
        <v>0</v>
      </c>
      <c r="CB215" s="19">
        <v>0</v>
      </c>
      <c r="CC215" s="19">
        <v>0</v>
      </c>
      <c r="CD215" s="19">
        <v>0</v>
      </c>
      <c r="CE215" s="19">
        <v>0</v>
      </c>
      <c r="CF215" s="19">
        <v>0</v>
      </c>
      <c r="CG215" s="19">
        <v>0</v>
      </c>
      <c r="CH215" s="19">
        <v>0</v>
      </c>
      <c r="CI215" s="19">
        <v>0</v>
      </c>
      <c r="CJ215" s="19">
        <v>0</v>
      </c>
      <c r="CK215" s="19">
        <v>0</v>
      </c>
      <c r="CL215" s="19">
        <v>0</v>
      </c>
      <c r="CM215" s="19">
        <v>0</v>
      </c>
      <c r="CN215" s="19">
        <v>0</v>
      </c>
      <c r="CO215" s="19">
        <v>0</v>
      </c>
      <c r="CP215" s="19">
        <v>0</v>
      </c>
      <c r="CQ215" s="19">
        <v>0</v>
      </c>
      <c r="CR215" s="19">
        <v>0</v>
      </c>
      <c r="CS215" s="19">
        <v>0</v>
      </c>
      <c r="CT215" s="19">
        <v>0</v>
      </c>
      <c r="CU215" s="19">
        <v>0</v>
      </c>
      <c r="CV215" s="19">
        <v>0</v>
      </c>
      <c r="CW215" s="19">
        <v>0</v>
      </c>
      <c r="CX215" s="19">
        <v>0</v>
      </c>
      <c r="CY215" s="19">
        <v>0</v>
      </c>
      <c r="CZ215" s="19">
        <v>0</v>
      </c>
      <c r="DA215" s="19">
        <v>0</v>
      </c>
      <c r="DB215" s="19">
        <v>0</v>
      </c>
      <c r="DC215" s="19">
        <v>0</v>
      </c>
      <c r="DD215" s="19">
        <v>0</v>
      </c>
      <c r="DE215" s="19">
        <v>0</v>
      </c>
      <c r="DF215" s="19">
        <v>0</v>
      </c>
      <c r="DG215" s="19">
        <v>0</v>
      </c>
    </row>
    <row r="216" spans="2:111" x14ac:dyDescent="0.15">
      <c r="B216" s="19" t="str">
        <f t="shared" si="3"/>
        <v>1_女_15</v>
      </c>
      <c r="C216" s="18">
        <v>1</v>
      </c>
      <c r="D216" s="18" t="s">
        <v>2</v>
      </c>
      <c r="E216" s="18">
        <v>15</v>
      </c>
      <c r="F216" s="19">
        <v>18546.099999999999</v>
      </c>
      <c r="G216" s="19">
        <v>19471.400000000001</v>
      </c>
      <c r="H216" s="19">
        <v>20443.099999999999</v>
      </c>
      <c r="I216" s="19">
        <v>21463.3</v>
      </c>
      <c r="J216" s="19">
        <v>21534.7</v>
      </c>
      <c r="K216" s="19">
        <v>21609.5</v>
      </c>
      <c r="L216" s="19">
        <v>21688</v>
      </c>
      <c r="M216" s="19">
        <v>21770.400000000001</v>
      </c>
      <c r="N216" s="19">
        <v>21856.799999999999</v>
      </c>
      <c r="O216" s="19">
        <v>21947.4</v>
      </c>
      <c r="P216" s="19">
        <v>22042.6</v>
      </c>
      <c r="Q216" s="19">
        <v>22142.400000000001</v>
      </c>
      <c r="R216" s="19">
        <v>22247.1</v>
      </c>
      <c r="S216" s="19">
        <v>22357.1</v>
      </c>
      <c r="T216" s="19">
        <v>22472.400000000001</v>
      </c>
      <c r="U216" s="19">
        <v>22593.4</v>
      </c>
      <c r="V216" s="19">
        <v>22720.3</v>
      </c>
      <c r="W216" s="19">
        <v>22853.4</v>
      </c>
      <c r="X216" s="19">
        <v>22993.1</v>
      </c>
      <c r="Y216" s="19">
        <v>23139.5</v>
      </c>
      <c r="Z216" s="19">
        <v>23293</v>
      </c>
      <c r="AA216" s="19">
        <v>23454</v>
      </c>
      <c r="AB216" s="19">
        <v>23622.799999999999</v>
      </c>
      <c r="AC216" s="19">
        <v>23799.599999999999</v>
      </c>
      <c r="AD216" s="19">
        <v>23985.1</v>
      </c>
      <c r="AE216" s="19">
        <v>24179.4</v>
      </c>
      <c r="AF216" s="19">
        <v>24383.1</v>
      </c>
      <c r="AG216" s="19">
        <v>24596.6</v>
      </c>
      <c r="AH216" s="19">
        <v>24820.400000000001</v>
      </c>
      <c r="AI216" s="19">
        <v>25055.1</v>
      </c>
      <c r="AJ216" s="19">
        <v>25301</v>
      </c>
      <c r="AK216" s="19">
        <v>25558.9</v>
      </c>
      <c r="AL216" s="19">
        <v>25829.3</v>
      </c>
      <c r="AM216" s="19">
        <v>26112.799999999999</v>
      </c>
      <c r="AN216" s="19">
        <v>26410.2</v>
      </c>
      <c r="AO216" s="19">
        <v>26722.1</v>
      </c>
      <c r="AP216" s="19">
        <v>27049.3</v>
      </c>
      <c r="AQ216" s="19">
        <v>27392.6</v>
      </c>
      <c r="AR216" s="19">
        <v>27752.9</v>
      </c>
      <c r="AS216" s="19">
        <v>28131</v>
      </c>
      <c r="AT216" s="19">
        <v>28528</v>
      </c>
      <c r="AU216" s="19">
        <v>28944.9</v>
      </c>
      <c r="AV216" s="19">
        <v>29382.9</v>
      </c>
      <c r="AW216" s="19">
        <v>29843.200000000001</v>
      </c>
      <c r="AX216" s="19">
        <v>29327.1</v>
      </c>
      <c r="AY216" s="19">
        <v>0</v>
      </c>
      <c r="AZ216" s="19">
        <v>0</v>
      </c>
      <c r="BA216" s="19">
        <v>0</v>
      </c>
      <c r="BB216" s="19">
        <v>0</v>
      </c>
      <c r="BC216" s="19">
        <v>0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>
        <v>0</v>
      </c>
      <c r="BW216" s="19">
        <v>0</v>
      </c>
      <c r="BX216" s="19">
        <v>0</v>
      </c>
      <c r="BY216" s="19">
        <v>0</v>
      </c>
      <c r="BZ216" s="19">
        <v>0</v>
      </c>
      <c r="CA216" s="19">
        <v>0</v>
      </c>
      <c r="CB216" s="19">
        <v>0</v>
      </c>
      <c r="CC216" s="19">
        <v>0</v>
      </c>
      <c r="CD216" s="19">
        <v>0</v>
      </c>
      <c r="CE216" s="19">
        <v>0</v>
      </c>
      <c r="CF216" s="19">
        <v>0</v>
      </c>
      <c r="CG216" s="19">
        <v>0</v>
      </c>
      <c r="CH216" s="19">
        <v>0</v>
      </c>
      <c r="CI216" s="19">
        <v>0</v>
      </c>
      <c r="CJ216" s="19">
        <v>0</v>
      </c>
      <c r="CK216" s="19">
        <v>0</v>
      </c>
      <c r="CL216" s="19">
        <v>0</v>
      </c>
      <c r="CM216" s="19">
        <v>0</v>
      </c>
      <c r="CN216" s="19">
        <v>0</v>
      </c>
      <c r="CO216" s="19">
        <v>0</v>
      </c>
      <c r="CP216" s="19">
        <v>0</v>
      </c>
      <c r="CQ216" s="19">
        <v>0</v>
      </c>
      <c r="CR216" s="19">
        <v>0</v>
      </c>
      <c r="CS216" s="19">
        <v>0</v>
      </c>
      <c r="CT216" s="19">
        <v>0</v>
      </c>
      <c r="CU216" s="19">
        <v>0</v>
      </c>
      <c r="CV216" s="19">
        <v>0</v>
      </c>
      <c r="CW216" s="19">
        <v>0</v>
      </c>
      <c r="CX216" s="19">
        <v>0</v>
      </c>
      <c r="CY216" s="19">
        <v>0</v>
      </c>
      <c r="CZ216" s="19">
        <v>0</v>
      </c>
      <c r="DA216" s="19">
        <v>0</v>
      </c>
      <c r="DB216" s="19">
        <v>0</v>
      </c>
      <c r="DC216" s="19">
        <v>0</v>
      </c>
      <c r="DD216" s="19">
        <v>0</v>
      </c>
      <c r="DE216" s="19">
        <v>0</v>
      </c>
      <c r="DF216" s="19">
        <v>0</v>
      </c>
      <c r="DG216" s="19">
        <v>0</v>
      </c>
    </row>
    <row r="217" spans="2:111" x14ac:dyDescent="0.15">
      <c r="B217" s="19" t="str">
        <f t="shared" si="3"/>
        <v>1_女_16</v>
      </c>
      <c r="C217" s="18">
        <v>1</v>
      </c>
      <c r="D217" s="18" t="s">
        <v>2</v>
      </c>
      <c r="E217" s="18">
        <v>16</v>
      </c>
      <c r="F217" s="19">
        <v>18608.3</v>
      </c>
      <c r="G217" s="19">
        <v>19536.599999999999</v>
      </c>
      <c r="H217" s="19">
        <v>20511.400000000001</v>
      </c>
      <c r="I217" s="19">
        <v>21535</v>
      </c>
      <c r="J217" s="19">
        <v>21609.8</v>
      </c>
      <c r="K217" s="19">
        <v>21688.400000000001</v>
      </c>
      <c r="L217" s="19">
        <v>21770.7</v>
      </c>
      <c r="M217" s="19">
        <v>21857.200000000001</v>
      </c>
      <c r="N217" s="19">
        <v>21947.8</v>
      </c>
      <c r="O217" s="19">
        <v>22043</v>
      </c>
      <c r="P217" s="19">
        <v>22142.799999999999</v>
      </c>
      <c r="Q217" s="19">
        <v>22247.599999999999</v>
      </c>
      <c r="R217" s="19">
        <v>22357.5</v>
      </c>
      <c r="S217" s="19">
        <v>22472.799999999999</v>
      </c>
      <c r="T217" s="19">
        <v>22593.8</v>
      </c>
      <c r="U217" s="19">
        <v>22720.799999999999</v>
      </c>
      <c r="V217" s="19">
        <v>22853.9</v>
      </c>
      <c r="W217" s="19">
        <v>22993.599999999999</v>
      </c>
      <c r="X217" s="19">
        <v>23140</v>
      </c>
      <c r="Y217" s="19">
        <v>23293.599999999999</v>
      </c>
      <c r="Z217" s="19">
        <v>23454.6</v>
      </c>
      <c r="AA217" s="19">
        <v>23623.3</v>
      </c>
      <c r="AB217" s="19">
        <v>23800.2</v>
      </c>
      <c r="AC217" s="19">
        <v>23985.599999999999</v>
      </c>
      <c r="AD217" s="19">
        <v>24180</v>
      </c>
      <c r="AE217" s="19">
        <v>24383.7</v>
      </c>
      <c r="AF217" s="19">
        <v>24597.200000000001</v>
      </c>
      <c r="AG217" s="19">
        <v>24821</v>
      </c>
      <c r="AH217" s="19">
        <v>25055.7</v>
      </c>
      <c r="AI217" s="19">
        <v>25301.599999999999</v>
      </c>
      <c r="AJ217" s="19">
        <v>25559.5</v>
      </c>
      <c r="AK217" s="19">
        <v>25829.9</v>
      </c>
      <c r="AL217" s="19">
        <v>26113.4</v>
      </c>
      <c r="AM217" s="19">
        <v>26410.799999999999</v>
      </c>
      <c r="AN217" s="19">
        <v>26722.6</v>
      </c>
      <c r="AO217" s="19">
        <v>27049.8</v>
      </c>
      <c r="AP217" s="19">
        <v>27393.1</v>
      </c>
      <c r="AQ217" s="19">
        <v>27753.3</v>
      </c>
      <c r="AR217" s="19">
        <v>28131.4</v>
      </c>
      <c r="AS217" s="19">
        <v>28528.400000000001</v>
      </c>
      <c r="AT217" s="19">
        <v>28945.200000000001</v>
      </c>
      <c r="AU217" s="19">
        <v>29383.1</v>
      </c>
      <c r="AV217" s="19">
        <v>29843.3</v>
      </c>
      <c r="AW217" s="19">
        <v>29327.1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19">
        <v>0</v>
      </c>
      <c r="CL217" s="19">
        <v>0</v>
      </c>
      <c r="CM217" s="19">
        <v>0</v>
      </c>
      <c r="CN217" s="19">
        <v>0</v>
      </c>
      <c r="CO217" s="19">
        <v>0</v>
      </c>
      <c r="CP217" s="19">
        <v>0</v>
      </c>
      <c r="CQ217" s="19">
        <v>0</v>
      </c>
      <c r="CR217" s="19">
        <v>0</v>
      </c>
      <c r="CS217" s="19">
        <v>0</v>
      </c>
      <c r="CT217" s="19">
        <v>0</v>
      </c>
      <c r="CU217" s="19">
        <v>0</v>
      </c>
      <c r="CV217" s="19">
        <v>0</v>
      </c>
      <c r="CW217" s="19">
        <v>0</v>
      </c>
      <c r="CX217" s="19">
        <v>0</v>
      </c>
      <c r="CY217" s="19">
        <v>0</v>
      </c>
      <c r="CZ217" s="19">
        <v>0</v>
      </c>
      <c r="DA217" s="19">
        <v>0</v>
      </c>
      <c r="DB217" s="19">
        <v>0</v>
      </c>
      <c r="DC217" s="19">
        <v>0</v>
      </c>
      <c r="DD217" s="19">
        <v>0</v>
      </c>
      <c r="DE217" s="19">
        <v>0</v>
      </c>
      <c r="DF217" s="19">
        <v>0</v>
      </c>
      <c r="DG217" s="19">
        <v>0</v>
      </c>
    </row>
    <row r="218" spans="2:111" x14ac:dyDescent="0.15">
      <c r="B218" s="19" t="str">
        <f t="shared" si="3"/>
        <v>1_女_17</v>
      </c>
      <c r="C218" s="18">
        <v>1</v>
      </c>
      <c r="D218" s="18" t="s">
        <v>2</v>
      </c>
      <c r="E218" s="18">
        <v>17</v>
      </c>
      <c r="F218" s="19">
        <v>18673.5</v>
      </c>
      <c r="G218" s="19">
        <v>19605</v>
      </c>
      <c r="H218" s="19">
        <v>20583.099999999999</v>
      </c>
      <c r="I218" s="19">
        <v>21610.2</v>
      </c>
      <c r="J218" s="19">
        <v>21688.7</v>
      </c>
      <c r="K218" s="19">
        <v>21771.1</v>
      </c>
      <c r="L218" s="19">
        <v>21857.5</v>
      </c>
      <c r="M218" s="19">
        <v>21948.2</v>
      </c>
      <c r="N218" s="19">
        <v>22043.4</v>
      </c>
      <c r="O218" s="19">
        <v>22143.200000000001</v>
      </c>
      <c r="P218" s="19">
        <v>22248</v>
      </c>
      <c r="Q218" s="19">
        <v>22358</v>
      </c>
      <c r="R218" s="19">
        <v>22473.3</v>
      </c>
      <c r="S218" s="19">
        <v>22594.3</v>
      </c>
      <c r="T218" s="19">
        <v>22721.3</v>
      </c>
      <c r="U218" s="19">
        <v>22854.400000000001</v>
      </c>
      <c r="V218" s="19">
        <v>22994.1</v>
      </c>
      <c r="W218" s="19">
        <v>23140.6</v>
      </c>
      <c r="X218" s="19">
        <v>23294.1</v>
      </c>
      <c r="Y218" s="19">
        <v>23455.1</v>
      </c>
      <c r="Z218" s="19">
        <v>23623.9</v>
      </c>
      <c r="AA218" s="19">
        <v>23800.799999999999</v>
      </c>
      <c r="AB218" s="19">
        <v>23986.2</v>
      </c>
      <c r="AC218" s="19">
        <v>24180.6</v>
      </c>
      <c r="AD218" s="19">
        <v>24384.3</v>
      </c>
      <c r="AE218" s="19">
        <v>24597.9</v>
      </c>
      <c r="AF218" s="19">
        <v>24821.7</v>
      </c>
      <c r="AG218" s="19">
        <v>25056.3</v>
      </c>
      <c r="AH218" s="19">
        <v>25302.2</v>
      </c>
      <c r="AI218" s="19">
        <v>25560.1</v>
      </c>
      <c r="AJ218" s="19">
        <v>25830.5</v>
      </c>
      <c r="AK218" s="19">
        <v>26114</v>
      </c>
      <c r="AL218" s="19">
        <v>26411.3</v>
      </c>
      <c r="AM218" s="19">
        <v>26723.200000000001</v>
      </c>
      <c r="AN218" s="19">
        <v>27050.3</v>
      </c>
      <c r="AO218" s="19">
        <v>27393.599999999999</v>
      </c>
      <c r="AP218" s="19">
        <v>27753.8</v>
      </c>
      <c r="AQ218" s="19">
        <v>28131.8</v>
      </c>
      <c r="AR218" s="19">
        <v>28528.7</v>
      </c>
      <c r="AS218" s="19">
        <v>28945.5</v>
      </c>
      <c r="AT218" s="19">
        <v>29383.3</v>
      </c>
      <c r="AU218" s="19">
        <v>29843.4</v>
      </c>
      <c r="AV218" s="19">
        <v>29327.1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0</v>
      </c>
      <c r="CD218" s="19">
        <v>0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19">
        <v>0</v>
      </c>
      <c r="CL218" s="19">
        <v>0</v>
      </c>
      <c r="CM218" s="19">
        <v>0</v>
      </c>
      <c r="CN218" s="19">
        <v>0</v>
      </c>
      <c r="CO218" s="19">
        <v>0</v>
      </c>
      <c r="CP218" s="19">
        <v>0</v>
      </c>
      <c r="CQ218" s="19">
        <v>0</v>
      </c>
      <c r="CR218" s="19">
        <v>0</v>
      </c>
      <c r="CS218" s="19">
        <v>0</v>
      </c>
      <c r="CT218" s="19">
        <v>0</v>
      </c>
      <c r="CU218" s="19">
        <v>0</v>
      </c>
      <c r="CV218" s="19">
        <v>0</v>
      </c>
      <c r="CW218" s="19">
        <v>0</v>
      </c>
      <c r="CX218" s="19">
        <v>0</v>
      </c>
      <c r="CY218" s="19">
        <v>0</v>
      </c>
      <c r="CZ218" s="19">
        <v>0</v>
      </c>
      <c r="DA218" s="19">
        <v>0</v>
      </c>
      <c r="DB218" s="19">
        <v>0</v>
      </c>
      <c r="DC218" s="19">
        <v>0</v>
      </c>
      <c r="DD218" s="19">
        <v>0</v>
      </c>
      <c r="DE218" s="19">
        <v>0</v>
      </c>
      <c r="DF218" s="19">
        <v>0</v>
      </c>
      <c r="DG218" s="19">
        <v>0</v>
      </c>
    </row>
    <row r="219" spans="2:111" x14ac:dyDescent="0.15">
      <c r="B219" s="19" t="str">
        <f t="shared" si="3"/>
        <v>1_女_18</v>
      </c>
      <c r="C219" s="18">
        <v>1</v>
      </c>
      <c r="D219" s="18" t="s">
        <v>2</v>
      </c>
      <c r="E219" s="18">
        <v>18</v>
      </c>
      <c r="F219" s="19">
        <v>18741.900000000001</v>
      </c>
      <c r="G219" s="19">
        <v>19676.7</v>
      </c>
      <c r="H219" s="19">
        <v>20658.3</v>
      </c>
      <c r="I219" s="19">
        <v>21689.1</v>
      </c>
      <c r="J219" s="19">
        <v>21771.5</v>
      </c>
      <c r="K219" s="19">
        <v>21858</v>
      </c>
      <c r="L219" s="19">
        <v>21948.7</v>
      </c>
      <c r="M219" s="19">
        <v>22043.8</v>
      </c>
      <c r="N219" s="19">
        <v>22143.7</v>
      </c>
      <c r="O219" s="19">
        <v>22248.5</v>
      </c>
      <c r="P219" s="19">
        <v>22358.400000000001</v>
      </c>
      <c r="Q219" s="19">
        <v>22473.8</v>
      </c>
      <c r="R219" s="19">
        <v>22594.799999999999</v>
      </c>
      <c r="S219" s="19">
        <v>22721.8</v>
      </c>
      <c r="T219" s="19">
        <v>22855</v>
      </c>
      <c r="U219" s="19">
        <v>22994.6</v>
      </c>
      <c r="V219" s="19">
        <v>23141.1</v>
      </c>
      <c r="W219" s="19">
        <v>23294.7</v>
      </c>
      <c r="X219" s="19">
        <v>23455.7</v>
      </c>
      <c r="Y219" s="19">
        <v>23624.5</v>
      </c>
      <c r="Z219" s="19">
        <v>23801.4</v>
      </c>
      <c r="AA219" s="19">
        <v>23986.9</v>
      </c>
      <c r="AB219" s="19">
        <v>24181.200000000001</v>
      </c>
      <c r="AC219" s="19">
        <v>24385</v>
      </c>
      <c r="AD219" s="19">
        <v>24598.5</v>
      </c>
      <c r="AE219" s="19">
        <v>24822.3</v>
      </c>
      <c r="AF219" s="19">
        <v>25056.9</v>
      </c>
      <c r="AG219" s="19">
        <v>25302.9</v>
      </c>
      <c r="AH219" s="19">
        <v>25560.7</v>
      </c>
      <c r="AI219" s="19">
        <v>25831.1</v>
      </c>
      <c r="AJ219" s="19">
        <v>26114.6</v>
      </c>
      <c r="AK219" s="19">
        <v>26411.9</v>
      </c>
      <c r="AL219" s="19">
        <v>26723.8</v>
      </c>
      <c r="AM219" s="19">
        <v>27050.9</v>
      </c>
      <c r="AN219" s="19">
        <v>27394.1</v>
      </c>
      <c r="AO219" s="19">
        <v>27754.2</v>
      </c>
      <c r="AP219" s="19">
        <v>28132.2</v>
      </c>
      <c r="AQ219" s="19">
        <v>28529.1</v>
      </c>
      <c r="AR219" s="19">
        <v>28945.8</v>
      </c>
      <c r="AS219" s="19">
        <v>29383.5</v>
      </c>
      <c r="AT219" s="19">
        <v>29843.5</v>
      </c>
      <c r="AU219" s="19">
        <v>29327.1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19">
        <v>0</v>
      </c>
      <c r="CL219" s="19">
        <v>0</v>
      </c>
      <c r="CM219" s="19">
        <v>0</v>
      </c>
      <c r="CN219" s="19">
        <v>0</v>
      </c>
      <c r="CO219" s="19">
        <v>0</v>
      </c>
      <c r="CP219" s="19">
        <v>0</v>
      </c>
      <c r="CQ219" s="19">
        <v>0</v>
      </c>
      <c r="CR219" s="19">
        <v>0</v>
      </c>
      <c r="CS219" s="19">
        <v>0</v>
      </c>
      <c r="CT219" s="19">
        <v>0</v>
      </c>
      <c r="CU219" s="19">
        <v>0</v>
      </c>
      <c r="CV219" s="19">
        <v>0</v>
      </c>
      <c r="CW219" s="19">
        <v>0</v>
      </c>
      <c r="CX219" s="19">
        <v>0</v>
      </c>
      <c r="CY219" s="19">
        <v>0</v>
      </c>
      <c r="CZ219" s="19">
        <v>0</v>
      </c>
      <c r="DA219" s="19">
        <v>0</v>
      </c>
      <c r="DB219" s="19">
        <v>0</v>
      </c>
      <c r="DC219" s="19">
        <v>0</v>
      </c>
      <c r="DD219" s="19">
        <v>0</v>
      </c>
      <c r="DE219" s="19">
        <v>0</v>
      </c>
      <c r="DF219" s="19">
        <v>0</v>
      </c>
      <c r="DG219" s="19">
        <v>0</v>
      </c>
    </row>
    <row r="220" spans="2:111" x14ac:dyDescent="0.15">
      <c r="B220" s="19" t="str">
        <f t="shared" si="3"/>
        <v>1_女_19</v>
      </c>
      <c r="C220" s="18">
        <v>1</v>
      </c>
      <c r="D220" s="18" t="s">
        <v>2</v>
      </c>
      <c r="E220" s="18">
        <v>19</v>
      </c>
      <c r="F220" s="19">
        <v>18813.7</v>
      </c>
      <c r="G220" s="19">
        <v>19752</v>
      </c>
      <c r="H220" s="19">
        <v>20737.3</v>
      </c>
      <c r="I220" s="19">
        <v>21771.9</v>
      </c>
      <c r="J220" s="19">
        <v>21858.400000000001</v>
      </c>
      <c r="K220" s="19">
        <v>21949.1</v>
      </c>
      <c r="L220" s="19">
        <v>22044.3</v>
      </c>
      <c r="M220" s="19">
        <v>22144.2</v>
      </c>
      <c r="N220" s="19">
        <v>22249</v>
      </c>
      <c r="O220" s="19">
        <v>22358.9</v>
      </c>
      <c r="P220" s="19">
        <v>22474.3</v>
      </c>
      <c r="Q220" s="19">
        <v>22595.3</v>
      </c>
      <c r="R220" s="19">
        <v>22722.3</v>
      </c>
      <c r="S220" s="19">
        <v>22855.5</v>
      </c>
      <c r="T220" s="19">
        <v>22995.200000000001</v>
      </c>
      <c r="U220" s="19">
        <v>23141.7</v>
      </c>
      <c r="V220" s="19">
        <v>23295.3</v>
      </c>
      <c r="W220" s="19">
        <v>23456.3</v>
      </c>
      <c r="X220" s="19">
        <v>23625.1</v>
      </c>
      <c r="Y220" s="19">
        <v>23802.1</v>
      </c>
      <c r="Z220" s="19">
        <v>23987.5</v>
      </c>
      <c r="AA220" s="19">
        <v>24181.9</v>
      </c>
      <c r="AB220" s="19">
        <v>24385.599999999999</v>
      </c>
      <c r="AC220" s="19">
        <v>24599.200000000001</v>
      </c>
      <c r="AD220" s="19">
        <v>24823</v>
      </c>
      <c r="AE220" s="19">
        <v>25057.599999999999</v>
      </c>
      <c r="AF220" s="19">
        <v>25303.599999999999</v>
      </c>
      <c r="AG220" s="19">
        <v>25561.4</v>
      </c>
      <c r="AH220" s="19">
        <v>25831.8</v>
      </c>
      <c r="AI220" s="19">
        <v>26115.3</v>
      </c>
      <c r="AJ220" s="19">
        <v>26412.6</v>
      </c>
      <c r="AK220" s="19">
        <v>26724.400000000001</v>
      </c>
      <c r="AL220" s="19">
        <v>27051.5</v>
      </c>
      <c r="AM220" s="19">
        <v>27394.6</v>
      </c>
      <c r="AN220" s="19">
        <v>27754.7</v>
      </c>
      <c r="AO220" s="19">
        <v>28132.7</v>
      </c>
      <c r="AP220" s="19">
        <v>28529.4</v>
      </c>
      <c r="AQ220" s="19">
        <v>28946.1</v>
      </c>
      <c r="AR220" s="19">
        <v>29383.7</v>
      </c>
      <c r="AS220" s="19">
        <v>29843.7</v>
      </c>
      <c r="AT220" s="19">
        <v>29327.1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0</v>
      </c>
      <c r="CN220" s="19">
        <v>0</v>
      </c>
      <c r="CO220" s="19">
        <v>0</v>
      </c>
      <c r="CP220" s="19">
        <v>0</v>
      </c>
      <c r="CQ220" s="19">
        <v>0</v>
      </c>
      <c r="CR220" s="19">
        <v>0</v>
      </c>
      <c r="CS220" s="19">
        <v>0</v>
      </c>
      <c r="CT220" s="19">
        <v>0</v>
      </c>
      <c r="CU220" s="19">
        <v>0</v>
      </c>
      <c r="CV220" s="19">
        <v>0</v>
      </c>
      <c r="CW220" s="19">
        <v>0</v>
      </c>
      <c r="CX220" s="19">
        <v>0</v>
      </c>
      <c r="CY220" s="19">
        <v>0</v>
      </c>
      <c r="CZ220" s="19">
        <v>0</v>
      </c>
      <c r="DA220" s="19">
        <v>0</v>
      </c>
      <c r="DB220" s="19">
        <v>0</v>
      </c>
      <c r="DC220" s="19">
        <v>0</v>
      </c>
      <c r="DD220" s="19">
        <v>0</v>
      </c>
      <c r="DE220" s="19">
        <v>0</v>
      </c>
      <c r="DF220" s="19">
        <v>0</v>
      </c>
      <c r="DG220" s="19">
        <v>0</v>
      </c>
    </row>
    <row r="221" spans="2:111" x14ac:dyDescent="0.15">
      <c r="B221" s="19" t="str">
        <f t="shared" si="3"/>
        <v>1_女_20</v>
      </c>
      <c r="C221" s="18">
        <v>1</v>
      </c>
      <c r="D221" s="18" t="s">
        <v>2</v>
      </c>
      <c r="E221" s="18">
        <v>20</v>
      </c>
      <c r="F221" s="19">
        <v>18889</v>
      </c>
      <c r="G221" s="19">
        <v>19831</v>
      </c>
      <c r="H221" s="19">
        <v>20820.099999999999</v>
      </c>
      <c r="I221" s="19">
        <v>21858.799999999999</v>
      </c>
      <c r="J221" s="19">
        <v>21949.5</v>
      </c>
      <c r="K221" s="19">
        <v>22044.7</v>
      </c>
      <c r="L221" s="19">
        <v>22144.6</v>
      </c>
      <c r="M221" s="19">
        <v>22249.4</v>
      </c>
      <c r="N221" s="19">
        <v>22359.4</v>
      </c>
      <c r="O221" s="19">
        <v>22474.799999999999</v>
      </c>
      <c r="P221" s="19">
        <v>22595.9</v>
      </c>
      <c r="Q221" s="19">
        <v>22722.9</v>
      </c>
      <c r="R221" s="19">
        <v>22856.1</v>
      </c>
      <c r="S221" s="19">
        <v>22995.8</v>
      </c>
      <c r="T221" s="19">
        <v>23142.3</v>
      </c>
      <c r="U221" s="19">
        <v>23295.9</v>
      </c>
      <c r="V221" s="19">
        <v>23456.9</v>
      </c>
      <c r="W221" s="19">
        <v>23625.8</v>
      </c>
      <c r="X221" s="19">
        <v>23802.7</v>
      </c>
      <c r="Y221" s="19">
        <v>23988.2</v>
      </c>
      <c r="Z221" s="19">
        <v>24182.6</v>
      </c>
      <c r="AA221" s="19">
        <v>24386.3</v>
      </c>
      <c r="AB221" s="19">
        <v>24599.8</v>
      </c>
      <c r="AC221" s="19">
        <v>24823.7</v>
      </c>
      <c r="AD221" s="19">
        <v>25058.3</v>
      </c>
      <c r="AE221" s="19">
        <v>25304.2</v>
      </c>
      <c r="AF221" s="19">
        <v>25562.1</v>
      </c>
      <c r="AG221" s="19">
        <v>25832.400000000001</v>
      </c>
      <c r="AH221" s="19">
        <v>26115.9</v>
      </c>
      <c r="AI221" s="19">
        <v>26413.200000000001</v>
      </c>
      <c r="AJ221" s="19">
        <v>26725</v>
      </c>
      <c r="AK221" s="19">
        <v>27052.1</v>
      </c>
      <c r="AL221" s="19">
        <v>27395.200000000001</v>
      </c>
      <c r="AM221" s="19">
        <v>27755.200000000001</v>
      </c>
      <c r="AN221" s="19">
        <v>28133.1</v>
      </c>
      <c r="AO221" s="19">
        <v>28529.8</v>
      </c>
      <c r="AP221" s="19">
        <v>28946.400000000001</v>
      </c>
      <c r="AQ221" s="19">
        <v>29384</v>
      </c>
      <c r="AR221" s="19">
        <v>29843.8</v>
      </c>
      <c r="AS221" s="19">
        <v>29327.1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19">
        <v>0</v>
      </c>
      <c r="CL221" s="19">
        <v>0</v>
      </c>
      <c r="CM221" s="19">
        <v>0</v>
      </c>
      <c r="CN221" s="19">
        <v>0</v>
      </c>
      <c r="CO221" s="19">
        <v>0</v>
      </c>
      <c r="CP221" s="19">
        <v>0</v>
      </c>
      <c r="CQ221" s="19">
        <v>0</v>
      </c>
      <c r="CR221" s="19">
        <v>0</v>
      </c>
      <c r="CS221" s="19">
        <v>0</v>
      </c>
      <c r="CT221" s="19">
        <v>0</v>
      </c>
      <c r="CU221" s="19">
        <v>0</v>
      </c>
      <c r="CV221" s="19">
        <v>0</v>
      </c>
      <c r="CW221" s="19">
        <v>0</v>
      </c>
      <c r="CX221" s="19">
        <v>0</v>
      </c>
      <c r="CY221" s="19">
        <v>0</v>
      </c>
      <c r="CZ221" s="19">
        <v>0</v>
      </c>
      <c r="DA221" s="19">
        <v>0</v>
      </c>
      <c r="DB221" s="19">
        <v>0</v>
      </c>
      <c r="DC221" s="19">
        <v>0</v>
      </c>
      <c r="DD221" s="19">
        <v>0</v>
      </c>
      <c r="DE221" s="19">
        <v>0</v>
      </c>
      <c r="DF221" s="19">
        <v>0</v>
      </c>
      <c r="DG221" s="19">
        <v>0</v>
      </c>
    </row>
    <row r="222" spans="2:111" x14ac:dyDescent="0.15">
      <c r="B222" s="19" t="str">
        <f t="shared" si="3"/>
        <v>1_女_21</v>
      </c>
      <c r="C222" s="18">
        <v>1</v>
      </c>
      <c r="D222" s="18" t="s">
        <v>2</v>
      </c>
      <c r="E222" s="18">
        <v>21</v>
      </c>
      <c r="F222" s="19">
        <v>18968.099999999999</v>
      </c>
      <c r="G222" s="19">
        <v>19913.900000000001</v>
      </c>
      <c r="H222" s="19">
        <v>20907</v>
      </c>
      <c r="I222" s="19">
        <v>21950</v>
      </c>
      <c r="J222" s="19">
        <v>22045.200000000001</v>
      </c>
      <c r="K222" s="19">
        <v>22145.1</v>
      </c>
      <c r="L222" s="19">
        <v>22249.9</v>
      </c>
      <c r="M222" s="19">
        <v>22359.9</v>
      </c>
      <c r="N222" s="19">
        <v>22475.3</v>
      </c>
      <c r="O222" s="19">
        <v>22596.400000000001</v>
      </c>
      <c r="P222" s="19">
        <v>22723.4</v>
      </c>
      <c r="Q222" s="19">
        <v>22856.7</v>
      </c>
      <c r="R222" s="19">
        <v>22996.400000000001</v>
      </c>
      <c r="S222" s="19">
        <v>23142.9</v>
      </c>
      <c r="T222" s="19">
        <v>23296.5</v>
      </c>
      <c r="U222" s="19">
        <v>23457.599999999999</v>
      </c>
      <c r="V222" s="19">
        <v>23626.400000000001</v>
      </c>
      <c r="W222" s="19">
        <v>23803.4</v>
      </c>
      <c r="X222" s="19">
        <v>23988.799999999999</v>
      </c>
      <c r="Y222" s="19">
        <v>24183.3</v>
      </c>
      <c r="Z222" s="19">
        <v>24387</v>
      </c>
      <c r="AA222" s="19">
        <v>24600.6</v>
      </c>
      <c r="AB222" s="19">
        <v>24824.400000000001</v>
      </c>
      <c r="AC222" s="19">
        <v>25059</v>
      </c>
      <c r="AD222" s="19">
        <v>25305</v>
      </c>
      <c r="AE222" s="19">
        <v>25562.799999999999</v>
      </c>
      <c r="AF222" s="19">
        <v>25833.1</v>
      </c>
      <c r="AG222" s="19">
        <v>26116.6</v>
      </c>
      <c r="AH222" s="19">
        <v>26413.9</v>
      </c>
      <c r="AI222" s="19">
        <v>26725.599999999999</v>
      </c>
      <c r="AJ222" s="19">
        <v>27052.7</v>
      </c>
      <c r="AK222" s="19">
        <v>27395.7</v>
      </c>
      <c r="AL222" s="19">
        <v>27755.7</v>
      </c>
      <c r="AM222" s="19">
        <v>28133.599999999999</v>
      </c>
      <c r="AN222" s="19">
        <v>28530.2</v>
      </c>
      <c r="AO222" s="19">
        <v>28946.7</v>
      </c>
      <c r="AP222" s="19">
        <v>29384.2</v>
      </c>
      <c r="AQ222" s="19">
        <v>29843.9</v>
      </c>
      <c r="AR222" s="19">
        <v>29327.1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>
        <v>0</v>
      </c>
      <c r="BW222" s="19">
        <v>0</v>
      </c>
      <c r="BX222" s="19">
        <v>0</v>
      </c>
      <c r="BY222" s="19">
        <v>0</v>
      </c>
      <c r="BZ222" s="19">
        <v>0</v>
      </c>
      <c r="CA222" s="19">
        <v>0</v>
      </c>
      <c r="CB222" s="19">
        <v>0</v>
      </c>
      <c r="CC222" s="19">
        <v>0</v>
      </c>
      <c r="CD222" s="19">
        <v>0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19">
        <v>0</v>
      </c>
      <c r="CL222" s="19">
        <v>0</v>
      </c>
      <c r="CM222" s="19">
        <v>0</v>
      </c>
      <c r="CN222" s="19">
        <v>0</v>
      </c>
      <c r="CO222" s="19">
        <v>0</v>
      </c>
      <c r="CP222" s="19">
        <v>0</v>
      </c>
      <c r="CQ222" s="19">
        <v>0</v>
      </c>
      <c r="CR222" s="19">
        <v>0</v>
      </c>
      <c r="CS222" s="19">
        <v>0</v>
      </c>
      <c r="CT222" s="19">
        <v>0</v>
      </c>
      <c r="CU222" s="19">
        <v>0</v>
      </c>
      <c r="CV222" s="19">
        <v>0</v>
      </c>
      <c r="CW222" s="19">
        <v>0</v>
      </c>
      <c r="CX222" s="19">
        <v>0</v>
      </c>
      <c r="CY222" s="19">
        <v>0</v>
      </c>
      <c r="CZ222" s="19">
        <v>0</v>
      </c>
      <c r="DA222" s="19">
        <v>0</v>
      </c>
      <c r="DB222" s="19">
        <v>0</v>
      </c>
      <c r="DC222" s="19">
        <v>0</v>
      </c>
      <c r="DD222" s="19">
        <v>0</v>
      </c>
      <c r="DE222" s="19">
        <v>0</v>
      </c>
      <c r="DF222" s="19">
        <v>0</v>
      </c>
      <c r="DG222" s="19">
        <v>0</v>
      </c>
    </row>
    <row r="223" spans="2:111" x14ac:dyDescent="0.15">
      <c r="B223" s="19" t="str">
        <f t="shared" si="3"/>
        <v>1_女_22</v>
      </c>
      <c r="C223" s="18">
        <v>1</v>
      </c>
      <c r="D223" s="18" t="s">
        <v>2</v>
      </c>
      <c r="E223" s="18">
        <v>22</v>
      </c>
      <c r="F223" s="19">
        <v>19051</v>
      </c>
      <c r="G223" s="19">
        <v>20000.8</v>
      </c>
      <c r="H223" s="19">
        <v>20998.3</v>
      </c>
      <c r="I223" s="19">
        <v>22045.7</v>
      </c>
      <c r="J223" s="19">
        <v>22145.599999999999</v>
      </c>
      <c r="K223" s="19">
        <v>22250.5</v>
      </c>
      <c r="L223" s="19">
        <v>22360.5</v>
      </c>
      <c r="M223" s="19">
        <v>22475.9</v>
      </c>
      <c r="N223" s="19">
        <v>22597</v>
      </c>
      <c r="O223" s="19">
        <v>22724</v>
      </c>
      <c r="P223" s="19">
        <v>22857.3</v>
      </c>
      <c r="Q223" s="19">
        <v>22997</v>
      </c>
      <c r="R223" s="19">
        <v>23143.5</v>
      </c>
      <c r="S223" s="19">
        <v>23297.200000000001</v>
      </c>
      <c r="T223" s="19">
        <v>23458.2</v>
      </c>
      <c r="U223" s="19">
        <v>23627.1</v>
      </c>
      <c r="V223" s="19">
        <v>23804.1</v>
      </c>
      <c r="W223" s="19">
        <v>23989.599999999999</v>
      </c>
      <c r="X223" s="19">
        <v>24184</v>
      </c>
      <c r="Y223" s="19">
        <v>24387.7</v>
      </c>
      <c r="Z223" s="19">
        <v>24601.3</v>
      </c>
      <c r="AA223" s="19">
        <v>24825.1</v>
      </c>
      <c r="AB223" s="19">
        <v>25059.7</v>
      </c>
      <c r="AC223" s="19">
        <v>25305.7</v>
      </c>
      <c r="AD223" s="19">
        <v>25563.5</v>
      </c>
      <c r="AE223" s="19">
        <v>25833.8</v>
      </c>
      <c r="AF223" s="19">
        <v>26117.3</v>
      </c>
      <c r="AG223" s="19">
        <v>26414.5</v>
      </c>
      <c r="AH223" s="19">
        <v>26726.3</v>
      </c>
      <c r="AI223" s="19">
        <v>27053.3</v>
      </c>
      <c r="AJ223" s="19">
        <v>27396.3</v>
      </c>
      <c r="AK223" s="19">
        <v>27756.3</v>
      </c>
      <c r="AL223" s="19">
        <v>28134</v>
      </c>
      <c r="AM223" s="19">
        <v>28530.6</v>
      </c>
      <c r="AN223" s="19">
        <v>28947</v>
      </c>
      <c r="AO223" s="19">
        <v>29384.400000000001</v>
      </c>
      <c r="AP223" s="19">
        <v>29844</v>
      </c>
      <c r="AQ223" s="19">
        <v>29327.1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19">
        <v>0</v>
      </c>
      <c r="CL223" s="19">
        <v>0</v>
      </c>
      <c r="CM223" s="19">
        <v>0</v>
      </c>
      <c r="CN223" s="19">
        <v>0</v>
      </c>
      <c r="CO223" s="19">
        <v>0</v>
      </c>
      <c r="CP223" s="19">
        <v>0</v>
      </c>
      <c r="CQ223" s="19">
        <v>0</v>
      </c>
      <c r="CR223" s="19">
        <v>0</v>
      </c>
      <c r="CS223" s="19">
        <v>0</v>
      </c>
      <c r="CT223" s="19">
        <v>0</v>
      </c>
      <c r="CU223" s="19">
        <v>0</v>
      </c>
      <c r="CV223" s="19">
        <v>0</v>
      </c>
      <c r="CW223" s="19">
        <v>0</v>
      </c>
      <c r="CX223" s="19">
        <v>0</v>
      </c>
      <c r="CY223" s="19">
        <v>0</v>
      </c>
      <c r="CZ223" s="19">
        <v>0</v>
      </c>
      <c r="DA223" s="19">
        <v>0</v>
      </c>
      <c r="DB223" s="19">
        <v>0</v>
      </c>
      <c r="DC223" s="19">
        <v>0</v>
      </c>
      <c r="DD223" s="19">
        <v>0</v>
      </c>
      <c r="DE223" s="19">
        <v>0</v>
      </c>
      <c r="DF223" s="19">
        <v>0</v>
      </c>
      <c r="DG223" s="19">
        <v>0</v>
      </c>
    </row>
    <row r="224" spans="2:111" x14ac:dyDescent="0.15">
      <c r="B224" s="19" t="str">
        <f t="shared" si="3"/>
        <v>1_女_23</v>
      </c>
      <c r="C224" s="18">
        <v>1</v>
      </c>
      <c r="D224" s="18" t="s">
        <v>2</v>
      </c>
      <c r="E224" s="18">
        <v>23</v>
      </c>
      <c r="F224" s="19">
        <v>19138</v>
      </c>
      <c r="G224" s="19">
        <v>20092.099999999999</v>
      </c>
      <c r="H224" s="19">
        <v>21094</v>
      </c>
      <c r="I224" s="19">
        <v>22146.1</v>
      </c>
      <c r="J224" s="19">
        <v>22251</v>
      </c>
      <c r="K224" s="19">
        <v>22361</v>
      </c>
      <c r="L224" s="19">
        <v>22476.5</v>
      </c>
      <c r="M224" s="19">
        <v>22597.599999999999</v>
      </c>
      <c r="N224" s="19">
        <v>22724.6</v>
      </c>
      <c r="O224" s="19">
        <v>22857.9</v>
      </c>
      <c r="P224" s="19">
        <v>22997.599999999999</v>
      </c>
      <c r="Q224" s="19">
        <v>23144.2</v>
      </c>
      <c r="R224" s="19">
        <v>23297.8</v>
      </c>
      <c r="S224" s="19">
        <v>23458.9</v>
      </c>
      <c r="T224" s="19">
        <v>23627.8</v>
      </c>
      <c r="U224" s="19">
        <v>23804.799999999999</v>
      </c>
      <c r="V224" s="19">
        <v>23990.3</v>
      </c>
      <c r="W224" s="19">
        <v>24184.7</v>
      </c>
      <c r="X224" s="19">
        <v>24388.5</v>
      </c>
      <c r="Y224" s="19">
        <v>24602</v>
      </c>
      <c r="Z224" s="19">
        <v>24825.9</v>
      </c>
      <c r="AA224" s="19">
        <v>25060.5</v>
      </c>
      <c r="AB224" s="19">
        <v>25306.400000000001</v>
      </c>
      <c r="AC224" s="19">
        <v>25564.3</v>
      </c>
      <c r="AD224" s="19">
        <v>25834.6</v>
      </c>
      <c r="AE224" s="19">
        <v>26118</v>
      </c>
      <c r="AF224" s="19">
        <v>26415.200000000001</v>
      </c>
      <c r="AG224" s="19">
        <v>26727</v>
      </c>
      <c r="AH224" s="19">
        <v>27053.9</v>
      </c>
      <c r="AI224" s="19">
        <v>27396.9</v>
      </c>
      <c r="AJ224" s="19">
        <v>27756.799999999999</v>
      </c>
      <c r="AK224" s="19">
        <v>28134.5</v>
      </c>
      <c r="AL224" s="19">
        <v>28531</v>
      </c>
      <c r="AM224" s="19">
        <v>28947.4</v>
      </c>
      <c r="AN224" s="19">
        <v>29384.7</v>
      </c>
      <c r="AO224" s="19">
        <v>29844.1</v>
      </c>
      <c r="AP224" s="19">
        <v>29327.1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0</v>
      </c>
      <c r="BV224" s="19">
        <v>0</v>
      </c>
      <c r="BW224" s="19">
        <v>0</v>
      </c>
      <c r="BX224" s="19">
        <v>0</v>
      </c>
      <c r="BY224" s="19">
        <v>0</v>
      </c>
      <c r="BZ224" s="19">
        <v>0</v>
      </c>
      <c r="CA224" s="19">
        <v>0</v>
      </c>
      <c r="CB224" s="19">
        <v>0</v>
      </c>
      <c r="CC224" s="19">
        <v>0</v>
      </c>
      <c r="CD224" s="19">
        <v>0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19">
        <v>0</v>
      </c>
      <c r="CL224" s="19">
        <v>0</v>
      </c>
      <c r="CM224" s="19">
        <v>0</v>
      </c>
      <c r="CN224" s="19">
        <v>0</v>
      </c>
      <c r="CO224" s="19">
        <v>0</v>
      </c>
      <c r="CP224" s="19">
        <v>0</v>
      </c>
      <c r="CQ224" s="19">
        <v>0</v>
      </c>
      <c r="CR224" s="19">
        <v>0</v>
      </c>
      <c r="CS224" s="19">
        <v>0</v>
      </c>
      <c r="CT224" s="19">
        <v>0</v>
      </c>
      <c r="CU224" s="19">
        <v>0</v>
      </c>
      <c r="CV224" s="19">
        <v>0</v>
      </c>
      <c r="CW224" s="19">
        <v>0</v>
      </c>
      <c r="CX224" s="19">
        <v>0</v>
      </c>
      <c r="CY224" s="19">
        <v>0</v>
      </c>
      <c r="CZ224" s="19">
        <v>0</v>
      </c>
      <c r="DA224" s="19">
        <v>0</v>
      </c>
      <c r="DB224" s="19">
        <v>0</v>
      </c>
      <c r="DC224" s="19">
        <v>0</v>
      </c>
      <c r="DD224" s="19">
        <v>0</v>
      </c>
      <c r="DE224" s="19">
        <v>0</v>
      </c>
      <c r="DF224" s="19">
        <v>0</v>
      </c>
      <c r="DG224" s="19">
        <v>0</v>
      </c>
    </row>
    <row r="225" spans="2:111" x14ac:dyDescent="0.15">
      <c r="B225" s="19" t="str">
        <f t="shared" si="3"/>
        <v>1_女_24</v>
      </c>
      <c r="C225" s="18">
        <v>1</v>
      </c>
      <c r="D225" s="18" t="s">
        <v>2</v>
      </c>
      <c r="E225" s="18">
        <v>24</v>
      </c>
      <c r="F225" s="19">
        <v>19229.3</v>
      </c>
      <c r="G225" s="19">
        <v>20187.900000000001</v>
      </c>
      <c r="H225" s="19">
        <v>21194.5</v>
      </c>
      <c r="I225" s="19">
        <v>22251.5</v>
      </c>
      <c r="J225" s="19">
        <v>22361.599999999999</v>
      </c>
      <c r="K225" s="19">
        <v>22477</v>
      </c>
      <c r="L225" s="19">
        <v>22598.2</v>
      </c>
      <c r="M225" s="19">
        <v>22725.200000000001</v>
      </c>
      <c r="N225" s="19">
        <v>22858.5</v>
      </c>
      <c r="O225" s="19">
        <v>22998.3</v>
      </c>
      <c r="P225" s="19">
        <v>23144.9</v>
      </c>
      <c r="Q225" s="19">
        <v>23298.5</v>
      </c>
      <c r="R225" s="19">
        <v>23459.599999999999</v>
      </c>
      <c r="S225" s="19">
        <v>23628.5</v>
      </c>
      <c r="T225" s="19">
        <v>23805.5</v>
      </c>
      <c r="U225" s="19">
        <v>23991</v>
      </c>
      <c r="V225" s="19">
        <v>24185.5</v>
      </c>
      <c r="W225" s="19">
        <v>24389.200000000001</v>
      </c>
      <c r="X225" s="19">
        <v>24602.799999999999</v>
      </c>
      <c r="Y225" s="19">
        <v>24826.7</v>
      </c>
      <c r="Z225" s="19">
        <v>25061.3</v>
      </c>
      <c r="AA225" s="19">
        <v>25307.200000000001</v>
      </c>
      <c r="AB225" s="19">
        <v>25565</v>
      </c>
      <c r="AC225" s="19">
        <v>25835.3</v>
      </c>
      <c r="AD225" s="19">
        <v>26118.799999999999</v>
      </c>
      <c r="AE225" s="19">
        <v>26416</v>
      </c>
      <c r="AF225" s="19">
        <v>26727.7</v>
      </c>
      <c r="AG225" s="19">
        <v>27054.6</v>
      </c>
      <c r="AH225" s="19">
        <v>27397.5</v>
      </c>
      <c r="AI225" s="19">
        <v>27757.4</v>
      </c>
      <c r="AJ225" s="19">
        <v>28135</v>
      </c>
      <c r="AK225" s="19">
        <v>28531.5</v>
      </c>
      <c r="AL225" s="19">
        <v>28947.7</v>
      </c>
      <c r="AM225" s="19">
        <v>29384.9</v>
      </c>
      <c r="AN225" s="19">
        <v>29844.3</v>
      </c>
      <c r="AO225" s="19">
        <v>29327.1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19">
        <v>0</v>
      </c>
      <c r="CL225" s="19">
        <v>0</v>
      </c>
      <c r="CM225" s="19">
        <v>0</v>
      </c>
      <c r="CN225" s="19">
        <v>0</v>
      </c>
      <c r="CO225" s="19">
        <v>0</v>
      </c>
      <c r="CP225" s="19">
        <v>0</v>
      </c>
      <c r="CQ225" s="19">
        <v>0</v>
      </c>
      <c r="CR225" s="19">
        <v>0</v>
      </c>
      <c r="CS225" s="19">
        <v>0</v>
      </c>
      <c r="CT225" s="19">
        <v>0</v>
      </c>
      <c r="CU225" s="19">
        <v>0</v>
      </c>
      <c r="CV225" s="19">
        <v>0</v>
      </c>
      <c r="CW225" s="19">
        <v>0</v>
      </c>
      <c r="CX225" s="19">
        <v>0</v>
      </c>
      <c r="CY225" s="19">
        <v>0</v>
      </c>
      <c r="CZ225" s="19">
        <v>0</v>
      </c>
      <c r="DA225" s="19">
        <v>0</v>
      </c>
      <c r="DB225" s="19">
        <v>0</v>
      </c>
      <c r="DC225" s="19">
        <v>0</v>
      </c>
      <c r="DD225" s="19">
        <v>0</v>
      </c>
      <c r="DE225" s="19">
        <v>0</v>
      </c>
      <c r="DF225" s="19">
        <v>0</v>
      </c>
      <c r="DG225" s="19">
        <v>0</v>
      </c>
    </row>
    <row r="226" spans="2:111" x14ac:dyDescent="0.15">
      <c r="B226" s="19" t="str">
        <f t="shared" si="3"/>
        <v>1_女_25</v>
      </c>
      <c r="C226" s="18">
        <v>1</v>
      </c>
      <c r="D226" s="18" t="s">
        <v>2</v>
      </c>
      <c r="E226" s="18">
        <v>25</v>
      </c>
      <c r="F226" s="19">
        <v>19325.099999999999</v>
      </c>
      <c r="G226" s="19">
        <v>20288.400000000001</v>
      </c>
      <c r="H226" s="19">
        <v>21299.9</v>
      </c>
      <c r="I226" s="19">
        <v>22362.2</v>
      </c>
      <c r="J226" s="19">
        <v>22477.599999999999</v>
      </c>
      <c r="K226" s="19">
        <v>22598.799999999999</v>
      </c>
      <c r="L226" s="19">
        <v>22725.9</v>
      </c>
      <c r="M226" s="19">
        <v>22859.200000000001</v>
      </c>
      <c r="N226" s="19">
        <v>22999</v>
      </c>
      <c r="O226" s="19">
        <v>23145.5</v>
      </c>
      <c r="P226" s="19">
        <v>23299.200000000001</v>
      </c>
      <c r="Q226" s="19">
        <v>23460.400000000001</v>
      </c>
      <c r="R226" s="19">
        <v>23629.200000000001</v>
      </c>
      <c r="S226" s="19">
        <v>23806.3</v>
      </c>
      <c r="T226" s="19">
        <v>23991.8</v>
      </c>
      <c r="U226" s="19">
        <v>24186.2</v>
      </c>
      <c r="V226" s="19">
        <v>24390</v>
      </c>
      <c r="W226" s="19">
        <v>24603.599999999999</v>
      </c>
      <c r="X226" s="19">
        <v>24827.5</v>
      </c>
      <c r="Y226" s="19">
        <v>25062.1</v>
      </c>
      <c r="Z226" s="19">
        <v>25308</v>
      </c>
      <c r="AA226" s="19">
        <v>25565.8</v>
      </c>
      <c r="AB226" s="19">
        <v>25836.1</v>
      </c>
      <c r="AC226" s="19">
        <v>26119.5</v>
      </c>
      <c r="AD226" s="19">
        <v>26416.7</v>
      </c>
      <c r="AE226" s="19">
        <v>26728.400000000001</v>
      </c>
      <c r="AF226" s="19">
        <v>27055.3</v>
      </c>
      <c r="AG226" s="19">
        <v>27398.2</v>
      </c>
      <c r="AH226" s="19">
        <v>27758</v>
      </c>
      <c r="AI226" s="19">
        <v>28135.599999999999</v>
      </c>
      <c r="AJ226" s="19">
        <v>28531.9</v>
      </c>
      <c r="AK226" s="19">
        <v>28948.1</v>
      </c>
      <c r="AL226" s="19">
        <v>29385.200000000001</v>
      </c>
      <c r="AM226" s="19">
        <v>29844.400000000001</v>
      </c>
      <c r="AN226" s="19">
        <v>29327.1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0</v>
      </c>
      <c r="BV226" s="19">
        <v>0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0</v>
      </c>
      <c r="CD226" s="19">
        <v>0</v>
      </c>
      <c r="CE226" s="19">
        <v>0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19">
        <v>0</v>
      </c>
      <c r="CL226" s="19">
        <v>0</v>
      </c>
      <c r="CM226" s="19">
        <v>0</v>
      </c>
      <c r="CN226" s="19">
        <v>0</v>
      </c>
      <c r="CO226" s="19">
        <v>0</v>
      </c>
      <c r="CP226" s="19">
        <v>0</v>
      </c>
      <c r="CQ226" s="19">
        <v>0</v>
      </c>
      <c r="CR226" s="19">
        <v>0</v>
      </c>
      <c r="CS226" s="19">
        <v>0</v>
      </c>
      <c r="CT226" s="19">
        <v>0</v>
      </c>
      <c r="CU226" s="19">
        <v>0</v>
      </c>
      <c r="CV226" s="19">
        <v>0</v>
      </c>
      <c r="CW226" s="19">
        <v>0</v>
      </c>
      <c r="CX226" s="19">
        <v>0</v>
      </c>
      <c r="CY226" s="19">
        <v>0</v>
      </c>
      <c r="CZ226" s="19">
        <v>0</v>
      </c>
      <c r="DA226" s="19">
        <v>0</v>
      </c>
      <c r="DB226" s="19">
        <v>0</v>
      </c>
      <c r="DC226" s="19">
        <v>0</v>
      </c>
      <c r="DD226" s="19">
        <v>0</v>
      </c>
      <c r="DE226" s="19">
        <v>0</v>
      </c>
      <c r="DF226" s="19">
        <v>0</v>
      </c>
      <c r="DG226" s="19">
        <v>0</v>
      </c>
    </row>
    <row r="227" spans="2:111" x14ac:dyDescent="0.15">
      <c r="B227" s="19" t="str">
        <f t="shared" si="3"/>
        <v>1_女_26</v>
      </c>
      <c r="C227" s="18">
        <v>1</v>
      </c>
      <c r="D227" s="18" t="s">
        <v>2</v>
      </c>
      <c r="E227" s="18">
        <v>26</v>
      </c>
      <c r="F227" s="19">
        <v>19425.7</v>
      </c>
      <c r="G227" s="19">
        <v>20393.900000000001</v>
      </c>
      <c r="H227" s="19">
        <v>21410.6</v>
      </c>
      <c r="I227" s="19">
        <v>22478.3</v>
      </c>
      <c r="J227" s="19">
        <v>22599.4</v>
      </c>
      <c r="K227" s="19">
        <v>22726.5</v>
      </c>
      <c r="L227" s="19">
        <v>22859.8</v>
      </c>
      <c r="M227" s="19">
        <v>22999.599999999999</v>
      </c>
      <c r="N227" s="19">
        <v>23146.3</v>
      </c>
      <c r="O227" s="19">
        <v>23300</v>
      </c>
      <c r="P227" s="19">
        <v>23461.1</v>
      </c>
      <c r="Q227" s="19">
        <v>23630</v>
      </c>
      <c r="R227" s="19">
        <v>23807</v>
      </c>
      <c r="S227" s="19">
        <v>23992.6</v>
      </c>
      <c r="T227" s="19">
        <v>24187</v>
      </c>
      <c r="U227" s="19">
        <v>24390.799999999999</v>
      </c>
      <c r="V227" s="19">
        <v>24604.400000000001</v>
      </c>
      <c r="W227" s="19">
        <v>24828.3</v>
      </c>
      <c r="X227" s="19">
        <v>25062.9</v>
      </c>
      <c r="Y227" s="19">
        <v>25308.799999999999</v>
      </c>
      <c r="Z227" s="19">
        <v>25566.7</v>
      </c>
      <c r="AA227" s="19">
        <v>25836.9</v>
      </c>
      <c r="AB227" s="19">
        <v>26120.3</v>
      </c>
      <c r="AC227" s="19">
        <v>26417.5</v>
      </c>
      <c r="AD227" s="19">
        <v>26729.1</v>
      </c>
      <c r="AE227" s="19">
        <v>27056</v>
      </c>
      <c r="AF227" s="19">
        <v>27398.799999999999</v>
      </c>
      <c r="AG227" s="19">
        <v>27758.6</v>
      </c>
      <c r="AH227" s="19">
        <v>28136.1</v>
      </c>
      <c r="AI227" s="19">
        <v>28532.400000000001</v>
      </c>
      <c r="AJ227" s="19">
        <v>28948.400000000001</v>
      </c>
      <c r="AK227" s="19">
        <v>29385.4</v>
      </c>
      <c r="AL227" s="19">
        <v>29844.6</v>
      </c>
      <c r="AM227" s="19">
        <v>29327.1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19">
        <v>0</v>
      </c>
      <c r="CL227" s="19">
        <v>0</v>
      </c>
      <c r="CM227" s="19">
        <v>0</v>
      </c>
      <c r="CN227" s="19">
        <v>0</v>
      </c>
      <c r="CO227" s="19">
        <v>0</v>
      </c>
      <c r="CP227" s="19">
        <v>0</v>
      </c>
      <c r="CQ227" s="19">
        <v>0</v>
      </c>
      <c r="CR227" s="19">
        <v>0</v>
      </c>
      <c r="CS227" s="19">
        <v>0</v>
      </c>
      <c r="CT227" s="19">
        <v>0</v>
      </c>
      <c r="CU227" s="19">
        <v>0</v>
      </c>
      <c r="CV227" s="19">
        <v>0</v>
      </c>
      <c r="CW227" s="19">
        <v>0</v>
      </c>
      <c r="CX227" s="19">
        <v>0</v>
      </c>
      <c r="CY227" s="19">
        <v>0</v>
      </c>
      <c r="CZ227" s="19">
        <v>0</v>
      </c>
      <c r="DA227" s="19">
        <v>0</v>
      </c>
      <c r="DB227" s="19">
        <v>0</v>
      </c>
      <c r="DC227" s="19">
        <v>0</v>
      </c>
      <c r="DD227" s="19">
        <v>0</v>
      </c>
      <c r="DE227" s="19">
        <v>0</v>
      </c>
      <c r="DF227" s="19">
        <v>0</v>
      </c>
      <c r="DG227" s="19">
        <v>0</v>
      </c>
    </row>
    <row r="228" spans="2:111" x14ac:dyDescent="0.15">
      <c r="B228" s="19" t="str">
        <f t="shared" si="3"/>
        <v>1_女_27</v>
      </c>
      <c r="C228" s="18">
        <v>1</v>
      </c>
      <c r="D228" s="18" t="s">
        <v>2</v>
      </c>
      <c r="E228" s="18">
        <v>27</v>
      </c>
      <c r="F228" s="19">
        <v>19531.3</v>
      </c>
      <c r="G228" s="19">
        <v>20504.599999999999</v>
      </c>
      <c r="H228" s="19">
        <v>21526.799999999999</v>
      </c>
      <c r="I228" s="19">
        <v>22600.1</v>
      </c>
      <c r="J228" s="19">
        <v>22727.200000000001</v>
      </c>
      <c r="K228" s="19">
        <v>22860.5</v>
      </c>
      <c r="L228" s="19">
        <v>23000.400000000001</v>
      </c>
      <c r="M228" s="19">
        <v>23147</v>
      </c>
      <c r="N228" s="19">
        <v>23300.7</v>
      </c>
      <c r="O228" s="19">
        <v>23461.9</v>
      </c>
      <c r="P228" s="19">
        <v>23630.799999999999</v>
      </c>
      <c r="Q228" s="19">
        <v>23807.8</v>
      </c>
      <c r="R228" s="19">
        <v>23993.4</v>
      </c>
      <c r="S228" s="19">
        <v>24187.9</v>
      </c>
      <c r="T228" s="19">
        <v>24391.7</v>
      </c>
      <c r="U228" s="19">
        <v>24605.3</v>
      </c>
      <c r="V228" s="19">
        <v>24829.1</v>
      </c>
      <c r="W228" s="19">
        <v>25063.8</v>
      </c>
      <c r="X228" s="19">
        <v>25309.7</v>
      </c>
      <c r="Y228" s="19">
        <v>25567.5</v>
      </c>
      <c r="Z228" s="19">
        <v>25837.8</v>
      </c>
      <c r="AA228" s="19">
        <v>26121.1</v>
      </c>
      <c r="AB228" s="19">
        <v>26418.3</v>
      </c>
      <c r="AC228" s="19">
        <v>26729.9</v>
      </c>
      <c r="AD228" s="19">
        <v>27056.7</v>
      </c>
      <c r="AE228" s="19">
        <v>27399.5</v>
      </c>
      <c r="AF228" s="19">
        <v>27759.200000000001</v>
      </c>
      <c r="AG228" s="19">
        <v>28136.7</v>
      </c>
      <c r="AH228" s="19">
        <v>28532.799999999999</v>
      </c>
      <c r="AI228" s="19">
        <v>28948.799999999999</v>
      </c>
      <c r="AJ228" s="19">
        <v>29385.7</v>
      </c>
      <c r="AK228" s="19">
        <v>29844.7</v>
      </c>
      <c r="AL228" s="19">
        <v>29327.1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0</v>
      </c>
      <c r="CN228" s="19">
        <v>0</v>
      </c>
      <c r="CO228" s="19">
        <v>0</v>
      </c>
      <c r="CP228" s="19">
        <v>0</v>
      </c>
      <c r="CQ228" s="19">
        <v>0</v>
      </c>
      <c r="CR228" s="19">
        <v>0</v>
      </c>
      <c r="CS228" s="19">
        <v>0</v>
      </c>
      <c r="CT228" s="19">
        <v>0</v>
      </c>
      <c r="CU228" s="19">
        <v>0</v>
      </c>
      <c r="CV228" s="19">
        <v>0</v>
      </c>
      <c r="CW228" s="19">
        <v>0</v>
      </c>
      <c r="CX228" s="19">
        <v>0</v>
      </c>
      <c r="CY228" s="19">
        <v>0</v>
      </c>
      <c r="CZ228" s="19">
        <v>0</v>
      </c>
      <c r="DA228" s="19">
        <v>0</v>
      </c>
      <c r="DB228" s="19">
        <v>0</v>
      </c>
      <c r="DC228" s="19">
        <v>0</v>
      </c>
      <c r="DD228" s="19">
        <v>0</v>
      </c>
      <c r="DE228" s="19">
        <v>0</v>
      </c>
      <c r="DF228" s="19">
        <v>0</v>
      </c>
      <c r="DG228" s="19">
        <v>0</v>
      </c>
    </row>
    <row r="229" spans="2:111" x14ac:dyDescent="0.15">
      <c r="B229" s="19" t="str">
        <f t="shared" si="3"/>
        <v>1_女_28</v>
      </c>
      <c r="C229" s="18">
        <v>1</v>
      </c>
      <c r="D229" s="18" t="s">
        <v>2</v>
      </c>
      <c r="E229" s="18">
        <v>28</v>
      </c>
      <c r="F229" s="19">
        <v>19642.099999999999</v>
      </c>
      <c r="G229" s="19">
        <v>20620.8</v>
      </c>
      <c r="H229" s="19">
        <v>21648.6</v>
      </c>
      <c r="I229" s="19">
        <v>22727.9</v>
      </c>
      <c r="J229" s="19">
        <v>22861.3</v>
      </c>
      <c r="K229" s="19">
        <v>23001.1</v>
      </c>
      <c r="L229" s="19">
        <v>23147.7</v>
      </c>
      <c r="M229" s="19">
        <v>23301.5</v>
      </c>
      <c r="N229" s="19">
        <v>23462.7</v>
      </c>
      <c r="O229" s="19">
        <v>23631.599999999999</v>
      </c>
      <c r="P229" s="19">
        <v>23808.7</v>
      </c>
      <c r="Q229" s="19">
        <v>23994.2</v>
      </c>
      <c r="R229" s="19">
        <v>24188.7</v>
      </c>
      <c r="S229" s="19">
        <v>24392.5</v>
      </c>
      <c r="T229" s="19">
        <v>24606.1</v>
      </c>
      <c r="U229" s="19">
        <v>24830</v>
      </c>
      <c r="V229" s="19">
        <v>25064.6</v>
      </c>
      <c r="W229" s="19">
        <v>25310.6</v>
      </c>
      <c r="X229" s="19">
        <v>25568.400000000001</v>
      </c>
      <c r="Y229" s="19">
        <v>25838.6</v>
      </c>
      <c r="Z229" s="19">
        <v>26122</v>
      </c>
      <c r="AA229" s="19">
        <v>26419.1</v>
      </c>
      <c r="AB229" s="19">
        <v>26730.7</v>
      </c>
      <c r="AC229" s="19">
        <v>27057.4</v>
      </c>
      <c r="AD229" s="19">
        <v>27400.2</v>
      </c>
      <c r="AE229" s="19">
        <v>27759.8</v>
      </c>
      <c r="AF229" s="19">
        <v>28137.200000000001</v>
      </c>
      <c r="AG229" s="19">
        <v>28533.3</v>
      </c>
      <c r="AH229" s="19">
        <v>28949.200000000001</v>
      </c>
      <c r="AI229" s="19">
        <v>29386</v>
      </c>
      <c r="AJ229" s="19">
        <v>29844.799999999999</v>
      </c>
      <c r="AK229" s="19">
        <v>29327.1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19">
        <v>0</v>
      </c>
      <c r="CL229" s="19">
        <v>0</v>
      </c>
      <c r="CM229" s="19">
        <v>0</v>
      </c>
      <c r="CN229" s="19">
        <v>0</v>
      </c>
      <c r="CO229" s="19">
        <v>0</v>
      </c>
      <c r="CP229" s="19">
        <v>0</v>
      </c>
      <c r="CQ229" s="19">
        <v>0</v>
      </c>
      <c r="CR229" s="19">
        <v>0</v>
      </c>
      <c r="CS229" s="19">
        <v>0</v>
      </c>
      <c r="CT229" s="19">
        <v>0</v>
      </c>
      <c r="CU229" s="19">
        <v>0</v>
      </c>
      <c r="CV229" s="19">
        <v>0</v>
      </c>
      <c r="CW229" s="19">
        <v>0</v>
      </c>
      <c r="CX229" s="19">
        <v>0</v>
      </c>
      <c r="CY229" s="19">
        <v>0</v>
      </c>
      <c r="CZ229" s="19">
        <v>0</v>
      </c>
      <c r="DA229" s="19">
        <v>0</v>
      </c>
      <c r="DB229" s="19">
        <v>0</v>
      </c>
      <c r="DC229" s="19">
        <v>0</v>
      </c>
      <c r="DD229" s="19">
        <v>0</v>
      </c>
      <c r="DE229" s="19">
        <v>0</v>
      </c>
      <c r="DF229" s="19">
        <v>0</v>
      </c>
      <c r="DG229" s="19">
        <v>0</v>
      </c>
    </row>
    <row r="230" spans="2:111" x14ac:dyDescent="0.15">
      <c r="B230" s="19" t="str">
        <f t="shared" si="3"/>
        <v>1_女_29</v>
      </c>
      <c r="C230" s="18">
        <v>1</v>
      </c>
      <c r="D230" s="18" t="s">
        <v>2</v>
      </c>
      <c r="E230" s="18">
        <v>29</v>
      </c>
      <c r="F230" s="19">
        <v>19758.400000000001</v>
      </c>
      <c r="G230" s="19">
        <v>20742.8</v>
      </c>
      <c r="H230" s="19">
        <v>21776.5</v>
      </c>
      <c r="I230" s="19">
        <v>22862</v>
      </c>
      <c r="J230" s="19">
        <v>23001.9</v>
      </c>
      <c r="K230" s="19">
        <v>23148.5</v>
      </c>
      <c r="L230" s="19">
        <v>23302.3</v>
      </c>
      <c r="M230" s="19">
        <v>23463.5</v>
      </c>
      <c r="N230" s="19">
        <v>23632.400000000001</v>
      </c>
      <c r="O230" s="19">
        <v>23809.5</v>
      </c>
      <c r="P230" s="19">
        <v>23995.1</v>
      </c>
      <c r="Q230" s="19">
        <v>24189.599999999999</v>
      </c>
      <c r="R230" s="19">
        <v>24393.4</v>
      </c>
      <c r="S230" s="19">
        <v>24607</v>
      </c>
      <c r="T230" s="19">
        <v>24830.9</v>
      </c>
      <c r="U230" s="19">
        <v>25065.599999999999</v>
      </c>
      <c r="V230" s="19">
        <v>25311.5</v>
      </c>
      <c r="W230" s="19">
        <v>25569.3</v>
      </c>
      <c r="X230" s="19">
        <v>25839.5</v>
      </c>
      <c r="Y230" s="19">
        <v>26122.799999999999</v>
      </c>
      <c r="Z230" s="19">
        <v>26419.9</v>
      </c>
      <c r="AA230" s="19">
        <v>26731.5</v>
      </c>
      <c r="AB230" s="19">
        <v>27058.2</v>
      </c>
      <c r="AC230" s="19">
        <v>27400.9</v>
      </c>
      <c r="AD230" s="19">
        <v>27760.5</v>
      </c>
      <c r="AE230" s="19">
        <v>28137.8</v>
      </c>
      <c r="AF230" s="19">
        <v>28533.8</v>
      </c>
      <c r="AG230" s="19">
        <v>28949.599999999999</v>
      </c>
      <c r="AH230" s="19">
        <v>29386.3</v>
      </c>
      <c r="AI230" s="19">
        <v>29845</v>
      </c>
      <c r="AJ230" s="19">
        <v>29327.1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>
        <v>0</v>
      </c>
      <c r="BW230" s="19">
        <v>0</v>
      </c>
      <c r="BX230" s="19">
        <v>0</v>
      </c>
      <c r="BY230" s="19">
        <v>0</v>
      </c>
      <c r="BZ230" s="19">
        <v>0</v>
      </c>
      <c r="CA230" s="19">
        <v>0</v>
      </c>
      <c r="CB230" s="19">
        <v>0</v>
      </c>
      <c r="CC230" s="19">
        <v>0</v>
      </c>
      <c r="CD230" s="19">
        <v>0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19">
        <v>0</v>
      </c>
      <c r="CL230" s="19">
        <v>0</v>
      </c>
      <c r="CM230" s="19">
        <v>0</v>
      </c>
      <c r="CN230" s="19">
        <v>0</v>
      </c>
      <c r="CO230" s="19">
        <v>0</v>
      </c>
      <c r="CP230" s="19">
        <v>0</v>
      </c>
      <c r="CQ230" s="19">
        <v>0</v>
      </c>
      <c r="CR230" s="19">
        <v>0</v>
      </c>
      <c r="CS230" s="19">
        <v>0</v>
      </c>
      <c r="CT230" s="19">
        <v>0</v>
      </c>
      <c r="CU230" s="19">
        <v>0</v>
      </c>
      <c r="CV230" s="19">
        <v>0</v>
      </c>
      <c r="CW230" s="19">
        <v>0</v>
      </c>
      <c r="CX230" s="19">
        <v>0</v>
      </c>
      <c r="CY230" s="19">
        <v>0</v>
      </c>
      <c r="CZ230" s="19">
        <v>0</v>
      </c>
      <c r="DA230" s="19">
        <v>0</v>
      </c>
      <c r="DB230" s="19">
        <v>0</v>
      </c>
      <c r="DC230" s="19">
        <v>0</v>
      </c>
      <c r="DD230" s="19">
        <v>0</v>
      </c>
      <c r="DE230" s="19">
        <v>0</v>
      </c>
      <c r="DF230" s="19">
        <v>0</v>
      </c>
      <c r="DG230" s="19">
        <v>0</v>
      </c>
    </row>
    <row r="231" spans="2:111" x14ac:dyDescent="0.15">
      <c r="B231" s="19" t="str">
        <f t="shared" si="3"/>
        <v>1_女_30</v>
      </c>
      <c r="C231" s="18">
        <v>1</v>
      </c>
      <c r="D231" s="18" t="s">
        <v>2</v>
      </c>
      <c r="E231" s="18">
        <v>30</v>
      </c>
      <c r="F231" s="19">
        <v>19880.400000000001</v>
      </c>
      <c r="G231" s="19">
        <v>20870.7</v>
      </c>
      <c r="H231" s="19">
        <v>21910.7</v>
      </c>
      <c r="I231" s="19">
        <v>23002.7</v>
      </c>
      <c r="J231" s="19">
        <v>23149.3</v>
      </c>
      <c r="K231" s="19">
        <v>23303.1</v>
      </c>
      <c r="L231" s="19">
        <v>23464.3</v>
      </c>
      <c r="M231" s="19">
        <v>23633.3</v>
      </c>
      <c r="N231" s="19">
        <v>23810.400000000001</v>
      </c>
      <c r="O231" s="19">
        <v>23996</v>
      </c>
      <c r="P231" s="19">
        <v>24190.5</v>
      </c>
      <c r="Q231" s="19">
        <v>24394.400000000001</v>
      </c>
      <c r="R231" s="19">
        <v>24608</v>
      </c>
      <c r="S231" s="19">
        <v>24831.9</v>
      </c>
      <c r="T231" s="19">
        <v>25066.5</v>
      </c>
      <c r="U231" s="19">
        <v>25312.400000000001</v>
      </c>
      <c r="V231" s="19">
        <v>25570.2</v>
      </c>
      <c r="W231" s="19">
        <v>25840.400000000001</v>
      </c>
      <c r="X231" s="19">
        <v>26123.7</v>
      </c>
      <c r="Y231" s="19">
        <v>26420.799999999999</v>
      </c>
      <c r="Z231" s="19">
        <v>26732.3</v>
      </c>
      <c r="AA231" s="19">
        <v>27059</v>
      </c>
      <c r="AB231" s="19">
        <v>27401.7</v>
      </c>
      <c r="AC231" s="19">
        <v>27761.200000000001</v>
      </c>
      <c r="AD231" s="19">
        <v>28138.400000000001</v>
      </c>
      <c r="AE231" s="19">
        <v>28534.400000000001</v>
      </c>
      <c r="AF231" s="19">
        <v>28950</v>
      </c>
      <c r="AG231" s="19">
        <v>29386.6</v>
      </c>
      <c r="AH231" s="19">
        <v>29845.200000000001</v>
      </c>
      <c r="AI231" s="19">
        <v>29327.1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0</v>
      </c>
      <c r="BZ231" s="19">
        <v>0</v>
      </c>
      <c r="CA231" s="19">
        <v>0</v>
      </c>
      <c r="CB231" s="19">
        <v>0</v>
      </c>
      <c r="CC231" s="19">
        <v>0</v>
      </c>
      <c r="CD231" s="19">
        <v>0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v>0</v>
      </c>
      <c r="CL231" s="19">
        <v>0</v>
      </c>
      <c r="CM231" s="19">
        <v>0</v>
      </c>
      <c r="CN231" s="19">
        <v>0</v>
      </c>
      <c r="CO231" s="19">
        <v>0</v>
      </c>
      <c r="CP231" s="19">
        <v>0</v>
      </c>
      <c r="CQ231" s="19">
        <v>0</v>
      </c>
      <c r="CR231" s="19">
        <v>0</v>
      </c>
      <c r="CS231" s="19">
        <v>0</v>
      </c>
      <c r="CT231" s="19">
        <v>0</v>
      </c>
      <c r="CU231" s="19">
        <v>0</v>
      </c>
      <c r="CV231" s="19">
        <v>0</v>
      </c>
      <c r="CW231" s="19">
        <v>0</v>
      </c>
      <c r="CX231" s="19">
        <v>0</v>
      </c>
      <c r="CY231" s="19">
        <v>0</v>
      </c>
      <c r="CZ231" s="19">
        <v>0</v>
      </c>
      <c r="DA231" s="19">
        <v>0</v>
      </c>
      <c r="DB231" s="19">
        <v>0</v>
      </c>
      <c r="DC231" s="19">
        <v>0</v>
      </c>
      <c r="DD231" s="19">
        <v>0</v>
      </c>
      <c r="DE231" s="19">
        <v>0</v>
      </c>
      <c r="DF231" s="19">
        <v>0</v>
      </c>
      <c r="DG231" s="19">
        <v>0</v>
      </c>
    </row>
    <row r="232" spans="2:111" x14ac:dyDescent="0.15">
      <c r="B232" s="19" t="str">
        <f t="shared" si="3"/>
        <v>1_女_31</v>
      </c>
      <c r="C232" s="18">
        <v>1</v>
      </c>
      <c r="D232" s="18" t="s">
        <v>2</v>
      </c>
      <c r="E232" s="18">
        <v>31</v>
      </c>
      <c r="F232" s="19">
        <v>20008.400000000001</v>
      </c>
      <c r="G232" s="19">
        <v>21005</v>
      </c>
      <c r="H232" s="19">
        <v>22051.4</v>
      </c>
      <c r="I232" s="19">
        <v>23150.2</v>
      </c>
      <c r="J232" s="19">
        <v>23304</v>
      </c>
      <c r="K232" s="19">
        <v>23465.200000000001</v>
      </c>
      <c r="L232" s="19">
        <v>23634.2</v>
      </c>
      <c r="M232" s="19">
        <v>23811.3</v>
      </c>
      <c r="N232" s="19">
        <v>23996.9</v>
      </c>
      <c r="O232" s="19">
        <v>24191.5</v>
      </c>
      <c r="P232" s="19">
        <v>24395.3</v>
      </c>
      <c r="Q232" s="19">
        <v>24608.9</v>
      </c>
      <c r="R232" s="19">
        <v>24832.799999999999</v>
      </c>
      <c r="S232" s="19">
        <v>25067.5</v>
      </c>
      <c r="T232" s="19">
        <v>25313.4</v>
      </c>
      <c r="U232" s="19">
        <v>25571.1</v>
      </c>
      <c r="V232" s="19">
        <v>25841.4</v>
      </c>
      <c r="W232" s="19">
        <v>26124.7</v>
      </c>
      <c r="X232" s="19">
        <v>26421.7</v>
      </c>
      <c r="Y232" s="19">
        <v>26733.200000000001</v>
      </c>
      <c r="Z232" s="19">
        <v>27059.8</v>
      </c>
      <c r="AA232" s="19">
        <v>27402.400000000001</v>
      </c>
      <c r="AB232" s="19">
        <v>27761.9</v>
      </c>
      <c r="AC232" s="19">
        <v>28139</v>
      </c>
      <c r="AD232" s="19">
        <v>28534.9</v>
      </c>
      <c r="AE232" s="19">
        <v>28950.5</v>
      </c>
      <c r="AF232" s="19">
        <v>29386.9</v>
      </c>
      <c r="AG232" s="19">
        <v>29845.3</v>
      </c>
      <c r="AH232" s="19">
        <v>29327.1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0</v>
      </c>
      <c r="CD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v>0</v>
      </c>
      <c r="CL232" s="19">
        <v>0</v>
      </c>
      <c r="CM232" s="19">
        <v>0</v>
      </c>
      <c r="CN232" s="19">
        <v>0</v>
      </c>
      <c r="CO232" s="19">
        <v>0</v>
      </c>
      <c r="CP232" s="19">
        <v>0</v>
      </c>
      <c r="CQ232" s="19">
        <v>0</v>
      </c>
      <c r="CR232" s="19">
        <v>0</v>
      </c>
      <c r="CS232" s="19">
        <v>0</v>
      </c>
      <c r="CT232" s="19">
        <v>0</v>
      </c>
      <c r="CU232" s="19">
        <v>0</v>
      </c>
      <c r="CV232" s="19">
        <v>0</v>
      </c>
      <c r="CW232" s="19">
        <v>0</v>
      </c>
      <c r="CX232" s="19">
        <v>0</v>
      </c>
      <c r="CY232" s="19">
        <v>0</v>
      </c>
      <c r="CZ232" s="19">
        <v>0</v>
      </c>
      <c r="DA232" s="19">
        <v>0</v>
      </c>
      <c r="DB232" s="19">
        <v>0</v>
      </c>
      <c r="DC232" s="19">
        <v>0</v>
      </c>
      <c r="DD232" s="19">
        <v>0</v>
      </c>
      <c r="DE232" s="19">
        <v>0</v>
      </c>
      <c r="DF232" s="19">
        <v>0</v>
      </c>
      <c r="DG232" s="19">
        <v>0</v>
      </c>
    </row>
    <row r="233" spans="2:111" x14ac:dyDescent="0.15">
      <c r="B233" s="19" t="str">
        <f t="shared" si="3"/>
        <v>1_女_32</v>
      </c>
      <c r="C233" s="18">
        <v>1</v>
      </c>
      <c r="D233" s="18" t="s">
        <v>2</v>
      </c>
      <c r="E233" s="18">
        <v>32</v>
      </c>
      <c r="F233" s="19">
        <v>20142.8</v>
      </c>
      <c r="G233" s="19">
        <v>21145.8</v>
      </c>
      <c r="H233" s="19">
        <v>22199</v>
      </c>
      <c r="I233" s="19">
        <v>23304.9</v>
      </c>
      <c r="J233" s="19">
        <v>23466.1</v>
      </c>
      <c r="K233" s="19">
        <v>23635.1</v>
      </c>
      <c r="L233" s="19">
        <v>23812.3</v>
      </c>
      <c r="M233" s="19">
        <v>23997.9</v>
      </c>
      <c r="N233" s="19">
        <v>24192.400000000001</v>
      </c>
      <c r="O233" s="19">
        <v>24396.3</v>
      </c>
      <c r="P233" s="19">
        <v>24609.9</v>
      </c>
      <c r="Q233" s="19">
        <v>24833.8</v>
      </c>
      <c r="R233" s="19">
        <v>25068.5</v>
      </c>
      <c r="S233" s="19">
        <v>25314.400000000001</v>
      </c>
      <c r="T233" s="19">
        <v>25572.1</v>
      </c>
      <c r="U233" s="19">
        <v>25842.3</v>
      </c>
      <c r="V233" s="19">
        <v>26125.599999999999</v>
      </c>
      <c r="W233" s="19">
        <v>26422.6</v>
      </c>
      <c r="X233" s="19">
        <v>26734.1</v>
      </c>
      <c r="Y233" s="19">
        <v>27060.7</v>
      </c>
      <c r="Z233" s="19">
        <v>27403.200000000001</v>
      </c>
      <c r="AA233" s="19">
        <v>27762.6</v>
      </c>
      <c r="AB233" s="19">
        <v>28139.7</v>
      </c>
      <c r="AC233" s="19">
        <v>28535.5</v>
      </c>
      <c r="AD233" s="19">
        <v>28950.9</v>
      </c>
      <c r="AE233" s="19">
        <v>29387.200000000001</v>
      </c>
      <c r="AF233" s="19">
        <v>29845.5</v>
      </c>
      <c r="AG233" s="19">
        <v>29327.1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19">
        <v>0</v>
      </c>
      <c r="CL233" s="19">
        <v>0</v>
      </c>
      <c r="CM233" s="19">
        <v>0</v>
      </c>
      <c r="CN233" s="19">
        <v>0</v>
      </c>
      <c r="CO233" s="19">
        <v>0</v>
      </c>
      <c r="CP233" s="19">
        <v>0</v>
      </c>
      <c r="CQ233" s="19">
        <v>0</v>
      </c>
      <c r="CR233" s="19">
        <v>0</v>
      </c>
      <c r="CS233" s="19">
        <v>0</v>
      </c>
      <c r="CT233" s="19">
        <v>0</v>
      </c>
      <c r="CU233" s="19">
        <v>0</v>
      </c>
      <c r="CV233" s="19">
        <v>0</v>
      </c>
      <c r="CW233" s="19">
        <v>0</v>
      </c>
      <c r="CX233" s="19">
        <v>0</v>
      </c>
      <c r="CY233" s="19">
        <v>0</v>
      </c>
      <c r="CZ233" s="19">
        <v>0</v>
      </c>
      <c r="DA233" s="19">
        <v>0</v>
      </c>
      <c r="DB233" s="19">
        <v>0</v>
      </c>
      <c r="DC233" s="19">
        <v>0</v>
      </c>
      <c r="DD233" s="19">
        <v>0</v>
      </c>
      <c r="DE233" s="19">
        <v>0</v>
      </c>
      <c r="DF233" s="19">
        <v>0</v>
      </c>
      <c r="DG233" s="19">
        <v>0</v>
      </c>
    </row>
    <row r="234" spans="2:111" x14ac:dyDescent="0.15">
      <c r="B234" s="19" t="str">
        <f t="shared" si="3"/>
        <v>1_女_33</v>
      </c>
      <c r="C234" s="18">
        <v>1</v>
      </c>
      <c r="D234" s="18" t="s">
        <v>2</v>
      </c>
      <c r="E234" s="18">
        <v>33</v>
      </c>
      <c r="F234" s="19">
        <v>20283.7</v>
      </c>
      <c r="G234" s="19">
        <v>21293.5</v>
      </c>
      <c r="H234" s="19">
        <v>22353.7</v>
      </c>
      <c r="I234" s="19">
        <v>23467</v>
      </c>
      <c r="J234" s="19">
        <v>23636.1</v>
      </c>
      <c r="K234" s="19">
        <v>23813.200000000001</v>
      </c>
      <c r="L234" s="19">
        <v>23998.9</v>
      </c>
      <c r="M234" s="19">
        <v>24193.4</v>
      </c>
      <c r="N234" s="19">
        <v>24397.3</v>
      </c>
      <c r="O234" s="19">
        <v>24610.9</v>
      </c>
      <c r="P234" s="19">
        <v>24834.799999999999</v>
      </c>
      <c r="Q234" s="19">
        <v>25069.5</v>
      </c>
      <c r="R234" s="19">
        <v>25315.4</v>
      </c>
      <c r="S234" s="19">
        <v>25573.200000000001</v>
      </c>
      <c r="T234" s="19">
        <v>25843.3</v>
      </c>
      <c r="U234" s="19">
        <v>26126.6</v>
      </c>
      <c r="V234" s="19">
        <v>26423.599999999999</v>
      </c>
      <c r="W234" s="19">
        <v>26735</v>
      </c>
      <c r="X234" s="19">
        <v>27061.5</v>
      </c>
      <c r="Y234" s="19">
        <v>27404.1</v>
      </c>
      <c r="Z234" s="19">
        <v>27763.4</v>
      </c>
      <c r="AA234" s="19">
        <v>28140.400000000001</v>
      </c>
      <c r="AB234" s="19">
        <v>28536</v>
      </c>
      <c r="AC234" s="19">
        <v>28951.4</v>
      </c>
      <c r="AD234" s="19">
        <v>29387.5</v>
      </c>
      <c r="AE234" s="19">
        <v>29845.7</v>
      </c>
      <c r="AF234" s="19">
        <v>29327.1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>
        <v>0</v>
      </c>
      <c r="BW234" s="19">
        <v>0</v>
      </c>
      <c r="BX234" s="19">
        <v>0</v>
      </c>
      <c r="BY234" s="19">
        <v>0</v>
      </c>
      <c r="BZ234" s="19">
        <v>0</v>
      </c>
      <c r="CA234" s="19">
        <v>0</v>
      </c>
      <c r="CB234" s="19">
        <v>0</v>
      </c>
      <c r="CC234" s="19">
        <v>0</v>
      </c>
      <c r="CD234" s="19">
        <v>0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v>0</v>
      </c>
      <c r="CL234" s="19">
        <v>0</v>
      </c>
      <c r="CM234" s="19">
        <v>0</v>
      </c>
      <c r="CN234" s="19">
        <v>0</v>
      </c>
      <c r="CO234" s="19">
        <v>0</v>
      </c>
      <c r="CP234" s="19">
        <v>0</v>
      </c>
      <c r="CQ234" s="19">
        <v>0</v>
      </c>
      <c r="CR234" s="19">
        <v>0</v>
      </c>
      <c r="CS234" s="19">
        <v>0</v>
      </c>
      <c r="CT234" s="19">
        <v>0</v>
      </c>
      <c r="CU234" s="19">
        <v>0</v>
      </c>
      <c r="CV234" s="19">
        <v>0</v>
      </c>
      <c r="CW234" s="19">
        <v>0</v>
      </c>
      <c r="CX234" s="19">
        <v>0</v>
      </c>
      <c r="CY234" s="19">
        <v>0</v>
      </c>
      <c r="CZ234" s="19">
        <v>0</v>
      </c>
      <c r="DA234" s="19">
        <v>0</v>
      </c>
      <c r="DB234" s="19">
        <v>0</v>
      </c>
      <c r="DC234" s="19">
        <v>0</v>
      </c>
      <c r="DD234" s="19">
        <v>0</v>
      </c>
      <c r="DE234" s="19">
        <v>0</v>
      </c>
      <c r="DF234" s="19">
        <v>0</v>
      </c>
      <c r="DG234" s="19">
        <v>0</v>
      </c>
    </row>
    <row r="235" spans="2:111" x14ac:dyDescent="0.15">
      <c r="B235" s="19" t="str">
        <f t="shared" si="3"/>
        <v>1_女_34</v>
      </c>
      <c r="C235" s="18">
        <v>1</v>
      </c>
      <c r="D235" s="18" t="s">
        <v>2</v>
      </c>
      <c r="E235" s="18">
        <v>34</v>
      </c>
      <c r="F235" s="19">
        <v>20431.5</v>
      </c>
      <c r="G235" s="19">
        <v>21448.400000000001</v>
      </c>
      <c r="H235" s="19">
        <v>22516</v>
      </c>
      <c r="I235" s="19">
        <v>23637</v>
      </c>
      <c r="J235" s="19">
        <v>23814.2</v>
      </c>
      <c r="K235" s="19">
        <v>23999.9</v>
      </c>
      <c r="L235" s="19">
        <v>24194.5</v>
      </c>
      <c r="M235" s="19">
        <v>24398.3</v>
      </c>
      <c r="N235" s="19">
        <v>24612</v>
      </c>
      <c r="O235" s="19">
        <v>24835.9</v>
      </c>
      <c r="P235" s="19">
        <v>25070.5</v>
      </c>
      <c r="Q235" s="19">
        <v>25316.5</v>
      </c>
      <c r="R235" s="19">
        <v>25574.2</v>
      </c>
      <c r="S235" s="19">
        <v>25844.400000000001</v>
      </c>
      <c r="T235" s="19">
        <v>26127.599999999999</v>
      </c>
      <c r="U235" s="19">
        <v>26424.6</v>
      </c>
      <c r="V235" s="19">
        <v>26735.9</v>
      </c>
      <c r="W235" s="19">
        <v>27062.400000000001</v>
      </c>
      <c r="X235" s="19">
        <v>27404.9</v>
      </c>
      <c r="Y235" s="19">
        <v>27764.1</v>
      </c>
      <c r="Z235" s="19">
        <v>28141.1</v>
      </c>
      <c r="AA235" s="19">
        <v>28536.6</v>
      </c>
      <c r="AB235" s="19">
        <v>28951.8</v>
      </c>
      <c r="AC235" s="19">
        <v>29387.9</v>
      </c>
      <c r="AD235" s="19">
        <v>29845.9</v>
      </c>
      <c r="AE235" s="19">
        <v>29327.1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19">
        <v>0</v>
      </c>
      <c r="CL235" s="19">
        <v>0</v>
      </c>
      <c r="CM235" s="19">
        <v>0</v>
      </c>
      <c r="CN235" s="19">
        <v>0</v>
      </c>
      <c r="CO235" s="19">
        <v>0</v>
      </c>
      <c r="CP235" s="19">
        <v>0</v>
      </c>
      <c r="CQ235" s="19">
        <v>0</v>
      </c>
      <c r="CR235" s="19">
        <v>0</v>
      </c>
      <c r="CS235" s="19">
        <v>0</v>
      </c>
      <c r="CT235" s="19">
        <v>0</v>
      </c>
      <c r="CU235" s="19">
        <v>0</v>
      </c>
      <c r="CV235" s="19">
        <v>0</v>
      </c>
      <c r="CW235" s="19">
        <v>0</v>
      </c>
      <c r="CX235" s="19">
        <v>0</v>
      </c>
      <c r="CY235" s="19">
        <v>0</v>
      </c>
      <c r="CZ235" s="19">
        <v>0</v>
      </c>
      <c r="DA235" s="19">
        <v>0</v>
      </c>
      <c r="DB235" s="19">
        <v>0</v>
      </c>
      <c r="DC235" s="19">
        <v>0</v>
      </c>
      <c r="DD235" s="19">
        <v>0</v>
      </c>
      <c r="DE235" s="19">
        <v>0</v>
      </c>
      <c r="DF235" s="19">
        <v>0</v>
      </c>
      <c r="DG235" s="19">
        <v>0</v>
      </c>
    </row>
    <row r="236" spans="2:111" x14ac:dyDescent="0.15">
      <c r="B236" s="19" t="str">
        <f t="shared" si="3"/>
        <v>1_女_35</v>
      </c>
      <c r="C236" s="18">
        <v>1</v>
      </c>
      <c r="D236" s="18" t="s">
        <v>2</v>
      </c>
      <c r="E236" s="18">
        <v>35</v>
      </c>
      <c r="F236" s="19">
        <v>20586.599999999999</v>
      </c>
      <c r="G236" s="19">
        <v>21610.7</v>
      </c>
      <c r="H236" s="19">
        <v>22686.1</v>
      </c>
      <c r="I236" s="19">
        <v>23815.3</v>
      </c>
      <c r="J236" s="19">
        <v>24000.9</v>
      </c>
      <c r="K236" s="19">
        <v>24195.5</v>
      </c>
      <c r="L236" s="19">
        <v>24399.4</v>
      </c>
      <c r="M236" s="19">
        <v>24613.1</v>
      </c>
      <c r="N236" s="19">
        <v>24837</v>
      </c>
      <c r="O236" s="19">
        <v>25071.599999999999</v>
      </c>
      <c r="P236" s="19">
        <v>25317.5</v>
      </c>
      <c r="Q236" s="19">
        <v>25575.3</v>
      </c>
      <c r="R236" s="19">
        <v>25845.5</v>
      </c>
      <c r="S236" s="19">
        <v>26128.7</v>
      </c>
      <c r="T236" s="19">
        <v>26425.599999999999</v>
      </c>
      <c r="U236" s="19">
        <v>26736.9</v>
      </c>
      <c r="V236" s="19">
        <v>27063.4</v>
      </c>
      <c r="W236" s="19">
        <v>27405.8</v>
      </c>
      <c r="X236" s="19">
        <v>27764.9</v>
      </c>
      <c r="Y236" s="19">
        <v>28141.8</v>
      </c>
      <c r="Z236" s="19">
        <v>28537.200000000001</v>
      </c>
      <c r="AA236" s="19">
        <v>28952.3</v>
      </c>
      <c r="AB236" s="19">
        <v>29388.2</v>
      </c>
      <c r="AC236" s="19">
        <v>29846</v>
      </c>
      <c r="AD236" s="19">
        <v>29327.1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0</v>
      </c>
      <c r="CN236" s="19">
        <v>0</v>
      </c>
      <c r="CO236" s="19">
        <v>0</v>
      </c>
      <c r="CP236" s="19">
        <v>0</v>
      </c>
      <c r="CQ236" s="19">
        <v>0</v>
      </c>
      <c r="CR236" s="19">
        <v>0</v>
      </c>
      <c r="CS236" s="19">
        <v>0</v>
      </c>
      <c r="CT236" s="19">
        <v>0</v>
      </c>
      <c r="CU236" s="19">
        <v>0</v>
      </c>
      <c r="CV236" s="19">
        <v>0</v>
      </c>
      <c r="CW236" s="19">
        <v>0</v>
      </c>
      <c r="CX236" s="19">
        <v>0</v>
      </c>
      <c r="CY236" s="19">
        <v>0</v>
      </c>
      <c r="CZ236" s="19">
        <v>0</v>
      </c>
      <c r="DA236" s="19">
        <v>0</v>
      </c>
      <c r="DB236" s="19">
        <v>0</v>
      </c>
      <c r="DC236" s="19">
        <v>0</v>
      </c>
      <c r="DD236" s="19">
        <v>0</v>
      </c>
      <c r="DE236" s="19">
        <v>0</v>
      </c>
      <c r="DF236" s="19">
        <v>0</v>
      </c>
      <c r="DG236" s="19">
        <v>0</v>
      </c>
    </row>
    <row r="237" spans="2:111" x14ac:dyDescent="0.15">
      <c r="B237" s="19" t="str">
        <f t="shared" si="3"/>
        <v>1_女_36</v>
      </c>
      <c r="C237" s="18">
        <v>1</v>
      </c>
      <c r="D237" s="18" t="s">
        <v>2</v>
      </c>
      <c r="E237" s="18">
        <v>36</v>
      </c>
      <c r="F237" s="19">
        <v>20749.099999999999</v>
      </c>
      <c r="G237" s="19">
        <v>21781</v>
      </c>
      <c r="H237" s="19">
        <v>22864.400000000001</v>
      </c>
      <c r="I237" s="19">
        <v>24002</v>
      </c>
      <c r="J237" s="19">
        <v>24196.6</v>
      </c>
      <c r="K237" s="19">
        <v>24400.5</v>
      </c>
      <c r="L237" s="19">
        <v>24614.2</v>
      </c>
      <c r="M237" s="19">
        <v>24838.1</v>
      </c>
      <c r="N237" s="19">
        <v>25072.799999999999</v>
      </c>
      <c r="O237" s="19">
        <v>25318.7</v>
      </c>
      <c r="P237" s="19">
        <v>25576.400000000001</v>
      </c>
      <c r="Q237" s="19">
        <v>25846.6</v>
      </c>
      <c r="R237" s="19">
        <v>26129.7</v>
      </c>
      <c r="S237" s="19">
        <v>26426.6</v>
      </c>
      <c r="T237" s="19">
        <v>26737.9</v>
      </c>
      <c r="U237" s="19">
        <v>27064.3</v>
      </c>
      <c r="V237" s="19">
        <v>27406.7</v>
      </c>
      <c r="W237" s="19">
        <v>27765.8</v>
      </c>
      <c r="X237" s="19">
        <v>28142.5</v>
      </c>
      <c r="Y237" s="19">
        <v>28537.8</v>
      </c>
      <c r="Z237" s="19">
        <v>28952.799999999999</v>
      </c>
      <c r="AA237" s="19">
        <v>29388.6</v>
      </c>
      <c r="AB237" s="19">
        <v>29846.2</v>
      </c>
      <c r="AC237" s="19">
        <v>29327.1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19">
        <v>0</v>
      </c>
      <c r="CL237" s="19">
        <v>0</v>
      </c>
      <c r="CM237" s="19">
        <v>0</v>
      </c>
      <c r="CN237" s="19">
        <v>0</v>
      </c>
      <c r="CO237" s="19">
        <v>0</v>
      </c>
      <c r="CP237" s="19">
        <v>0</v>
      </c>
      <c r="CQ237" s="19">
        <v>0</v>
      </c>
      <c r="CR237" s="19">
        <v>0</v>
      </c>
      <c r="CS237" s="19">
        <v>0</v>
      </c>
      <c r="CT237" s="19">
        <v>0</v>
      </c>
      <c r="CU237" s="19">
        <v>0</v>
      </c>
      <c r="CV237" s="19">
        <v>0</v>
      </c>
      <c r="CW237" s="19">
        <v>0</v>
      </c>
      <c r="CX237" s="19">
        <v>0</v>
      </c>
      <c r="CY237" s="19">
        <v>0</v>
      </c>
      <c r="CZ237" s="19">
        <v>0</v>
      </c>
      <c r="DA237" s="19">
        <v>0</v>
      </c>
      <c r="DB237" s="19">
        <v>0</v>
      </c>
      <c r="DC237" s="19">
        <v>0</v>
      </c>
      <c r="DD237" s="19">
        <v>0</v>
      </c>
      <c r="DE237" s="19">
        <v>0</v>
      </c>
      <c r="DF237" s="19">
        <v>0</v>
      </c>
      <c r="DG237" s="19">
        <v>0</v>
      </c>
    </row>
    <row r="238" spans="2:111" x14ac:dyDescent="0.15">
      <c r="B238" s="19" t="str">
        <f t="shared" si="3"/>
        <v>1_女_37</v>
      </c>
      <c r="C238" s="18">
        <v>1</v>
      </c>
      <c r="D238" s="18" t="s">
        <v>2</v>
      </c>
      <c r="E238" s="18">
        <v>37</v>
      </c>
      <c r="F238" s="19">
        <v>20919.5</v>
      </c>
      <c r="G238" s="19">
        <v>21959.4</v>
      </c>
      <c r="H238" s="19">
        <v>23051.3</v>
      </c>
      <c r="I238" s="19">
        <v>24197.8</v>
      </c>
      <c r="J238" s="19">
        <v>24401.7</v>
      </c>
      <c r="K238" s="19">
        <v>24615.4</v>
      </c>
      <c r="L238" s="19">
        <v>24839.3</v>
      </c>
      <c r="M238" s="19">
        <v>25073.9</v>
      </c>
      <c r="N238" s="19">
        <v>25319.8</v>
      </c>
      <c r="O238" s="19">
        <v>25577.599999999999</v>
      </c>
      <c r="P238" s="19">
        <v>25847.7</v>
      </c>
      <c r="Q238" s="19">
        <v>26130.9</v>
      </c>
      <c r="R238" s="19">
        <v>26427.7</v>
      </c>
      <c r="S238" s="19">
        <v>26739</v>
      </c>
      <c r="T238" s="19">
        <v>27065.3</v>
      </c>
      <c r="U238" s="19">
        <v>27407.599999999999</v>
      </c>
      <c r="V238" s="19">
        <v>27766.6</v>
      </c>
      <c r="W238" s="19">
        <v>28143.3</v>
      </c>
      <c r="X238" s="19">
        <v>28538.5</v>
      </c>
      <c r="Y238" s="19">
        <v>28953.3</v>
      </c>
      <c r="Z238" s="19">
        <v>29388.9</v>
      </c>
      <c r="AA238" s="19">
        <v>29846.400000000001</v>
      </c>
      <c r="AB238" s="19">
        <v>29327.1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>
        <v>0</v>
      </c>
      <c r="BW238" s="19">
        <v>0</v>
      </c>
      <c r="BX238" s="19">
        <v>0</v>
      </c>
      <c r="BY238" s="19">
        <v>0</v>
      </c>
      <c r="BZ238" s="19">
        <v>0</v>
      </c>
      <c r="CA238" s="19">
        <v>0</v>
      </c>
      <c r="CB238" s="19">
        <v>0</v>
      </c>
      <c r="CC238" s="19">
        <v>0</v>
      </c>
      <c r="CD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v>0</v>
      </c>
      <c r="CL238" s="19">
        <v>0</v>
      </c>
      <c r="CM238" s="19">
        <v>0</v>
      </c>
      <c r="CN238" s="19">
        <v>0</v>
      </c>
      <c r="CO238" s="19">
        <v>0</v>
      </c>
      <c r="CP238" s="19">
        <v>0</v>
      </c>
      <c r="CQ238" s="19">
        <v>0</v>
      </c>
      <c r="CR238" s="19">
        <v>0</v>
      </c>
      <c r="CS238" s="19">
        <v>0</v>
      </c>
      <c r="CT238" s="19">
        <v>0</v>
      </c>
      <c r="CU238" s="19">
        <v>0</v>
      </c>
      <c r="CV238" s="19">
        <v>0</v>
      </c>
      <c r="CW238" s="19">
        <v>0</v>
      </c>
      <c r="CX238" s="19">
        <v>0</v>
      </c>
      <c r="CY238" s="19">
        <v>0</v>
      </c>
      <c r="CZ238" s="19">
        <v>0</v>
      </c>
      <c r="DA238" s="19">
        <v>0</v>
      </c>
      <c r="DB238" s="19">
        <v>0</v>
      </c>
      <c r="DC238" s="19">
        <v>0</v>
      </c>
      <c r="DD238" s="19">
        <v>0</v>
      </c>
      <c r="DE238" s="19">
        <v>0</v>
      </c>
      <c r="DF238" s="19">
        <v>0</v>
      </c>
      <c r="DG238" s="19">
        <v>0</v>
      </c>
    </row>
    <row r="239" spans="2:111" x14ac:dyDescent="0.15">
      <c r="B239" s="19" t="str">
        <f t="shared" si="3"/>
        <v>1_女_38</v>
      </c>
      <c r="C239" s="18">
        <v>1</v>
      </c>
      <c r="D239" s="18" t="s">
        <v>2</v>
      </c>
      <c r="E239" s="18">
        <v>38</v>
      </c>
      <c r="F239" s="19">
        <v>21098.1</v>
      </c>
      <c r="G239" s="19">
        <v>22146.400000000001</v>
      </c>
      <c r="H239" s="19">
        <v>23247.1</v>
      </c>
      <c r="I239" s="19">
        <v>24402.9</v>
      </c>
      <c r="J239" s="19">
        <v>24616.6</v>
      </c>
      <c r="K239" s="19">
        <v>24840.5</v>
      </c>
      <c r="L239" s="19">
        <v>25075.1</v>
      </c>
      <c r="M239" s="19">
        <v>25321</v>
      </c>
      <c r="N239" s="19">
        <v>25578.7</v>
      </c>
      <c r="O239" s="19">
        <v>25848.9</v>
      </c>
      <c r="P239" s="19">
        <v>26132</v>
      </c>
      <c r="Q239" s="19">
        <v>26428.799999999999</v>
      </c>
      <c r="R239" s="19">
        <v>26740</v>
      </c>
      <c r="S239" s="19">
        <v>27066.3</v>
      </c>
      <c r="T239" s="19">
        <v>27408.5</v>
      </c>
      <c r="U239" s="19">
        <v>27767.5</v>
      </c>
      <c r="V239" s="19">
        <v>28144</v>
      </c>
      <c r="W239" s="19">
        <v>28539.200000000001</v>
      </c>
      <c r="X239" s="19">
        <v>28953.9</v>
      </c>
      <c r="Y239" s="19">
        <v>29389.3</v>
      </c>
      <c r="Z239" s="19">
        <v>29846.6</v>
      </c>
      <c r="AA239" s="19">
        <v>29327.1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v>0</v>
      </c>
      <c r="CL239" s="19">
        <v>0</v>
      </c>
      <c r="CM239" s="19">
        <v>0</v>
      </c>
      <c r="CN239" s="19">
        <v>0</v>
      </c>
      <c r="CO239" s="19">
        <v>0</v>
      </c>
      <c r="CP239" s="19">
        <v>0</v>
      </c>
      <c r="CQ239" s="19">
        <v>0</v>
      </c>
      <c r="CR239" s="19">
        <v>0</v>
      </c>
      <c r="CS239" s="19">
        <v>0</v>
      </c>
      <c r="CT239" s="19">
        <v>0</v>
      </c>
      <c r="CU239" s="19">
        <v>0</v>
      </c>
      <c r="CV239" s="19">
        <v>0</v>
      </c>
      <c r="CW239" s="19">
        <v>0</v>
      </c>
      <c r="CX239" s="19">
        <v>0</v>
      </c>
      <c r="CY239" s="19">
        <v>0</v>
      </c>
      <c r="CZ239" s="19">
        <v>0</v>
      </c>
      <c r="DA239" s="19">
        <v>0</v>
      </c>
      <c r="DB239" s="19">
        <v>0</v>
      </c>
      <c r="DC239" s="19">
        <v>0</v>
      </c>
      <c r="DD239" s="19">
        <v>0</v>
      </c>
      <c r="DE239" s="19">
        <v>0</v>
      </c>
      <c r="DF239" s="19">
        <v>0</v>
      </c>
      <c r="DG239" s="19">
        <v>0</v>
      </c>
    </row>
    <row r="240" spans="2:111" x14ac:dyDescent="0.15">
      <c r="B240" s="19" t="str">
        <f t="shared" si="3"/>
        <v>1_女_39</v>
      </c>
      <c r="C240" s="18">
        <v>1</v>
      </c>
      <c r="D240" s="18" t="s">
        <v>2</v>
      </c>
      <c r="E240" s="18">
        <v>39</v>
      </c>
      <c r="F240" s="19">
        <v>21285.3</v>
      </c>
      <c r="G240" s="19">
        <v>22342.400000000001</v>
      </c>
      <c r="H240" s="19">
        <v>23452.3</v>
      </c>
      <c r="I240" s="19">
        <v>24617.8</v>
      </c>
      <c r="J240" s="19">
        <v>24841.7</v>
      </c>
      <c r="K240" s="19">
        <v>25076.400000000001</v>
      </c>
      <c r="L240" s="19">
        <v>25322.3</v>
      </c>
      <c r="M240" s="19">
        <v>25580</v>
      </c>
      <c r="N240" s="19">
        <v>25850.1</v>
      </c>
      <c r="O240" s="19">
        <v>26133.200000000001</v>
      </c>
      <c r="P240" s="19">
        <v>26430</v>
      </c>
      <c r="Q240" s="19">
        <v>26741.1</v>
      </c>
      <c r="R240" s="19">
        <v>27067.4</v>
      </c>
      <c r="S240" s="19">
        <v>27409.5</v>
      </c>
      <c r="T240" s="19">
        <v>27768.400000000001</v>
      </c>
      <c r="U240" s="19">
        <v>28144.799999999999</v>
      </c>
      <c r="V240" s="19">
        <v>28539.9</v>
      </c>
      <c r="W240" s="19">
        <v>28954.400000000001</v>
      </c>
      <c r="X240" s="19">
        <v>29389.7</v>
      </c>
      <c r="Y240" s="19">
        <v>29846.799999999999</v>
      </c>
      <c r="Z240" s="19">
        <v>29327.1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0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>
        <v>0</v>
      </c>
      <c r="BW240" s="19">
        <v>0</v>
      </c>
      <c r="BX240" s="19">
        <v>0</v>
      </c>
      <c r="BY240" s="19">
        <v>0</v>
      </c>
      <c r="BZ240" s="19">
        <v>0</v>
      </c>
      <c r="CA240" s="19">
        <v>0</v>
      </c>
      <c r="CB240" s="19">
        <v>0</v>
      </c>
      <c r="CC240" s="19">
        <v>0</v>
      </c>
      <c r="CD240" s="19">
        <v>0</v>
      </c>
      <c r="CE240" s="19">
        <v>0</v>
      </c>
      <c r="CF240" s="19">
        <v>0</v>
      </c>
      <c r="CG240" s="19">
        <v>0</v>
      </c>
      <c r="CH240" s="19">
        <v>0</v>
      </c>
      <c r="CI240" s="19">
        <v>0</v>
      </c>
      <c r="CJ240" s="19">
        <v>0</v>
      </c>
      <c r="CK240" s="19">
        <v>0</v>
      </c>
      <c r="CL240" s="19">
        <v>0</v>
      </c>
      <c r="CM240" s="19">
        <v>0</v>
      </c>
      <c r="CN240" s="19">
        <v>0</v>
      </c>
      <c r="CO240" s="19">
        <v>0</v>
      </c>
      <c r="CP240" s="19">
        <v>0</v>
      </c>
      <c r="CQ240" s="19">
        <v>0</v>
      </c>
      <c r="CR240" s="19">
        <v>0</v>
      </c>
      <c r="CS240" s="19">
        <v>0</v>
      </c>
      <c r="CT240" s="19">
        <v>0</v>
      </c>
      <c r="CU240" s="19">
        <v>0</v>
      </c>
      <c r="CV240" s="19">
        <v>0</v>
      </c>
      <c r="CW240" s="19">
        <v>0</v>
      </c>
      <c r="CX240" s="19">
        <v>0</v>
      </c>
      <c r="CY240" s="19">
        <v>0</v>
      </c>
      <c r="CZ240" s="19">
        <v>0</v>
      </c>
      <c r="DA240" s="19">
        <v>0</v>
      </c>
      <c r="DB240" s="19">
        <v>0</v>
      </c>
      <c r="DC240" s="19">
        <v>0</v>
      </c>
      <c r="DD240" s="19">
        <v>0</v>
      </c>
      <c r="DE240" s="19">
        <v>0</v>
      </c>
      <c r="DF240" s="19">
        <v>0</v>
      </c>
      <c r="DG240" s="19">
        <v>0</v>
      </c>
    </row>
    <row r="241" spans="2:111" x14ac:dyDescent="0.15">
      <c r="B241" s="19" t="str">
        <f t="shared" si="3"/>
        <v>1_女_40</v>
      </c>
      <c r="C241" s="18">
        <v>1</v>
      </c>
      <c r="D241" s="18" t="s">
        <v>2</v>
      </c>
      <c r="E241" s="18">
        <v>40</v>
      </c>
      <c r="F241" s="19">
        <v>21481.5</v>
      </c>
      <c r="G241" s="19">
        <v>22547.8</v>
      </c>
      <c r="H241" s="19">
        <v>23667.4</v>
      </c>
      <c r="I241" s="19">
        <v>24843</v>
      </c>
      <c r="J241" s="19">
        <v>25077.7</v>
      </c>
      <c r="K241" s="19">
        <v>25323.599999999999</v>
      </c>
      <c r="L241" s="19">
        <v>25581.200000000001</v>
      </c>
      <c r="M241" s="19">
        <v>25851.3</v>
      </c>
      <c r="N241" s="19">
        <v>26134.400000000001</v>
      </c>
      <c r="O241" s="19">
        <v>26431.200000000001</v>
      </c>
      <c r="P241" s="19">
        <v>26742.3</v>
      </c>
      <c r="Q241" s="19">
        <v>27068.5</v>
      </c>
      <c r="R241" s="19">
        <v>27410.6</v>
      </c>
      <c r="S241" s="19">
        <v>27769.3</v>
      </c>
      <c r="T241" s="19">
        <v>28145.7</v>
      </c>
      <c r="U241" s="19">
        <v>28540.6</v>
      </c>
      <c r="V241" s="19">
        <v>28955</v>
      </c>
      <c r="W241" s="19">
        <v>29390.1</v>
      </c>
      <c r="X241" s="19">
        <v>29847.1</v>
      </c>
      <c r="Y241" s="19">
        <v>29327.1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0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>
        <v>0</v>
      </c>
      <c r="BW241" s="19">
        <v>0</v>
      </c>
      <c r="BX241" s="19">
        <v>0</v>
      </c>
      <c r="BY241" s="19">
        <v>0</v>
      </c>
      <c r="BZ241" s="19">
        <v>0</v>
      </c>
      <c r="CA241" s="19">
        <v>0</v>
      </c>
      <c r="CB241" s="19">
        <v>0</v>
      </c>
      <c r="CC241" s="19">
        <v>0</v>
      </c>
      <c r="CD241" s="19">
        <v>0</v>
      </c>
      <c r="CE241" s="19">
        <v>0</v>
      </c>
      <c r="CF241" s="19">
        <v>0</v>
      </c>
      <c r="CG241" s="19">
        <v>0</v>
      </c>
      <c r="CH241" s="19">
        <v>0</v>
      </c>
      <c r="CI241" s="19">
        <v>0</v>
      </c>
      <c r="CJ241" s="19">
        <v>0</v>
      </c>
      <c r="CK241" s="19">
        <v>0</v>
      </c>
      <c r="CL241" s="19">
        <v>0</v>
      </c>
      <c r="CM241" s="19">
        <v>0</v>
      </c>
      <c r="CN241" s="19">
        <v>0</v>
      </c>
      <c r="CO241" s="19">
        <v>0</v>
      </c>
      <c r="CP241" s="19">
        <v>0</v>
      </c>
      <c r="CQ241" s="19">
        <v>0</v>
      </c>
      <c r="CR241" s="19">
        <v>0</v>
      </c>
      <c r="CS241" s="19">
        <v>0</v>
      </c>
      <c r="CT241" s="19">
        <v>0</v>
      </c>
      <c r="CU241" s="19">
        <v>0</v>
      </c>
      <c r="CV241" s="19">
        <v>0</v>
      </c>
      <c r="CW241" s="19">
        <v>0</v>
      </c>
      <c r="CX241" s="19">
        <v>0</v>
      </c>
      <c r="CY241" s="19">
        <v>0</v>
      </c>
      <c r="CZ241" s="19">
        <v>0</v>
      </c>
      <c r="DA241" s="19">
        <v>0</v>
      </c>
      <c r="DB241" s="19">
        <v>0</v>
      </c>
      <c r="DC241" s="19">
        <v>0</v>
      </c>
      <c r="DD241" s="19">
        <v>0</v>
      </c>
      <c r="DE241" s="19">
        <v>0</v>
      </c>
      <c r="DF241" s="19">
        <v>0</v>
      </c>
      <c r="DG241" s="19">
        <v>0</v>
      </c>
    </row>
    <row r="242" spans="2:111" x14ac:dyDescent="0.15">
      <c r="B242" s="19" t="str">
        <f t="shared" si="3"/>
        <v>1_女_41</v>
      </c>
      <c r="C242" s="18">
        <v>1</v>
      </c>
      <c r="D242" s="18" t="s">
        <v>2</v>
      </c>
      <c r="E242" s="18">
        <v>41</v>
      </c>
      <c r="F242" s="19">
        <v>21687.1</v>
      </c>
      <c r="G242" s="19">
        <v>22763</v>
      </c>
      <c r="H242" s="19">
        <v>23892.7</v>
      </c>
      <c r="I242" s="19">
        <v>25079</v>
      </c>
      <c r="J242" s="19">
        <v>25324.9</v>
      </c>
      <c r="K242" s="19">
        <v>25582.6</v>
      </c>
      <c r="L242" s="19">
        <v>25852.6</v>
      </c>
      <c r="M242" s="19">
        <v>26135.7</v>
      </c>
      <c r="N242" s="19">
        <v>26432.400000000001</v>
      </c>
      <c r="O242" s="19">
        <v>26743.5</v>
      </c>
      <c r="P242" s="19">
        <v>27069.599999999999</v>
      </c>
      <c r="Q242" s="19">
        <v>27411.599999999999</v>
      </c>
      <c r="R242" s="19">
        <v>27770.3</v>
      </c>
      <c r="S242" s="19">
        <v>28146.5</v>
      </c>
      <c r="T242" s="19">
        <v>28541.3</v>
      </c>
      <c r="U242" s="19">
        <v>28955.599999999999</v>
      </c>
      <c r="V242" s="19">
        <v>29390.5</v>
      </c>
      <c r="W242" s="19">
        <v>29847.3</v>
      </c>
      <c r="X242" s="19">
        <v>29327.1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0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>
        <v>0</v>
      </c>
      <c r="BM242" s="19">
        <v>0</v>
      </c>
      <c r="BN242" s="19">
        <v>0</v>
      </c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>
        <v>0</v>
      </c>
      <c r="BW242" s="19">
        <v>0</v>
      </c>
      <c r="BX242" s="19">
        <v>0</v>
      </c>
      <c r="BY242" s="19">
        <v>0</v>
      </c>
      <c r="BZ242" s="19">
        <v>0</v>
      </c>
      <c r="CA242" s="19">
        <v>0</v>
      </c>
      <c r="CB242" s="19">
        <v>0</v>
      </c>
      <c r="CC242" s="19">
        <v>0</v>
      </c>
      <c r="CD242" s="19">
        <v>0</v>
      </c>
      <c r="CE242" s="19">
        <v>0</v>
      </c>
      <c r="CF242" s="19">
        <v>0</v>
      </c>
      <c r="CG242" s="19">
        <v>0</v>
      </c>
      <c r="CH242" s="19">
        <v>0</v>
      </c>
      <c r="CI242" s="19">
        <v>0</v>
      </c>
      <c r="CJ242" s="19">
        <v>0</v>
      </c>
      <c r="CK242" s="19">
        <v>0</v>
      </c>
      <c r="CL242" s="19">
        <v>0</v>
      </c>
      <c r="CM242" s="19">
        <v>0</v>
      </c>
      <c r="CN242" s="19">
        <v>0</v>
      </c>
      <c r="CO242" s="19">
        <v>0</v>
      </c>
      <c r="CP242" s="19">
        <v>0</v>
      </c>
      <c r="CQ242" s="19">
        <v>0</v>
      </c>
      <c r="CR242" s="19">
        <v>0</v>
      </c>
      <c r="CS242" s="19">
        <v>0</v>
      </c>
      <c r="CT242" s="19">
        <v>0</v>
      </c>
      <c r="CU242" s="19">
        <v>0</v>
      </c>
      <c r="CV242" s="19">
        <v>0</v>
      </c>
      <c r="CW242" s="19">
        <v>0</v>
      </c>
      <c r="CX242" s="19">
        <v>0</v>
      </c>
      <c r="CY242" s="19">
        <v>0</v>
      </c>
      <c r="CZ242" s="19">
        <v>0</v>
      </c>
      <c r="DA242" s="19">
        <v>0</v>
      </c>
      <c r="DB242" s="19">
        <v>0</v>
      </c>
      <c r="DC242" s="19">
        <v>0</v>
      </c>
      <c r="DD242" s="19">
        <v>0</v>
      </c>
      <c r="DE242" s="19">
        <v>0</v>
      </c>
      <c r="DF242" s="19">
        <v>0</v>
      </c>
      <c r="DG242" s="19">
        <v>0</v>
      </c>
    </row>
    <row r="243" spans="2:111" x14ac:dyDescent="0.15">
      <c r="B243" s="19" t="str">
        <f t="shared" si="3"/>
        <v>1_女_42</v>
      </c>
      <c r="C243" s="18">
        <v>1</v>
      </c>
      <c r="D243" s="18" t="s">
        <v>2</v>
      </c>
      <c r="E243" s="18">
        <v>42</v>
      </c>
      <c r="F243" s="19">
        <v>21902.6</v>
      </c>
      <c r="G243" s="19">
        <v>22988.5</v>
      </c>
      <c r="H243" s="19">
        <v>24128.799999999999</v>
      </c>
      <c r="I243" s="19">
        <v>25326.2</v>
      </c>
      <c r="J243" s="19">
        <v>25583.9</v>
      </c>
      <c r="K243" s="19">
        <v>25854</v>
      </c>
      <c r="L243" s="19">
        <v>26137</v>
      </c>
      <c r="M243" s="19">
        <v>26433.7</v>
      </c>
      <c r="N243" s="19">
        <v>26744.7</v>
      </c>
      <c r="O243" s="19">
        <v>27070.799999999999</v>
      </c>
      <c r="P243" s="19">
        <v>27412.7</v>
      </c>
      <c r="Q243" s="19">
        <v>27771.3</v>
      </c>
      <c r="R243" s="19">
        <v>28147.4</v>
      </c>
      <c r="S243" s="19">
        <v>28542.1</v>
      </c>
      <c r="T243" s="19">
        <v>28956.2</v>
      </c>
      <c r="U243" s="19">
        <v>29391</v>
      </c>
      <c r="V243" s="19">
        <v>29847.5</v>
      </c>
      <c r="W243" s="19">
        <v>29327.1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0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>
        <v>0</v>
      </c>
      <c r="BW243" s="19">
        <v>0</v>
      </c>
      <c r="BX243" s="19">
        <v>0</v>
      </c>
      <c r="BY243" s="19">
        <v>0</v>
      </c>
      <c r="BZ243" s="19">
        <v>0</v>
      </c>
      <c r="CA243" s="19">
        <v>0</v>
      </c>
      <c r="CB243" s="19">
        <v>0</v>
      </c>
      <c r="CC243" s="19">
        <v>0</v>
      </c>
      <c r="CD243" s="19">
        <v>0</v>
      </c>
      <c r="CE243" s="19">
        <v>0</v>
      </c>
      <c r="CF243" s="19">
        <v>0</v>
      </c>
      <c r="CG243" s="19">
        <v>0</v>
      </c>
      <c r="CH243" s="19">
        <v>0</v>
      </c>
      <c r="CI243" s="19">
        <v>0</v>
      </c>
      <c r="CJ243" s="19">
        <v>0</v>
      </c>
      <c r="CK243" s="19">
        <v>0</v>
      </c>
      <c r="CL243" s="19">
        <v>0</v>
      </c>
      <c r="CM243" s="19">
        <v>0</v>
      </c>
      <c r="CN243" s="19">
        <v>0</v>
      </c>
      <c r="CO243" s="19">
        <v>0</v>
      </c>
      <c r="CP243" s="19">
        <v>0</v>
      </c>
      <c r="CQ243" s="19">
        <v>0</v>
      </c>
      <c r="CR243" s="19">
        <v>0</v>
      </c>
      <c r="CS243" s="19">
        <v>0</v>
      </c>
      <c r="CT243" s="19">
        <v>0</v>
      </c>
      <c r="CU243" s="19">
        <v>0</v>
      </c>
      <c r="CV243" s="19">
        <v>0</v>
      </c>
      <c r="CW243" s="19">
        <v>0</v>
      </c>
      <c r="CX243" s="19">
        <v>0</v>
      </c>
      <c r="CY243" s="19">
        <v>0</v>
      </c>
      <c r="CZ243" s="19">
        <v>0</v>
      </c>
      <c r="DA243" s="19">
        <v>0</v>
      </c>
      <c r="DB243" s="19">
        <v>0</v>
      </c>
      <c r="DC243" s="19">
        <v>0</v>
      </c>
      <c r="DD243" s="19">
        <v>0</v>
      </c>
      <c r="DE243" s="19">
        <v>0</v>
      </c>
      <c r="DF243" s="19">
        <v>0</v>
      </c>
      <c r="DG243" s="19">
        <v>0</v>
      </c>
    </row>
    <row r="244" spans="2:111" x14ac:dyDescent="0.15">
      <c r="B244" s="19" t="str">
        <f t="shared" si="3"/>
        <v>1_女_43</v>
      </c>
      <c r="C244" s="18">
        <v>1</v>
      </c>
      <c r="D244" s="18" t="s">
        <v>2</v>
      </c>
      <c r="E244" s="18">
        <v>43</v>
      </c>
      <c r="F244" s="19">
        <v>22128.3</v>
      </c>
      <c r="G244" s="19">
        <v>23224.799999999999</v>
      </c>
      <c r="H244" s="19">
        <v>24376.1</v>
      </c>
      <c r="I244" s="19">
        <v>25585.3</v>
      </c>
      <c r="J244" s="19">
        <v>25855.3</v>
      </c>
      <c r="K244" s="19">
        <v>26138.3</v>
      </c>
      <c r="L244" s="19">
        <v>26435</v>
      </c>
      <c r="M244" s="19">
        <v>26746</v>
      </c>
      <c r="N244" s="19">
        <v>27072</v>
      </c>
      <c r="O244" s="19">
        <v>27413.8</v>
      </c>
      <c r="P244" s="19">
        <v>27772.3</v>
      </c>
      <c r="Q244" s="19">
        <v>28148.3</v>
      </c>
      <c r="R244" s="19">
        <v>28542.799999999999</v>
      </c>
      <c r="S244" s="19">
        <v>28956.799999999999</v>
      </c>
      <c r="T244" s="19">
        <v>29391.4</v>
      </c>
      <c r="U244" s="19">
        <v>29847.8</v>
      </c>
      <c r="V244" s="19">
        <v>29327.1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>
        <v>0</v>
      </c>
      <c r="BC244" s="19">
        <v>0</v>
      </c>
      <c r="BD244" s="19">
        <v>0</v>
      </c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>
        <v>0</v>
      </c>
      <c r="BM244" s="19">
        <v>0</v>
      </c>
      <c r="BN244" s="19">
        <v>0</v>
      </c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>
        <v>0</v>
      </c>
      <c r="BW244" s="19">
        <v>0</v>
      </c>
      <c r="BX244" s="19">
        <v>0</v>
      </c>
      <c r="BY244" s="19">
        <v>0</v>
      </c>
      <c r="BZ244" s="19">
        <v>0</v>
      </c>
      <c r="CA244" s="19">
        <v>0</v>
      </c>
      <c r="CB244" s="19">
        <v>0</v>
      </c>
      <c r="CC244" s="19">
        <v>0</v>
      </c>
      <c r="CD244" s="19">
        <v>0</v>
      </c>
      <c r="CE244" s="19">
        <v>0</v>
      </c>
      <c r="CF244" s="19">
        <v>0</v>
      </c>
      <c r="CG244" s="19">
        <v>0</v>
      </c>
      <c r="CH244" s="19">
        <v>0</v>
      </c>
      <c r="CI244" s="19">
        <v>0</v>
      </c>
      <c r="CJ244" s="19">
        <v>0</v>
      </c>
      <c r="CK244" s="19">
        <v>0</v>
      </c>
      <c r="CL244" s="19">
        <v>0</v>
      </c>
      <c r="CM244" s="19">
        <v>0</v>
      </c>
      <c r="CN244" s="19">
        <v>0</v>
      </c>
      <c r="CO244" s="19">
        <v>0</v>
      </c>
      <c r="CP244" s="19">
        <v>0</v>
      </c>
      <c r="CQ244" s="19">
        <v>0</v>
      </c>
      <c r="CR244" s="19">
        <v>0</v>
      </c>
      <c r="CS244" s="19">
        <v>0</v>
      </c>
      <c r="CT244" s="19">
        <v>0</v>
      </c>
      <c r="CU244" s="19">
        <v>0</v>
      </c>
      <c r="CV244" s="19">
        <v>0</v>
      </c>
      <c r="CW244" s="19">
        <v>0</v>
      </c>
      <c r="CX244" s="19">
        <v>0</v>
      </c>
      <c r="CY244" s="19">
        <v>0</v>
      </c>
      <c r="CZ244" s="19">
        <v>0</v>
      </c>
      <c r="DA244" s="19">
        <v>0</v>
      </c>
      <c r="DB244" s="19">
        <v>0</v>
      </c>
      <c r="DC244" s="19">
        <v>0</v>
      </c>
      <c r="DD244" s="19">
        <v>0</v>
      </c>
      <c r="DE244" s="19">
        <v>0</v>
      </c>
      <c r="DF244" s="19">
        <v>0</v>
      </c>
      <c r="DG244" s="19">
        <v>0</v>
      </c>
    </row>
    <row r="245" spans="2:111" x14ac:dyDescent="0.15">
      <c r="B245" s="19" t="str">
        <f t="shared" si="3"/>
        <v>1_女_44</v>
      </c>
      <c r="C245" s="18">
        <v>1</v>
      </c>
      <c r="D245" s="18" t="s">
        <v>2</v>
      </c>
      <c r="E245" s="18">
        <v>44</v>
      </c>
      <c r="F245" s="19">
        <v>22364.799999999999</v>
      </c>
      <c r="G245" s="19">
        <v>23472.3</v>
      </c>
      <c r="H245" s="19">
        <v>24635.3</v>
      </c>
      <c r="I245" s="19">
        <v>25856.799999999999</v>
      </c>
      <c r="J245" s="19">
        <v>26139.7</v>
      </c>
      <c r="K245" s="19">
        <v>26436.3</v>
      </c>
      <c r="L245" s="19">
        <v>26747.3</v>
      </c>
      <c r="M245" s="19">
        <v>27073.200000000001</v>
      </c>
      <c r="N245" s="19">
        <v>27415</v>
      </c>
      <c r="O245" s="19">
        <v>27773.4</v>
      </c>
      <c r="P245" s="19">
        <v>28149.3</v>
      </c>
      <c r="Q245" s="19">
        <v>28543.599999999999</v>
      </c>
      <c r="R245" s="19">
        <v>28957.5</v>
      </c>
      <c r="S245" s="19">
        <v>29391.9</v>
      </c>
      <c r="T245" s="19">
        <v>29848</v>
      </c>
      <c r="U245" s="19">
        <v>29327.1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0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>
        <v>0</v>
      </c>
      <c r="BW245" s="19">
        <v>0</v>
      </c>
      <c r="BX245" s="19">
        <v>0</v>
      </c>
      <c r="BY245" s="19">
        <v>0</v>
      </c>
      <c r="BZ245" s="19">
        <v>0</v>
      </c>
      <c r="CA245" s="19">
        <v>0</v>
      </c>
      <c r="CB245" s="19">
        <v>0</v>
      </c>
      <c r="CC245" s="19">
        <v>0</v>
      </c>
      <c r="CD245" s="19">
        <v>0</v>
      </c>
      <c r="CE245" s="19">
        <v>0</v>
      </c>
      <c r="CF245" s="19">
        <v>0</v>
      </c>
      <c r="CG245" s="19">
        <v>0</v>
      </c>
      <c r="CH245" s="19">
        <v>0</v>
      </c>
      <c r="CI245" s="19">
        <v>0</v>
      </c>
      <c r="CJ245" s="19">
        <v>0</v>
      </c>
      <c r="CK245" s="19">
        <v>0</v>
      </c>
      <c r="CL245" s="19">
        <v>0</v>
      </c>
      <c r="CM245" s="19">
        <v>0</v>
      </c>
      <c r="CN245" s="19">
        <v>0</v>
      </c>
      <c r="CO245" s="19">
        <v>0</v>
      </c>
      <c r="CP245" s="19">
        <v>0</v>
      </c>
      <c r="CQ245" s="19">
        <v>0</v>
      </c>
      <c r="CR245" s="19">
        <v>0</v>
      </c>
      <c r="CS245" s="19">
        <v>0</v>
      </c>
      <c r="CT245" s="19">
        <v>0</v>
      </c>
      <c r="CU245" s="19">
        <v>0</v>
      </c>
      <c r="CV245" s="19">
        <v>0</v>
      </c>
      <c r="CW245" s="19">
        <v>0</v>
      </c>
      <c r="CX245" s="19">
        <v>0</v>
      </c>
      <c r="CY245" s="19">
        <v>0</v>
      </c>
      <c r="CZ245" s="19">
        <v>0</v>
      </c>
      <c r="DA245" s="19">
        <v>0</v>
      </c>
      <c r="DB245" s="19">
        <v>0</v>
      </c>
      <c r="DC245" s="19">
        <v>0</v>
      </c>
      <c r="DD245" s="19">
        <v>0</v>
      </c>
      <c r="DE245" s="19">
        <v>0</v>
      </c>
      <c r="DF245" s="19">
        <v>0</v>
      </c>
      <c r="DG245" s="19">
        <v>0</v>
      </c>
    </row>
    <row r="246" spans="2:111" x14ac:dyDescent="0.15">
      <c r="B246" s="19" t="str">
        <f t="shared" si="3"/>
        <v>1_女_45</v>
      </c>
      <c r="C246" s="18">
        <v>1</v>
      </c>
      <c r="D246" s="18" t="s">
        <v>2</v>
      </c>
      <c r="E246" s="18">
        <v>45</v>
      </c>
      <c r="F246" s="19">
        <v>22612.7</v>
      </c>
      <c r="G246" s="19">
        <v>23731.7</v>
      </c>
      <c r="H246" s="19">
        <v>24906.9</v>
      </c>
      <c r="I246" s="19">
        <v>26141.200000000001</v>
      </c>
      <c r="J246" s="19">
        <v>26437.7</v>
      </c>
      <c r="K246" s="19">
        <v>26748.6</v>
      </c>
      <c r="L246" s="19">
        <v>27074.5</v>
      </c>
      <c r="M246" s="19">
        <v>27416.2</v>
      </c>
      <c r="N246" s="19">
        <v>27774.5</v>
      </c>
      <c r="O246" s="19">
        <v>28150.2</v>
      </c>
      <c r="P246" s="19">
        <v>28544.5</v>
      </c>
      <c r="Q246" s="19">
        <v>28958.2</v>
      </c>
      <c r="R246" s="19">
        <v>29392.400000000001</v>
      </c>
      <c r="S246" s="19">
        <v>29848.3</v>
      </c>
      <c r="T246" s="19">
        <v>29327.1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0</v>
      </c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>
        <v>0</v>
      </c>
      <c r="BM246" s="19">
        <v>0</v>
      </c>
      <c r="BN246" s="19">
        <v>0</v>
      </c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>
        <v>0</v>
      </c>
      <c r="BW246" s="19">
        <v>0</v>
      </c>
      <c r="BX246" s="19">
        <v>0</v>
      </c>
      <c r="BY246" s="19">
        <v>0</v>
      </c>
      <c r="BZ246" s="19">
        <v>0</v>
      </c>
      <c r="CA246" s="19">
        <v>0</v>
      </c>
      <c r="CB246" s="19">
        <v>0</v>
      </c>
      <c r="CC246" s="19">
        <v>0</v>
      </c>
      <c r="CD246" s="19">
        <v>0</v>
      </c>
      <c r="CE246" s="19">
        <v>0</v>
      </c>
      <c r="CF246" s="19">
        <v>0</v>
      </c>
      <c r="CG246" s="19">
        <v>0</v>
      </c>
      <c r="CH246" s="19">
        <v>0</v>
      </c>
      <c r="CI246" s="19">
        <v>0</v>
      </c>
      <c r="CJ246" s="19">
        <v>0</v>
      </c>
      <c r="CK246" s="19">
        <v>0</v>
      </c>
      <c r="CL246" s="19">
        <v>0</v>
      </c>
      <c r="CM246" s="19">
        <v>0</v>
      </c>
      <c r="CN246" s="19">
        <v>0</v>
      </c>
      <c r="CO246" s="19">
        <v>0</v>
      </c>
      <c r="CP246" s="19">
        <v>0</v>
      </c>
      <c r="CQ246" s="19">
        <v>0</v>
      </c>
      <c r="CR246" s="19">
        <v>0</v>
      </c>
      <c r="CS246" s="19">
        <v>0</v>
      </c>
      <c r="CT246" s="19">
        <v>0</v>
      </c>
      <c r="CU246" s="19">
        <v>0</v>
      </c>
      <c r="CV246" s="19">
        <v>0</v>
      </c>
      <c r="CW246" s="19">
        <v>0</v>
      </c>
      <c r="CX246" s="19">
        <v>0</v>
      </c>
      <c r="CY246" s="19">
        <v>0</v>
      </c>
      <c r="CZ246" s="19">
        <v>0</v>
      </c>
      <c r="DA246" s="19">
        <v>0</v>
      </c>
      <c r="DB246" s="19">
        <v>0</v>
      </c>
      <c r="DC246" s="19">
        <v>0</v>
      </c>
      <c r="DD246" s="19">
        <v>0</v>
      </c>
      <c r="DE246" s="19">
        <v>0</v>
      </c>
      <c r="DF246" s="19">
        <v>0</v>
      </c>
      <c r="DG246" s="19">
        <v>0</v>
      </c>
    </row>
    <row r="247" spans="2:111" x14ac:dyDescent="0.15">
      <c r="B247" s="19" t="str">
        <f t="shared" si="3"/>
        <v>1_女_46</v>
      </c>
      <c r="C247" s="18">
        <v>1</v>
      </c>
      <c r="D247" s="18" t="s">
        <v>2</v>
      </c>
      <c r="E247" s="18">
        <v>46</v>
      </c>
      <c r="F247" s="19">
        <v>22872.3</v>
      </c>
      <c r="G247" s="19">
        <v>24003.5</v>
      </c>
      <c r="H247" s="19">
        <v>25191.4</v>
      </c>
      <c r="I247" s="19">
        <v>26439.200000000001</v>
      </c>
      <c r="J247" s="19">
        <v>26750</v>
      </c>
      <c r="K247" s="19">
        <v>27075.8</v>
      </c>
      <c r="L247" s="19">
        <v>27417.4</v>
      </c>
      <c r="M247" s="19">
        <v>27775.599999999999</v>
      </c>
      <c r="N247" s="19">
        <v>28151.3</v>
      </c>
      <c r="O247" s="19">
        <v>28545.3</v>
      </c>
      <c r="P247" s="19">
        <v>28958.799999999999</v>
      </c>
      <c r="Q247" s="19">
        <v>29392.799999999999</v>
      </c>
      <c r="R247" s="19">
        <v>29848.5</v>
      </c>
      <c r="S247" s="19">
        <v>29327.1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0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>
        <v>0</v>
      </c>
      <c r="BW247" s="19">
        <v>0</v>
      </c>
      <c r="BX247" s="19">
        <v>0</v>
      </c>
      <c r="BY247" s="19">
        <v>0</v>
      </c>
      <c r="BZ247" s="19">
        <v>0</v>
      </c>
      <c r="CA247" s="19">
        <v>0</v>
      </c>
      <c r="CB247" s="19">
        <v>0</v>
      </c>
      <c r="CC247" s="19">
        <v>0</v>
      </c>
      <c r="CD247" s="19">
        <v>0</v>
      </c>
      <c r="CE247" s="19">
        <v>0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19">
        <v>0</v>
      </c>
      <c r="CL247" s="19">
        <v>0</v>
      </c>
      <c r="CM247" s="19">
        <v>0</v>
      </c>
      <c r="CN247" s="19">
        <v>0</v>
      </c>
      <c r="CO247" s="19">
        <v>0</v>
      </c>
      <c r="CP247" s="19">
        <v>0</v>
      </c>
      <c r="CQ247" s="19">
        <v>0</v>
      </c>
      <c r="CR247" s="19">
        <v>0</v>
      </c>
      <c r="CS247" s="19">
        <v>0</v>
      </c>
      <c r="CT247" s="19">
        <v>0</v>
      </c>
      <c r="CU247" s="19">
        <v>0</v>
      </c>
      <c r="CV247" s="19">
        <v>0</v>
      </c>
      <c r="CW247" s="19">
        <v>0</v>
      </c>
      <c r="CX247" s="19">
        <v>0</v>
      </c>
      <c r="CY247" s="19">
        <v>0</v>
      </c>
      <c r="CZ247" s="19">
        <v>0</v>
      </c>
      <c r="DA247" s="19">
        <v>0</v>
      </c>
      <c r="DB247" s="19">
        <v>0</v>
      </c>
      <c r="DC247" s="19">
        <v>0</v>
      </c>
      <c r="DD247" s="19">
        <v>0</v>
      </c>
      <c r="DE247" s="19">
        <v>0</v>
      </c>
      <c r="DF247" s="19">
        <v>0</v>
      </c>
      <c r="DG247" s="19">
        <v>0</v>
      </c>
    </row>
    <row r="248" spans="2:111" x14ac:dyDescent="0.15">
      <c r="B248" s="19" t="str">
        <f t="shared" si="3"/>
        <v>1_女_47</v>
      </c>
      <c r="C248" s="18">
        <v>1</v>
      </c>
      <c r="D248" s="18" t="s">
        <v>2</v>
      </c>
      <c r="E248" s="18">
        <v>47</v>
      </c>
      <c r="F248" s="19">
        <v>23144.400000000001</v>
      </c>
      <c r="G248" s="19">
        <v>24288.2</v>
      </c>
      <c r="H248" s="19">
        <v>25489.5</v>
      </c>
      <c r="I248" s="19">
        <v>26751.4</v>
      </c>
      <c r="J248" s="19">
        <v>27077.200000000001</v>
      </c>
      <c r="K248" s="19">
        <v>27418.7</v>
      </c>
      <c r="L248" s="19">
        <v>27776.7</v>
      </c>
      <c r="M248" s="19">
        <v>28152.3</v>
      </c>
      <c r="N248" s="19">
        <v>28546.2</v>
      </c>
      <c r="O248" s="19">
        <v>28959.599999999999</v>
      </c>
      <c r="P248" s="19">
        <v>29393.4</v>
      </c>
      <c r="Q248" s="19">
        <v>29848.799999999999</v>
      </c>
      <c r="R248" s="19">
        <v>29327.1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0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>
        <v>0</v>
      </c>
      <c r="BW248" s="19">
        <v>0</v>
      </c>
      <c r="BX248" s="19">
        <v>0</v>
      </c>
      <c r="BY248" s="19">
        <v>0</v>
      </c>
      <c r="BZ248" s="19">
        <v>0</v>
      </c>
      <c r="CA248" s="19">
        <v>0</v>
      </c>
      <c r="CB248" s="19">
        <v>0</v>
      </c>
      <c r="CC248" s="19">
        <v>0</v>
      </c>
      <c r="CD248" s="19">
        <v>0</v>
      </c>
      <c r="CE248" s="19">
        <v>0</v>
      </c>
      <c r="CF248" s="19">
        <v>0</v>
      </c>
      <c r="CG248" s="19">
        <v>0</v>
      </c>
      <c r="CH248" s="19">
        <v>0</v>
      </c>
      <c r="CI248" s="19">
        <v>0</v>
      </c>
      <c r="CJ248" s="19">
        <v>0</v>
      </c>
      <c r="CK248" s="19">
        <v>0</v>
      </c>
      <c r="CL248" s="19">
        <v>0</v>
      </c>
      <c r="CM248" s="19">
        <v>0</v>
      </c>
      <c r="CN248" s="19">
        <v>0</v>
      </c>
      <c r="CO248" s="19">
        <v>0</v>
      </c>
      <c r="CP248" s="19">
        <v>0</v>
      </c>
      <c r="CQ248" s="19">
        <v>0</v>
      </c>
      <c r="CR248" s="19">
        <v>0</v>
      </c>
      <c r="CS248" s="19">
        <v>0</v>
      </c>
      <c r="CT248" s="19">
        <v>0</v>
      </c>
      <c r="CU248" s="19">
        <v>0</v>
      </c>
      <c r="CV248" s="19">
        <v>0</v>
      </c>
      <c r="CW248" s="19">
        <v>0</v>
      </c>
      <c r="CX248" s="19">
        <v>0</v>
      </c>
      <c r="CY248" s="19">
        <v>0</v>
      </c>
      <c r="CZ248" s="19">
        <v>0</v>
      </c>
      <c r="DA248" s="19">
        <v>0</v>
      </c>
      <c r="DB248" s="19">
        <v>0</v>
      </c>
      <c r="DC248" s="19">
        <v>0</v>
      </c>
      <c r="DD248" s="19">
        <v>0</v>
      </c>
      <c r="DE248" s="19">
        <v>0</v>
      </c>
      <c r="DF248" s="19">
        <v>0</v>
      </c>
      <c r="DG248" s="19">
        <v>0</v>
      </c>
    </row>
    <row r="249" spans="2:111" x14ac:dyDescent="0.15">
      <c r="B249" s="19" t="str">
        <f t="shared" si="3"/>
        <v>1_女_48</v>
      </c>
      <c r="C249" s="18">
        <v>1</v>
      </c>
      <c r="D249" s="18" t="s">
        <v>2</v>
      </c>
      <c r="E249" s="18">
        <v>48</v>
      </c>
      <c r="F249" s="19">
        <v>23429.4</v>
      </c>
      <c r="G249" s="19">
        <v>24586.5</v>
      </c>
      <c r="H249" s="19">
        <v>25801.9</v>
      </c>
      <c r="I249" s="19">
        <v>27078.6</v>
      </c>
      <c r="J249" s="19">
        <v>27420</v>
      </c>
      <c r="K249" s="19">
        <v>27777.9</v>
      </c>
      <c r="L249" s="19">
        <v>28153.4</v>
      </c>
      <c r="M249" s="19">
        <v>28547.1</v>
      </c>
      <c r="N249" s="19">
        <v>28960.3</v>
      </c>
      <c r="O249" s="19">
        <v>29393.9</v>
      </c>
      <c r="P249" s="19">
        <v>29849.1</v>
      </c>
      <c r="Q249" s="19">
        <v>29327.1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0</v>
      </c>
      <c r="BN249" s="19">
        <v>0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>
        <v>0</v>
      </c>
      <c r="BW249" s="19">
        <v>0</v>
      </c>
      <c r="BX249" s="19">
        <v>0</v>
      </c>
      <c r="BY249" s="19">
        <v>0</v>
      </c>
      <c r="BZ249" s="19">
        <v>0</v>
      </c>
      <c r="CA249" s="19">
        <v>0</v>
      </c>
      <c r="CB249" s="19">
        <v>0</v>
      </c>
      <c r="CC249" s="19">
        <v>0</v>
      </c>
      <c r="CD249" s="19">
        <v>0</v>
      </c>
      <c r="CE249" s="19">
        <v>0</v>
      </c>
      <c r="CF249" s="19">
        <v>0</v>
      </c>
      <c r="CG249" s="19">
        <v>0</v>
      </c>
      <c r="CH249" s="19">
        <v>0</v>
      </c>
      <c r="CI249" s="19">
        <v>0</v>
      </c>
      <c r="CJ249" s="19">
        <v>0</v>
      </c>
      <c r="CK249" s="19">
        <v>0</v>
      </c>
      <c r="CL249" s="19">
        <v>0</v>
      </c>
      <c r="CM249" s="19">
        <v>0</v>
      </c>
      <c r="CN249" s="19">
        <v>0</v>
      </c>
      <c r="CO249" s="19">
        <v>0</v>
      </c>
      <c r="CP249" s="19">
        <v>0</v>
      </c>
      <c r="CQ249" s="19">
        <v>0</v>
      </c>
      <c r="CR249" s="19">
        <v>0</v>
      </c>
      <c r="CS249" s="19">
        <v>0</v>
      </c>
      <c r="CT249" s="19">
        <v>0</v>
      </c>
      <c r="CU249" s="19">
        <v>0</v>
      </c>
      <c r="CV249" s="19">
        <v>0</v>
      </c>
      <c r="CW249" s="19">
        <v>0</v>
      </c>
      <c r="CX249" s="19">
        <v>0</v>
      </c>
      <c r="CY249" s="19">
        <v>0</v>
      </c>
      <c r="CZ249" s="19">
        <v>0</v>
      </c>
      <c r="DA249" s="19">
        <v>0</v>
      </c>
      <c r="DB249" s="19">
        <v>0</v>
      </c>
      <c r="DC249" s="19">
        <v>0</v>
      </c>
      <c r="DD249" s="19">
        <v>0</v>
      </c>
      <c r="DE249" s="19">
        <v>0</v>
      </c>
      <c r="DF249" s="19">
        <v>0</v>
      </c>
      <c r="DG249" s="19">
        <v>0</v>
      </c>
    </row>
    <row r="250" spans="2:111" x14ac:dyDescent="0.15">
      <c r="B250" s="19" t="str">
        <f t="shared" si="3"/>
        <v>1_女_49</v>
      </c>
      <c r="C250" s="18">
        <v>1</v>
      </c>
      <c r="D250" s="18" t="s">
        <v>2</v>
      </c>
      <c r="E250" s="18">
        <v>49</v>
      </c>
      <c r="F250" s="19">
        <v>23728</v>
      </c>
      <c r="G250" s="19">
        <v>24899.1</v>
      </c>
      <c r="H250" s="19">
        <v>26129.1</v>
      </c>
      <c r="I250" s="19">
        <v>27421.3</v>
      </c>
      <c r="J250" s="19">
        <v>27779.200000000001</v>
      </c>
      <c r="K250" s="19">
        <v>28154.5</v>
      </c>
      <c r="L250" s="19">
        <v>28548.1</v>
      </c>
      <c r="M250" s="19">
        <v>28961</v>
      </c>
      <c r="N250" s="19">
        <v>29394.400000000001</v>
      </c>
      <c r="O250" s="19">
        <v>29849.4</v>
      </c>
      <c r="P250" s="19">
        <v>29327.1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>
        <v>0</v>
      </c>
      <c r="BW250" s="19">
        <v>0</v>
      </c>
      <c r="BX250" s="19">
        <v>0</v>
      </c>
      <c r="BY250" s="19">
        <v>0</v>
      </c>
      <c r="BZ250" s="19">
        <v>0</v>
      </c>
      <c r="CA250" s="19">
        <v>0</v>
      </c>
      <c r="CB250" s="19">
        <v>0</v>
      </c>
      <c r="CC250" s="19">
        <v>0</v>
      </c>
      <c r="CD250" s="19">
        <v>0</v>
      </c>
      <c r="CE250" s="19">
        <v>0</v>
      </c>
      <c r="CF250" s="19">
        <v>0</v>
      </c>
      <c r="CG250" s="19">
        <v>0</v>
      </c>
      <c r="CH250" s="19">
        <v>0</v>
      </c>
      <c r="CI250" s="19">
        <v>0</v>
      </c>
      <c r="CJ250" s="19">
        <v>0</v>
      </c>
      <c r="CK250" s="19">
        <v>0</v>
      </c>
      <c r="CL250" s="19">
        <v>0</v>
      </c>
      <c r="CM250" s="19">
        <v>0</v>
      </c>
      <c r="CN250" s="19">
        <v>0</v>
      </c>
      <c r="CO250" s="19">
        <v>0</v>
      </c>
      <c r="CP250" s="19">
        <v>0</v>
      </c>
      <c r="CQ250" s="19">
        <v>0</v>
      </c>
      <c r="CR250" s="19">
        <v>0</v>
      </c>
      <c r="CS250" s="19">
        <v>0</v>
      </c>
      <c r="CT250" s="19">
        <v>0</v>
      </c>
      <c r="CU250" s="19">
        <v>0</v>
      </c>
      <c r="CV250" s="19">
        <v>0</v>
      </c>
      <c r="CW250" s="19">
        <v>0</v>
      </c>
      <c r="CX250" s="19">
        <v>0</v>
      </c>
      <c r="CY250" s="19">
        <v>0</v>
      </c>
      <c r="CZ250" s="19">
        <v>0</v>
      </c>
      <c r="DA250" s="19">
        <v>0</v>
      </c>
      <c r="DB250" s="19">
        <v>0</v>
      </c>
      <c r="DC250" s="19">
        <v>0</v>
      </c>
      <c r="DD250" s="19">
        <v>0</v>
      </c>
      <c r="DE250" s="19">
        <v>0</v>
      </c>
      <c r="DF250" s="19">
        <v>0</v>
      </c>
      <c r="DG250" s="19">
        <v>0</v>
      </c>
    </row>
    <row r="251" spans="2:111" x14ac:dyDescent="0.15">
      <c r="B251" s="19" t="str">
        <f t="shared" si="3"/>
        <v>1_女_50</v>
      </c>
      <c r="C251" s="18">
        <v>1</v>
      </c>
      <c r="D251" s="18" t="s">
        <v>2</v>
      </c>
      <c r="E251" s="18">
        <v>50</v>
      </c>
      <c r="F251" s="19">
        <v>24040.9</v>
      </c>
      <c r="G251" s="19">
        <v>25226.5</v>
      </c>
      <c r="H251" s="19">
        <v>26472</v>
      </c>
      <c r="I251" s="19">
        <v>27780.5</v>
      </c>
      <c r="J251" s="19">
        <v>28155.599999999999</v>
      </c>
      <c r="K251" s="19">
        <v>28549.1</v>
      </c>
      <c r="L251" s="19">
        <v>28961.8</v>
      </c>
      <c r="M251" s="19">
        <v>29395</v>
      </c>
      <c r="N251" s="19">
        <v>29849.7</v>
      </c>
      <c r="O251" s="19">
        <v>29327.1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>
        <v>0</v>
      </c>
      <c r="BW251" s="19">
        <v>0</v>
      </c>
      <c r="BX251" s="19">
        <v>0</v>
      </c>
      <c r="BY251" s="19">
        <v>0</v>
      </c>
      <c r="BZ251" s="19">
        <v>0</v>
      </c>
      <c r="CA251" s="19">
        <v>0</v>
      </c>
      <c r="CB251" s="19">
        <v>0</v>
      </c>
      <c r="CC251" s="19">
        <v>0</v>
      </c>
      <c r="CD251" s="19">
        <v>0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19">
        <v>0</v>
      </c>
      <c r="CL251" s="19">
        <v>0</v>
      </c>
      <c r="CM251" s="19">
        <v>0</v>
      </c>
      <c r="CN251" s="19">
        <v>0</v>
      </c>
      <c r="CO251" s="19">
        <v>0</v>
      </c>
      <c r="CP251" s="19">
        <v>0</v>
      </c>
      <c r="CQ251" s="19">
        <v>0</v>
      </c>
      <c r="CR251" s="19">
        <v>0</v>
      </c>
      <c r="CS251" s="19">
        <v>0</v>
      </c>
      <c r="CT251" s="19">
        <v>0</v>
      </c>
      <c r="CU251" s="19">
        <v>0</v>
      </c>
      <c r="CV251" s="19">
        <v>0</v>
      </c>
      <c r="CW251" s="19">
        <v>0</v>
      </c>
      <c r="CX251" s="19">
        <v>0</v>
      </c>
      <c r="CY251" s="19">
        <v>0</v>
      </c>
      <c r="CZ251" s="19">
        <v>0</v>
      </c>
      <c r="DA251" s="19">
        <v>0</v>
      </c>
      <c r="DB251" s="19">
        <v>0</v>
      </c>
      <c r="DC251" s="19">
        <v>0</v>
      </c>
      <c r="DD251" s="19">
        <v>0</v>
      </c>
      <c r="DE251" s="19">
        <v>0</v>
      </c>
      <c r="DF251" s="19">
        <v>0</v>
      </c>
      <c r="DG251" s="19">
        <v>0</v>
      </c>
    </row>
    <row r="252" spans="2:111" x14ac:dyDescent="0.15">
      <c r="B252" s="19" t="str">
        <f t="shared" si="3"/>
        <v>3_女_0</v>
      </c>
      <c r="C252" s="18">
        <v>3</v>
      </c>
      <c r="D252" s="18" t="s">
        <v>2</v>
      </c>
      <c r="E252" s="18">
        <v>0</v>
      </c>
      <c r="F252" s="19">
        <v>5242.9</v>
      </c>
      <c r="G252" s="19">
        <v>11906.9</v>
      </c>
      <c r="H252" s="19">
        <v>19754.099999999999</v>
      </c>
      <c r="I252" s="19">
        <v>20738.7</v>
      </c>
      <c r="J252" s="19">
        <v>20773.2</v>
      </c>
      <c r="K252" s="19">
        <v>20809.8</v>
      </c>
      <c r="L252" s="19">
        <v>20848.400000000001</v>
      </c>
      <c r="M252" s="19">
        <v>20889</v>
      </c>
      <c r="N252" s="19">
        <v>20931.8</v>
      </c>
      <c r="O252" s="19">
        <v>20976.799999999999</v>
      </c>
      <c r="P252" s="19">
        <v>21024</v>
      </c>
      <c r="Q252" s="19">
        <v>21073.5</v>
      </c>
      <c r="R252" s="19">
        <v>21125.5</v>
      </c>
      <c r="S252" s="19">
        <v>21179.9</v>
      </c>
      <c r="T252" s="19">
        <v>21237</v>
      </c>
      <c r="U252" s="19">
        <v>21296.9</v>
      </c>
      <c r="V252" s="19">
        <v>21359.599999999999</v>
      </c>
      <c r="W252" s="19">
        <v>21425.4</v>
      </c>
      <c r="X252" s="19">
        <v>21494.400000000001</v>
      </c>
      <c r="Y252" s="19">
        <v>21566.799999999999</v>
      </c>
      <c r="Z252" s="19">
        <v>21642.6</v>
      </c>
      <c r="AA252" s="19">
        <v>21722.2</v>
      </c>
      <c r="AB252" s="19">
        <v>21805.599999999999</v>
      </c>
      <c r="AC252" s="19">
        <v>21893.1</v>
      </c>
      <c r="AD252" s="19">
        <v>21984.9</v>
      </c>
      <c r="AE252" s="19">
        <v>22081.200000000001</v>
      </c>
      <c r="AF252" s="19">
        <v>22182.2</v>
      </c>
      <c r="AG252" s="19">
        <v>22288.1</v>
      </c>
      <c r="AH252" s="19">
        <v>22399.3</v>
      </c>
      <c r="AI252" s="19">
        <v>22515.9</v>
      </c>
      <c r="AJ252" s="19">
        <v>22638.1</v>
      </c>
      <c r="AK252" s="19">
        <v>22766.400000000001</v>
      </c>
      <c r="AL252" s="19">
        <v>22900.799999999999</v>
      </c>
      <c r="AM252" s="19">
        <v>23041.7</v>
      </c>
      <c r="AN252" s="19">
        <v>23189.5</v>
      </c>
      <c r="AO252" s="19">
        <v>23344.3</v>
      </c>
      <c r="AP252" s="19">
        <v>23506.400000000001</v>
      </c>
      <c r="AQ252" s="19">
        <v>23676.3</v>
      </c>
      <c r="AR252" s="19">
        <v>23854.3</v>
      </c>
      <c r="AS252" s="19">
        <v>24040.7</v>
      </c>
      <c r="AT252" s="19">
        <v>24235.9</v>
      </c>
      <c r="AU252" s="19">
        <v>24440.2</v>
      </c>
      <c r="AV252" s="19">
        <v>24654.3</v>
      </c>
      <c r="AW252" s="19">
        <v>24878.400000000001</v>
      </c>
      <c r="AX252" s="19">
        <v>25113.1</v>
      </c>
      <c r="AY252" s="19">
        <v>25358.9</v>
      </c>
      <c r="AZ252" s="19">
        <v>25616.3</v>
      </c>
      <c r="BA252" s="19">
        <v>25885.9</v>
      </c>
      <c r="BB252" s="19">
        <v>26168.3</v>
      </c>
      <c r="BC252" s="19">
        <v>26464.1</v>
      </c>
      <c r="BD252" s="19">
        <v>26774</v>
      </c>
      <c r="BE252" s="19">
        <v>27098.6</v>
      </c>
      <c r="BF252" s="19">
        <v>27438.7</v>
      </c>
      <c r="BG252" s="19">
        <v>27795.1</v>
      </c>
      <c r="BH252" s="19">
        <v>28168.7</v>
      </c>
      <c r="BI252" s="19">
        <v>28560.2</v>
      </c>
      <c r="BJ252" s="19">
        <v>28970.799999999999</v>
      </c>
      <c r="BK252" s="19">
        <v>29401.4</v>
      </c>
      <c r="BL252" s="19">
        <v>29853.1</v>
      </c>
      <c r="BM252" s="19">
        <v>29327.1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>
        <v>0</v>
      </c>
      <c r="BW252" s="19">
        <v>0</v>
      </c>
      <c r="BX252" s="19">
        <v>0</v>
      </c>
      <c r="BY252" s="19">
        <v>0</v>
      </c>
      <c r="BZ252" s="19">
        <v>0</v>
      </c>
      <c r="CA252" s="19">
        <v>0</v>
      </c>
      <c r="CB252" s="19">
        <v>0</v>
      </c>
      <c r="CC252" s="19">
        <v>0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0</v>
      </c>
      <c r="CN252" s="19">
        <v>0</v>
      </c>
      <c r="CO252" s="19">
        <v>0</v>
      </c>
      <c r="CP252" s="19">
        <v>0</v>
      </c>
      <c r="CQ252" s="19">
        <v>0</v>
      </c>
      <c r="CR252" s="19">
        <v>0</v>
      </c>
      <c r="CS252" s="19">
        <v>0</v>
      </c>
      <c r="CT252" s="19">
        <v>0</v>
      </c>
      <c r="CU252" s="19">
        <v>0</v>
      </c>
      <c r="CV252" s="19">
        <v>0</v>
      </c>
      <c r="CW252" s="19">
        <v>0</v>
      </c>
      <c r="CX252" s="19">
        <v>0</v>
      </c>
      <c r="CY252" s="19">
        <v>0</v>
      </c>
      <c r="CZ252" s="19">
        <v>0</v>
      </c>
      <c r="DA252" s="19">
        <v>0</v>
      </c>
      <c r="DB252" s="19">
        <v>0</v>
      </c>
      <c r="DC252" s="19">
        <v>0</v>
      </c>
      <c r="DD252" s="19">
        <v>0</v>
      </c>
      <c r="DE252" s="19">
        <v>0</v>
      </c>
      <c r="DF252" s="19">
        <v>0</v>
      </c>
      <c r="DG252" s="19">
        <v>0</v>
      </c>
    </row>
    <row r="253" spans="2:111" x14ac:dyDescent="0.15">
      <c r="B253" s="19" t="str">
        <f t="shared" si="3"/>
        <v>3_女_1</v>
      </c>
      <c r="C253" s="18">
        <v>3</v>
      </c>
      <c r="D253" s="18" t="s">
        <v>2</v>
      </c>
      <c r="E253" s="18">
        <v>1</v>
      </c>
      <c r="F253" s="19">
        <v>5251.5</v>
      </c>
      <c r="G253" s="19">
        <v>11926.6</v>
      </c>
      <c r="H253" s="19">
        <v>19786.599999999999</v>
      </c>
      <c r="I253" s="19">
        <v>20773.400000000001</v>
      </c>
      <c r="J253" s="19">
        <v>20809.900000000001</v>
      </c>
      <c r="K253" s="19">
        <v>20848.5</v>
      </c>
      <c r="L253" s="19">
        <v>20889.2</v>
      </c>
      <c r="M253" s="19">
        <v>20932</v>
      </c>
      <c r="N253" s="19">
        <v>20976.9</v>
      </c>
      <c r="O253" s="19">
        <v>21024.1</v>
      </c>
      <c r="P253" s="19">
        <v>21073.7</v>
      </c>
      <c r="Q253" s="19">
        <v>21125.599999999999</v>
      </c>
      <c r="R253" s="19">
        <v>21180.1</v>
      </c>
      <c r="S253" s="19">
        <v>21237.200000000001</v>
      </c>
      <c r="T253" s="19">
        <v>21297.1</v>
      </c>
      <c r="U253" s="19">
        <v>21359.8</v>
      </c>
      <c r="V253" s="19">
        <v>21425.7</v>
      </c>
      <c r="W253" s="19">
        <v>21494.6</v>
      </c>
      <c r="X253" s="19">
        <v>21567</v>
      </c>
      <c r="Y253" s="19">
        <v>21642.799999999999</v>
      </c>
      <c r="Z253" s="19">
        <v>21722.400000000001</v>
      </c>
      <c r="AA253" s="19">
        <v>21805.8</v>
      </c>
      <c r="AB253" s="19">
        <v>21893.4</v>
      </c>
      <c r="AC253" s="19">
        <v>21985.200000000001</v>
      </c>
      <c r="AD253" s="19">
        <v>22081.5</v>
      </c>
      <c r="AE253" s="19">
        <v>22182.5</v>
      </c>
      <c r="AF253" s="19">
        <v>22288.400000000001</v>
      </c>
      <c r="AG253" s="19">
        <v>22399.599999999999</v>
      </c>
      <c r="AH253" s="19">
        <v>22516.2</v>
      </c>
      <c r="AI253" s="19">
        <v>22638.5</v>
      </c>
      <c r="AJ253" s="19">
        <v>22766.7</v>
      </c>
      <c r="AK253" s="19">
        <v>22901.200000000001</v>
      </c>
      <c r="AL253" s="19">
        <v>23042.1</v>
      </c>
      <c r="AM253" s="19">
        <v>23189.8</v>
      </c>
      <c r="AN253" s="19">
        <v>23344.6</v>
      </c>
      <c r="AO253" s="19">
        <v>23506.799999999999</v>
      </c>
      <c r="AP253" s="19">
        <v>23676.7</v>
      </c>
      <c r="AQ253" s="19">
        <v>23854.7</v>
      </c>
      <c r="AR253" s="19">
        <v>24041.1</v>
      </c>
      <c r="AS253" s="19">
        <v>24236.3</v>
      </c>
      <c r="AT253" s="19">
        <v>24440.7</v>
      </c>
      <c r="AU253" s="19">
        <v>24654.7</v>
      </c>
      <c r="AV253" s="19">
        <v>24878.799999999999</v>
      </c>
      <c r="AW253" s="19">
        <v>25113.5</v>
      </c>
      <c r="AX253" s="19">
        <v>25359.3</v>
      </c>
      <c r="AY253" s="19">
        <v>25616.7</v>
      </c>
      <c r="AZ253" s="19">
        <v>25886.3</v>
      </c>
      <c r="BA253" s="19">
        <v>26168.7</v>
      </c>
      <c r="BB253" s="19">
        <v>26464.5</v>
      </c>
      <c r="BC253" s="19">
        <v>26774.3</v>
      </c>
      <c r="BD253" s="19">
        <v>27098.9</v>
      </c>
      <c r="BE253" s="19">
        <v>27439</v>
      </c>
      <c r="BF253" s="19">
        <v>27795.4</v>
      </c>
      <c r="BG253" s="19">
        <v>28168.9</v>
      </c>
      <c r="BH253" s="19">
        <v>28560.5</v>
      </c>
      <c r="BI253" s="19">
        <v>28971</v>
      </c>
      <c r="BJ253" s="19">
        <v>29401.5</v>
      </c>
      <c r="BK253" s="19">
        <v>29853.1</v>
      </c>
      <c r="BL253" s="19">
        <v>29327.1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>
        <v>0</v>
      </c>
      <c r="BW253" s="19">
        <v>0</v>
      </c>
      <c r="BX253" s="19">
        <v>0</v>
      </c>
      <c r="BY253" s="19">
        <v>0</v>
      </c>
      <c r="BZ253" s="19">
        <v>0</v>
      </c>
      <c r="CA253" s="19">
        <v>0</v>
      </c>
      <c r="CB253" s="19">
        <v>0</v>
      </c>
      <c r="CC253" s="19">
        <v>0</v>
      </c>
      <c r="CD253" s="19">
        <v>0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19">
        <v>0</v>
      </c>
      <c r="CL253" s="19">
        <v>0</v>
      </c>
      <c r="CM253" s="19">
        <v>0</v>
      </c>
      <c r="CN253" s="19">
        <v>0</v>
      </c>
      <c r="CO253" s="19">
        <v>0</v>
      </c>
      <c r="CP253" s="19">
        <v>0</v>
      </c>
      <c r="CQ253" s="19">
        <v>0</v>
      </c>
      <c r="CR253" s="19">
        <v>0</v>
      </c>
      <c r="CS253" s="19">
        <v>0</v>
      </c>
      <c r="CT253" s="19">
        <v>0</v>
      </c>
      <c r="CU253" s="19">
        <v>0</v>
      </c>
      <c r="CV253" s="19">
        <v>0</v>
      </c>
      <c r="CW253" s="19">
        <v>0</v>
      </c>
      <c r="CX253" s="19">
        <v>0</v>
      </c>
      <c r="CY253" s="19">
        <v>0</v>
      </c>
      <c r="CZ253" s="19">
        <v>0</v>
      </c>
      <c r="DA253" s="19">
        <v>0</v>
      </c>
      <c r="DB253" s="19">
        <v>0</v>
      </c>
      <c r="DC253" s="19">
        <v>0</v>
      </c>
      <c r="DD253" s="19">
        <v>0</v>
      </c>
      <c r="DE253" s="19">
        <v>0</v>
      </c>
      <c r="DF253" s="19">
        <v>0</v>
      </c>
      <c r="DG253" s="19">
        <v>0</v>
      </c>
    </row>
    <row r="254" spans="2:111" x14ac:dyDescent="0.15">
      <c r="B254" s="19" t="str">
        <f t="shared" si="3"/>
        <v>3_女_2</v>
      </c>
      <c r="C254" s="18">
        <v>3</v>
      </c>
      <c r="D254" s="18" t="s">
        <v>2</v>
      </c>
      <c r="E254" s="18">
        <v>2</v>
      </c>
      <c r="F254" s="19">
        <v>5260.7</v>
      </c>
      <c r="G254" s="19">
        <v>11947.7</v>
      </c>
      <c r="H254" s="19">
        <v>19821.3</v>
      </c>
      <c r="I254" s="19">
        <v>20810.099999999999</v>
      </c>
      <c r="J254" s="19">
        <v>20848.7</v>
      </c>
      <c r="K254" s="19">
        <v>20889.400000000001</v>
      </c>
      <c r="L254" s="19">
        <v>20932.099999999999</v>
      </c>
      <c r="M254" s="19">
        <v>20977.1</v>
      </c>
      <c r="N254" s="19">
        <v>21024.3</v>
      </c>
      <c r="O254" s="19">
        <v>21073.9</v>
      </c>
      <c r="P254" s="19">
        <v>21125.8</v>
      </c>
      <c r="Q254" s="19">
        <v>21180.3</v>
      </c>
      <c r="R254" s="19">
        <v>21237.4</v>
      </c>
      <c r="S254" s="19">
        <v>21297.3</v>
      </c>
      <c r="T254" s="19">
        <v>21360.1</v>
      </c>
      <c r="U254" s="19">
        <v>21425.9</v>
      </c>
      <c r="V254" s="19">
        <v>21494.9</v>
      </c>
      <c r="W254" s="19">
        <v>21567.200000000001</v>
      </c>
      <c r="X254" s="19">
        <v>21643.1</v>
      </c>
      <c r="Y254" s="19">
        <v>21722.7</v>
      </c>
      <c r="Z254" s="19">
        <v>21806.1</v>
      </c>
      <c r="AA254" s="19">
        <v>21893.599999999999</v>
      </c>
      <c r="AB254" s="19">
        <v>21985.4</v>
      </c>
      <c r="AC254" s="19">
        <v>22081.7</v>
      </c>
      <c r="AD254" s="19">
        <v>22182.799999999999</v>
      </c>
      <c r="AE254" s="19">
        <v>22288.7</v>
      </c>
      <c r="AF254" s="19">
        <v>22399.9</v>
      </c>
      <c r="AG254" s="19">
        <v>22516.5</v>
      </c>
      <c r="AH254" s="19">
        <v>22638.799999999999</v>
      </c>
      <c r="AI254" s="19">
        <v>22767.1</v>
      </c>
      <c r="AJ254" s="19">
        <v>22901.5</v>
      </c>
      <c r="AK254" s="19">
        <v>23042.5</v>
      </c>
      <c r="AL254" s="19">
        <v>23190.2</v>
      </c>
      <c r="AM254" s="19">
        <v>23345</v>
      </c>
      <c r="AN254" s="19">
        <v>23507.200000000001</v>
      </c>
      <c r="AO254" s="19">
        <v>23677.1</v>
      </c>
      <c r="AP254" s="19">
        <v>23855.1</v>
      </c>
      <c r="AQ254" s="19">
        <v>24041.5</v>
      </c>
      <c r="AR254" s="19">
        <v>24236.7</v>
      </c>
      <c r="AS254" s="19">
        <v>24441.1</v>
      </c>
      <c r="AT254" s="19">
        <v>24655.1</v>
      </c>
      <c r="AU254" s="19">
        <v>24879.3</v>
      </c>
      <c r="AV254" s="19">
        <v>25114</v>
      </c>
      <c r="AW254" s="19">
        <v>25359.8</v>
      </c>
      <c r="AX254" s="19">
        <v>25617.200000000001</v>
      </c>
      <c r="AY254" s="19">
        <v>25886.799999999999</v>
      </c>
      <c r="AZ254" s="19">
        <v>26169.1</v>
      </c>
      <c r="BA254" s="19">
        <v>26464.9</v>
      </c>
      <c r="BB254" s="19">
        <v>26774.7</v>
      </c>
      <c r="BC254" s="19">
        <v>27099.3</v>
      </c>
      <c r="BD254" s="19">
        <v>27439.4</v>
      </c>
      <c r="BE254" s="19">
        <v>27795.7</v>
      </c>
      <c r="BF254" s="19">
        <v>28169.200000000001</v>
      </c>
      <c r="BG254" s="19">
        <v>28560.7</v>
      </c>
      <c r="BH254" s="19">
        <v>28971.200000000001</v>
      </c>
      <c r="BI254" s="19">
        <v>29401.599999999999</v>
      </c>
      <c r="BJ254" s="19">
        <v>29853.200000000001</v>
      </c>
      <c r="BK254" s="19">
        <v>29327.1</v>
      </c>
      <c r="BL254" s="19">
        <v>0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>
        <v>0</v>
      </c>
      <c r="BW254" s="19">
        <v>0</v>
      </c>
      <c r="BX254" s="19">
        <v>0</v>
      </c>
      <c r="BY254" s="19">
        <v>0</v>
      </c>
      <c r="BZ254" s="19">
        <v>0</v>
      </c>
      <c r="CA254" s="19">
        <v>0</v>
      </c>
      <c r="CB254" s="19">
        <v>0</v>
      </c>
      <c r="CC254" s="19">
        <v>0</v>
      </c>
      <c r="CD254" s="19">
        <v>0</v>
      </c>
      <c r="CE254" s="19">
        <v>0</v>
      </c>
      <c r="CF254" s="19">
        <v>0</v>
      </c>
      <c r="CG254" s="19">
        <v>0</v>
      </c>
      <c r="CH254" s="19">
        <v>0</v>
      </c>
      <c r="CI254" s="19">
        <v>0</v>
      </c>
      <c r="CJ254" s="19">
        <v>0</v>
      </c>
      <c r="CK254" s="19">
        <v>0</v>
      </c>
      <c r="CL254" s="19">
        <v>0</v>
      </c>
      <c r="CM254" s="19">
        <v>0</v>
      </c>
      <c r="CN254" s="19">
        <v>0</v>
      </c>
      <c r="CO254" s="19">
        <v>0</v>
      </c>
      <c r="CP254" s="19">
        <v>0</v>
      </c>
      <c r="CQ254" s="19">
        <v>0</v>
      </c>
      <c r="CR254" s="19">
        <v>0</v>
      </c>
      <c r="CS254" s="19">
        <v>0</v>
      </c>
      <c r="CT254" s="19">
        <v>0</v>
      </c>
      <c r="CU254" s="19">
        <v>0</v>
      </c>
      <c r="CV254" s="19">
        <v>0</v>
      </c>
      <c r="CW254" s="19">
        <v>0</v>
      </c>
      <c r="CX254" s="19">
        <v>0</v>
      </c>
      <c r="CY254" s="19">
        <v>0</v>
      </c>
      <c r="CZ254" s="19">
        <v>0</v>
      </c>
      <c r="DA254" s="19">
        <v>0</v>
      </c>
      <c r="DB254" s="19">
        <v>0</v>
      </c>
      <c r="DC254" s="19">
        <v>0</v>
      </c>
      <c r="DD254" s="19">
        <v>0</v>
      </c>
      <c r="DE254" s="19">
        <v>0</v>
      </c>
      <c r="DF254" s="19">
        <v>0</v>
      </c>
      <c r="DG254" s="19">
        <v>0</v>
      </c>
    </row>
    <row r="255" spans="2:111" x14ac:dyDescent="0.15">
      <c r="B255" s="19" t="str">
        <f t="shared" si="3"/>
        <v>3_女_3</v>
      </c>
      <c r="C255" s="18">
        <v>3</v>
      </c>
      <c r="D255" s="18" t="s">
        <v>2</v>
      </c>
      <c r="E255" s="18">
        <v>3</v>
      </c>
      <c r="F255" s="19">
        <v>5270.5</v>
      </c>
      <c r="G255" s="19">
        <v>11969.9</v>
      </c>
      <c r="H255" s="19">
        <v>19858</v>
      </c>
      <c r="I255" s="19">
        <v>20848.900000000001</v>
      </c>
      <c r="J255" s="19">
        <v>20889.5</v>
      </c>
      <c r="K255" s="19">
        <v>20932.3</v>
      </c>
      <c r="L255" s="19">
        <v>20977.3</v>
      </c>
      <c r="M255" s="19">
        <v>21024.5</v>
      </c>
      <c r="N255" s="19">
        <v>21074.1</v>
      </c>
      <c r="O255" s="19">
        <v>21126</v>
      </c>
      <c r="P255" s="19">
        <v>21180.5</v>
      </c>
      <c r="Q255" s="19">
        <v>21237.7</v>
      </c>
      <c r="R255" s="19">
        <v>21297.5</v>
      </c>
      <c r="S255" s="19">
        <v>21360.3</v>
      </c>
      <c r="T255" s="19">
        <v>21426.1</v>
      </c>
      <c r="U255" s="19">
        <v>21495.1</v>
      </c>
      <c r="V255" s="19">
        <v>21567.5</v>
      </c>
      <c r="W255" s="19">
        <v>21643.4</v>
      </c>
      <c r="X255" s="19">
        <v>21722.9</v>
      </c>
      <c r="Y255" s="19">
        <v>21806.400000000001</v>
      </c>
      <c r="Z255" s="19">
        <v>21893.9</v>
      </c>
      <c r="AA255" s="19">
        <v>21985.7</v>
      </c>
      <c r="AB255" s="19">
        <v>22082.1</v>
      </c>
      <c r="AC255" s="19">
        <v>22183.1</v>
      </c>
      <c r="AD255" s="19">
        <v>22289.1</v>
      </c>
      <c r="AE255" s="19">
        <v>22400.2</v>
      </c>
      <c r="AF255" s="19">
        <v>22516.9</v>
      </c>
      <c r="AG255" s="19">
        <v>22639.200000000001</v>
      </c>
      <c r="AH255" s="19">
        <v>22767.4</v>
      </c>
      <c r="AI255" s="19">
        <v>22901.9</v>
      </c>
      <c r="AJ255" s="19">
        <v>23042.9</v>
      </c>
      <c r="AK255" s="19">
        <v>23190.6</v>
      </c>
      <c r="AL255" s="19">
        <v>23345.4</v>
      </c>
      <c r="AM255" s="19">
        <v>23507.599999999999</v>
      </c>
      <c r="AN255" s="19">
        <v>23677.599999999999</v>
      </c>
      <c r="AO255" s="19">
        <v>23855.5</v>
      </c>
      <c r="AP255" s="19">
        <v>24041.9</v>
      </c>
      <c r="AQ255" s="19">
        <v>24237.1</v>
      </c>
      <c r="AR255" s="19">
        <v>24441.599999999999</v>
      </c>
      <c r="AS255" s="19">
        <v>24655.599999999999</v>
      </c>
      <c r="AT255" s="19">
        <v>24879.7</v>
      </c>
      <c r="AU255" s="19">
        <v>25114.400000000001</v>
      </c>
      <c r="AV255" s="19">
        <v>25360.2</v>
      </c>
      <c r="AW255" s="19">
        <v>25617.599999999999</v>
      </c>
      <c r="AX255" s="19">
        <v>25887.200000000001</v>
      </c>
      <c r="AY255" s="19">
        <v>26169.599999999999</v>
      </c>
      <c r="AZ255" s="19">
        <v>26465.3</v>
      </c>
      <c r="BA255" s="19">
        <v>26775.1</v>
      </c>
      <c r="BB255" s="19">
        <v>27099.7</v>
      </c>
      <c r="BC255" s="19">
        <v>27439.8</v>
      </c>
      <c r="BD255" s="19">
        <v>27796.1</v>
      </c>
      <c r="BE255" s="19">
        <v>28169.5</v>
      </c>
      <c r="BF255" s="19">
        <v>28561</v>
      </c>
      <c r="BG255" s="19">
        <v>28971.4</v>
      </c>
      <c r="BH255" s="19">
        <v>29401.8</v>
      </c>
      <c r="BI255" s="19">
        <v>29853.3</v>
      </c>
      <c r="BJ255" s="19">
        <v>29327.1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>
        <v>0</v>
      </c>
      <c r="BW255" s="19">
        <v>0</v>
      </c>
      <c r="BX255" s="19">
        <v>0</v>
      </c>
      <c r="BY255" s="19">
        <v>0</v>
      </c>
      <c r="BZ255" s="19">
        <v>0</v>
      </c>
      <c r="CA255" s="19">
        <v>0</v>
      </c>
      <c r="CB255" s="19">
        <v>0</v>
      </c>
      <c r="CC255" s="19">
        <v>0</v>
      </c>
      <c r="CD255" s="19">
        <v>0</v>
      </c>
      <c r="CE255" s="19">
        <v>0</v>
      </c>
      <c r="CF255" s="19">
        <v>0</v>
      </c>
      <c r="CG255" s="19">
        <v>0</v>
      </c>
      <c r="CH255" s="19">
        <v>0</v>
      </c>
      <c r="CI255" s="19">
        <v>0</v>
      </c>
      <c r="CJ255" s="19">
        <v>0</v>
      </c>
      <c r="CK255" s="19">
        <v>0</v>
      </c>
      <c r="CL255" s="19">
        <v>0</v>
      </c>
      <c r="CM255" s="19">
        <v>0</v>
      </c>
      <c r="CN255" s="19">
        <v>0</v>
      </c>
      <c r="CO255" s="19">
        <v>0</v>
      </c>
      <c r="CP255" s="19">
        <v>0</v>
      </c>
      <c r="CQ255" s="19">
        <v>0</v>
      </c>
      <c r="CR255" s="19">
        <v>0</v>
      </c>
      <c r="CS255" s="19">
        <v>0</v>
      </c>
      <c r="CT255" s="19">
        <v>0</v>
      </c>
      <c r="CU255" s="19">
        <v>0</v>
      </c>
      <c r="CV255" s="19">
        <v>0</v>
      </c>
      <c r="CW255" s="19">
        <v>0</v>
      </c>
      <c r="CX255" s="19">
        <v>0</v>
      </c>
      <c r="CY255" s="19">
        <v>0</v>
      </c>
      <c r="CZ255" s="19">
        <v>0</v>
      </c>
      <c r="DA255" s="19">
        <v>0</v>
      </c>
      <c r="DB255" s="19">
        <v>0</v>
      </c>
      <c r="DC255" s="19">
        <v>0</v>
      </c>
      <c r="DD255" s="19">
        <v>0</v>
      </c>
      <c r="DE255" s="19">
        <v>0</v>
      </c>
      <c r="DF255" s="19">
        <v>0</v>
      </c>
      <c r="DG255" s="19">
        <v>0</v>
      </c>
    </row>
    <row r="256" spans="2:111" x14ac:dyDescent="0.15">
      <c r="B256" s="19" t="str">
        <f t="shared" si="3"/>
        <v>3_女_4</v>
      </c>
      <c r="C256" s="18">
        <v>3</v>
      </c>
      <c r="D256" s="18" t="s">
        <v>2</v>
      </c>
      <c r="E256" s="18">
        <v>4</v>
      </c>
      <c r="F256" s="19">
        <v>5280.8</v>
      </c>
      <c r="G256" s="19">
        <v>11993.2</v>
      </c>
      <c r="H256" s="19">
        <v>19896.8</v>
      </c>
      <c r="I256" s="19">
        <v>20889.7</v>
      </c>
      <c r="J256" s="19">
        <v>20932.5</v>
      </c>
      <c r="K256" s="19">
        <v>20977.5</v>
      </c>
      <c r="L256" s="19">
        <v>21024.7</v>
      </c>
      <c r="M256" s="19">
        <v>21074.3</v>
      </c>
      <c r="N256" s="19">
        <v>21126.3</v>
      </c>
      <c r="O256" s="19">
        <v>21180.799999999999</v>
      </c>
      <c r="P256" s="19">
        <v>21237.9</v>
      </c>
      <c r="Q256" s="19">
        <v>21297.8</v>
      </c>
      <c r="R256" s="19">
        <v>21360.5</v>
      </c>
      <c r="S256" s="19">
        <v>21426.400000000001</v>
      </c>
      <c r="T256" s="19">
        <v>21495.4</v>
      </c>
      <c r="U256" s="19">
        <v>21567.8</v>
      </c>
      <c r="V256" s="19">
        <v>21643.599999999999</v>
      </c>
      <c r="W256" s="19">
        <v>21723.200000000001</v>
      </c>
      <c r="X256" s="19">
        <v>21806.7</v>
      </c>
      <c r="Y256" s="19">
        <v>21894.2</v>
      </c>
      <c r="Z256" s="19">
        <v>21986.1</v>
      </c>
      <c r="AA256" s="19">
        <v>22082.400000000001</v>
      </c>
      <c r="AB256" s="19">
        <v>22183.4</v>
      </c>
      <c r="AC256" s="19">
        <v>22289.4</v>
      </c>
      <c r="AD256" s="19">
        <v>22400.6</v>
      </c>
      <c r="AE256" s="19">
        <v>22517.200000000001</v>
      </c>
      <c r="AF256" s="19">
        <v>22639.5</v>
      </c>
      <c r="AG256" s="19">
        <v>22767.8</v>
      </c>
      <c r="AH256" s="19">
        <v>22902.3</v>
      </c>
      <c r="AI256" s="19">
        <v>23043.3</v>
      </c>
      <c r="AJ256" s="19">
        <v>23191</v>
      </c>
      <c r="AK256" s="19">
        <v>23345.9</v>
      </c>
      <c r="AL256" s="19">
        <v>23508.1</v>
      </c>
      <c r="AM256" s="19">
        <v>23678</v>
      </c>
      <c r="AN256" s="19">
        <v>23856</v>
      </c>
      <c r="AO256" s="19">
        <v>24042.400000000001</v>
      </c>
      <c r="AP256" s="19">
        <v>24237.599999999999</v>
      </c>
      <c r="AQ256" s="19">
        <v>24442</v>
      </c>
      <c r="AR256" s="19">
        <v>24656.1</v>
      </c>
      <c r="AS256" s="19">
        <v>24880.2</v>
      </c>
      <c r="AT256" s="19">
        <v>25114.9</v>
      </c>
      <c r="AU256" s="19">
        <v>25360.7</v>
      </c>
      <c r="AV256" s="19">
        <v>25618.1</v>
      </c>
      <c r="AW256" s="19">
        <v>25887.7</v>
      </c>
      <c r="AX256" s="19">
        <v>26170</v>
      </c>
      <c r="AY256" s="19">
        <v>26465.8</v>
      </c>
      <c r="AZ256" s="19">
        <v>26775.599999999999</v>
      </c>
      <c r="BA256" s="19">
        <v>27100.1</v>
      </c>
      <c r="BB256" s="19">
        <v>27440.1</v>
      </c>
      <c r="BC256" s="19">
        <v>27796.400000000001</v>
      </c>
      <c r="BD256" s="19">
        <v>28169.8</v>
      </c>
      <c r="BE256" s="19">
        <v>28561.200000000001</v>
      </c>
      <c r="BF256" s="19">
        <v>28971.599999999999</v>
      </c>
      <c r="BG256" s="19">
        <v>29401.9</v>
      </c>
      <c r="BH256" s="19">
        <v>29853.4</v>
      </c>
      <c r="BI256" s="19">
        <v>29327.1</v>
      </c>
      <c r="BJ256" s="19">
        <v>0</v>
      </c>
      <c r="BK256" s="19">
        <v>0</v>
      </c>
      <c r="BL256" s="19">
        <v>0</v>
      </c>
      <c r="BM256" s="19">
        <v>0</v>
      </c>
      <c r="BN256" s="19">
        <v>0</v>
      </c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>
        <v>0</v>
      </c>
      <c r="BW256" s="19">
        <v>0</v>
      </c>
      <c r="BX256" s="19">
        <v>0</v>
      </c>
      <c r="BY256" s="19">
        <v>0</v>
      </c>
      <c r="BZ256" s="19">
        <v>0</v>
      </c>
      <c r="CA256" s="19">
        <v>0</v>
      </c>
      <c r="CB256" s="19">
        <v>0</v>
      </c>
      <c r="CC256" s="19">
        <v>0</v>
      </c>
      <c r="CD256" s="19">
        <v>0</v>
      </c>
      <c r="CE256" s="19">
        <v>0</v>
      </c>
      <c r="CF256" s="19">
        <v>0</v>
      </c>
      <c r="CG256" s="19">
        <v>0</v>
      </c>
      <c r="CH256" s="19">
        <v>0</v>
      </c>
      <c r="CI256" s="19">
        <v>0</v>
      </c>
      <c r="CJ256" s="19">
        <v>0</v>
      </c>
      <c r="CK256" s="19">
        <v>0</v>
      </c>
      <c r="CL256" s="19">
        <v>0</v>
      </c>
      <c r="CM256" s="19">
        <v>0</v>
      </c>
      <c r="CN256" s="19">
        <v>0</v>
      </c>
      <c r="CO256" s="19">
        <v>0</v>
      </c>
      <c r="CP256" s="19">
        <v>0</v>
      </c>
      <c r="CQ256" s="19">
        <v>0</v>
      </c>
      <c r="CR256" s="19">
        <v>0</v>
      </c>
      <c r="CS256" s="19">
        <v>0</v>
      </c>
      <c r="CT256" s="19">
        <v>0</v>
      </c>
      <c r="CU256" s="19">
        <v>0</v>
      </c>
      <c r="CV256" s="19">
        <v>0</v>
      </c>
      <c r="CW256" s="19">
        <v>0</v>
      </c>
      <c r="CX256" s="19">
        <v>0</v>
      </c>
      <c r="CY256" s="19">
        <v>0</v>
      </c>
      <c r="CZ256" s="19">
        <v>0</v>
      </c>
      <c r="DA256" s="19">
        <v>0</v>
      </c>
      <c r="DB256" s="19">
        <v>0</v>
      </c>
      <c r="DC256" s="19">
        <v>0</v>
      </c>
      <c r="DD256" s="19">
        <v>0</v>
      </c>
      <c r="DE256" s="19">
        <v>0</v>
      </c>
      <c r="DF256" s="19">
        <v>0</v>
      </c>
      <c r="DG256" s="19">
        <v>0</v>
      </c>
    </row>
    <row r="257" spans="2:111" x14ac:dyDescent="0.15">
      <c r="B257" s="19" t="str">
        <f t="shared" si="3"/>
        <v>3_女_5</v>
      </c>
      <c r="C257" s="18">
        <v>3</v>
      </c>
      <c r="D257" s="18" t="s">
        <v>2</v>
      </c>
      <c r="E257" s="18">
        <v>5</v>
      </c>
      <c r="F257" s="19">
        <v>5291.7</v>
      </c>
      <c r="G257" s="19">
        <v>12017.9</v>
      </c>
      <c r="H257" s="19">
        <v>19937.599999999999</v>
      </c>
      <c r="I257" s="19">
        <v>20932.7</v>
      </c>
      <c r="J257" s="19">
        <v>20977.7</v>
      </c>
      <c r="K257" s="19">
        <v>21024.9</v>
      </c>
      <c r="L257" s="19">
        <v>21074.5</v>
      </c>
      <c r="M257" s="19">
        <v>21126.5</v>
      </c>
      <c r="N257" s="19">
        <v>21181</v>
      </c>
      <c r="O257" s="19">
        <v>21238.1</v>
      </c>
      <c r="P257" s="19">
        <v>21298</v>
      </c>
      <c r="Q257" s="19">
        <v>21360.799999999999</v>
      </c>
      <c r="R257" s="19">
        <v>21426.6</v>
      </c>
      <c r="S257" s="19">
        <v>21495.7</v>
      </c>
      <c r="T257" s="19">
        <v>21568</v>
      </c>
      <c r="U257" s="19">
        <v>21643.9</v>
      </c>
      <c r="V257" s="19">
        <v>21723.5</v>
      </c>
      <c r="W257" s="19">
        <v>21807</v>
      </c>
      <c r="X257" s="19">
        <v>21894.5</v>
      </c>
      <c r="Y257" s="19">
        <v>21986.400000000001</v>
      </c>
      <c r="Z257" s="19">
        <v>22082.7</v>
      </c>
      <c r="AA257" s="19">
        <v>22183.8</v>
      </c>
      <c r="AB257" s="19">
        <v>22289.8</v>
      </c>
      <c r="AC257" s="19">
        <v>22401</v>
      </c>
      <c r="AD257" s="19">
        <v>22517.599999999999</v>
      </c>
      <c r="AE257" s="19">
        <v>22639.9</v>
      </c>
      <c r="AF257" s="19">
        <v>22768.2</v>
      </c>
      <c r="AG257" s="19">
        <v>22902.7</v>
      </c>
      <c r="AH257" s="19">
        <v>23043.7</v>
      </c>
      <c r="AI257" s="19">
        <v>23191.5</v>
      </c>
      <c r="AJ257" s="19">
        <v>23346.3</v>
      </c>
      <c r="AK257" s="19">
        <v>23508.5</v>
      </c>
      <c r="AL257" s="19">
        <v>23678.5</v>
      </c>
      <c r="AM257" s="19">
        <v>23856.5</v>
      </c>
      <c r="AN257" s="19">
        <v>24042.9</v>
      </c>
      <c r="AO257" s="19">
        <v>24238.1</v>
      </c>
      <c r="AP257" s="19">
        <v>24442.5</v>
      </c>
      <c r="AQ257" s="19">
        <v>24656.6</v>
      </c>
      <c r="AR257" s="19">
        <v>24880.7</v>
      </c>
      <c r="AS257" s="19">
        <v>25115.4</v>
      </c>
      <c r="AT257" s="19">
        <v>25361.200000000001</v>
      </c>
      <c r="AU257" s="19">
        <v>25618.6</v>
      </c>
      <c r="AV257" s="19">
        <v>25888.2</v>
      </c>
      <c r="AW257" s="19">
        <v>26170.5</v>
      </c>
      <c r="AX257" s="19">
        <v>26466.2</v>
      </c>
      <c r="AY257" s="19">
        <v>26776</v>
      </c>
      <c r="AZ257" s="19">
        <v>27100.5</v>
      </c>
      <c r="BA257" s="19">
        <v>27440.5</v>
      </c>
      <c r="BB257" s="19">
        <v>27796.799999999999</v>
      </c>
      <c r="BC257" s="19">
        <v>28170.2</v>
      </c>
      <c r="BD257" s="19">
        <v>28561.5</v>
      </c>
      <c r="BE257" s="19">
        <v>28971.8</v>
      </c>
      <c r="BF257" s="19">
        <v>29402.1</v>
      </c>
      <c r="BG257" s="19">
        <v>29853.5</v>
      </c>
      <c r="BH257" s="19">
        <v>29327.1</v>
      </c>
      <c r="BI257" s="19">
        <v>0</v>
      </c>
      <c r="BJ257" s="19">
        <v>0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>
        <v>0</v>
      </c>
      <c r="BW257" s="19">
        <v>0</v>
      </c>
      <c r="BX257" s="19">
        <v>0</v>
      </c>
      <c r="BY257" s="19">
        <v>0</v>
      </c>
      <c r="BZ257" s="19">
        <v>0</v>
      </c>
      <c r="CA257" s="19">
        <v>0</v>
      </c>
      <c r="CB257" s="19">
        <v>0</v>
      </c>
      <c r="CC257" s="19">
        <v>0</v>
      </c>
      <c r="CD257" s="19">
        <v>0</v>
      </c>
      <c r="CE257" s="19">
        <v>0</v>
      </c>
      <c r="CF257" s="19">
        <v>0</v>
      </c>
      <c r="CG257" s="19">
        <v>0</v>
      </c>
      <c r="CH257" s="19">
        <v>0</v>
      </c>
      <c r="CI257" s="19">
        <v>0</v>
      </c>
      <c r="CJ257" s="19">
        <v>0</v>
      </c>
      <c r="CK257" s="19">
        <v>0</v>
      </c>
      <c r="CL257" s="19">
        <v>0</v>
      </c>
      <c r="CM257" s="19">
        <v>0</v>
      </c>
      <c r="CN257" s="19">
        <v>0</v>
      </c>
      <c r="CO257" s="19">
        <v>0</v>
      </c>
      <c r="CP257" s="19">
        <v>0</v>
      </c>
      <c r="CQ257" s="19">
        <v>0</v>
      </c>
      <c r="CR257" s="19">
        <v>0</v>
      </c>
      <c r="CS257" s="19">
        <v>0</v>
      </c>
      <c r="CT257" s="19">
        <v>0</v>
      </c>
      <c r="CU257" s="19">
        <v>0</v>
      </c>
      <c r="CV257" s="19">
        <v>0</v>
      </c>
      <c r="CW257" s="19">
        <v>0</v>
      </c>
      <c r="CX257" s="19">
        <v>0</v>
      </c>
      <c r="CY257" s="19">
        <v>0</v>
      </c>
      <c r="CZ257" s="19">
        <v>0</v>
      </c>
      <c r="DA257" s="19">
        <v>0</v>
      </c>
      <c r="DB257" s="19">
        <v>0</v>
      </c>
      <c r="DC257" s="19">
        <v>0</v>
      </c>
      <c r="DD257" s="19">
        <v>0</v>
      </c>
      <c r="DE257" s="19">
        <v>0</v>
      </c>
      <c r="DF257" s="19">
        <v>0</v>
      </c>
      <c r="DG257" s="19">
        <v>0</v>
      </c>
    </row>
    <row r="258" spans="2:111" x14ac:dyDescent="0.15">
      <c r="B258" s="19" t="str">
        <f t="shared" si="3"/>
        <v>3_女_6</v>
      </c>
      <c r="C258" s="18">
        <v>3</v>
      </c>
      <c r="D258" s="18" t="s">
        <v>2</v>
      </c>
      <c r="E258" s="18">
        <v>6</v>
      </c>
      <c r="F258" s="19">
        <v>5303.1</v>
      </c>
      <c r="G258" s="19">
        <v>12043.8</v>
      </c>
      <c r="H258" s="19">
        <v>19980.599999999999</v>
      </c>
      <c r="I258" s="19">
        <v>20977.9</v>
      </c>
      <c r="J258" s="19">
        <v>21025.1</v>
      </c>
      <c r="K258" s="19">
        <v>21074.7</v>
      </c>
      <c r="L258" s="19">
        <v>21126.7</v>
      </c>
      <c r="M258" s="19">
        <v>21181.200000000001</v>
      </c>
      <c r="N258" s="19">
        <v>21238.400000000001</v>
      </c>
      <c r="O258" s="19">
        <v>21298.3</v>
      </c>
      <c r="P258" s="19">
        <v>21361.1</v>
      </c>
      <c r="Q258" s="19">
        <v>21426.9</v>
      </c>
      <c r="R258" s="19">
        <v>21495.9</v>
      </c>
      <c r="S258" s="19">
        <v>21568.3</v>
      </c>
      <c r="T258" s="19">
        <v>21644.2</v>
      </c>
      <c r="U258" s="19">
        <v>21723.8</v>
      </c>
      <c r="V258" s="19">
        <v>21807.3</v>
      </c>
      <c r="W258" s="19">
        <v>21894.9</v>
      </c>
      <c r="X258" s="19">
        <v>21986.7</v>
      </c>
      <c r="Y258" s="19">
        <v>22083.1</v>
      </c>
      <c r="Z258" s="19">
        <v>22184.1</v>
      </c>
      <c r="AA258" s="19">
        <v>22290.1</v>
      </c>
      <c r="AB258" s="19">
        <v>22401.3</v>
      </c>
      <c r="AC258" s="19">
        <v>22518</v>
      </c>
      <c r="AD258" s="19">
        <v>22640.3</v>
      </c>
      <c r="AE258" s="19">
        <v>22768.6</v>
      </c>
      <c r="AF258" s="19">
        <v>22903.1</v>
      </c>
      <c r="AG258" s="19">
        <v>23044.1</v>
      </c>
      <c r="AH258" s="19">
        <v>23191.9</v>
      </c>
      <c r="AI258" s="19">
        <v>23346.799999999999</v>
      </c>
      <c r="AJ258" s="19">
        <v>23509</v>
      </c>
      <c r="AK258" s="19">
        <v>23679</v>
      </c>
      <c r="AL258" s="19">
        <v>23857</v>
      </c>
      <c r="AM258" s="19">
        <v>24043.4</v>
      </c>
      <c r="AN258" s="19">
        <v>24238.6</v>
      </c>
      <c r="AO258" s="19">
        <v>24443</v>
      </c>
      <c r="AP258" s="19">
        <v>24657.1</v>
      </c>
      <c r="AQ258" s="19">
        <v>24881.200000000001</v>
      </c>
      <c r="AR258" s="19">
        <v>25116</v>
      </c>
      <c r="AS258" s="19">
        <v>25361.7</v>
      </c>
      <c r="AT258" s="19">
        <v>25619.1</v>
      </c>
      <c r="AU258" s="19">
        <v>25888.7</v>
      </c>
      <c r="AV258" s="19">
        <v>26171</v>
      </c>
      <c r="AW258" s="19">
        <v>26466.7</v>
      </c>
      <c r="AX258" s="19">
        <v>26776.5</v>
      </c>
      <c r="AY258" s="19">
        <v>27101</v>
      </c>
      <c r="AZ258" s="19">
        <v>27441</v>
      </c>
      <c r="BA258" s="19">
        <v>27797.200000000001</v>
      </c>
      <c r="BB258" s="19">
        <v>28170.5</v>
      </c>
      <c r="BC258" s="19">
        <v>28561.8</v>
      </c>
      <c r="BD258" s="19">
        <v>28972.1</v>
      </c>
      <c r="BE258" s="19">
        <v>29402.3</v>
      </c>
      <c r="BF258" s="19">
        <v>29853.599999999999</v>
      </c>
      <c r="BG258" s="19">
        <v>29327.1</v>
      </c>
      <c r="BH258" s="19">
        <v>0</v>
      </c>
      <c r="BI258" s="19">
        <v>0</v>
      </c>
      <c r="BJ258" s="19">
        <v>0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>
        <v>0</v>
      </c>
      <c r="BW258" s="19">
        <v>0</v>
      </c>
      <c r="BX258" s="19">
        <v>0</v>
      </c>
      <c r="BY258" s="19">
        <v>0</v>
      </c>
      <c r="BZ258" s="19">
        <v>0</v>
      </c>
      <c r="CA258" s="19">
        <v>0</v>
      </c>
      <c r="CB258" s="19">
        <v>0</v>
      </c>
      <c r="CC258" s="19">
        <v>0</v>
      </c>
      <c r="CD258" s="19">
        <v>0</v>
      </c>
      <c r="CE258" s="19">
        <v>0</v>
      </c>
      <c r="CF258" s="19">
        <v>0</v>
      </c>
      <c r="CG258" s="19">
        <v>0</v>
      </c>
      <c r="CH258" s="19">
        <v>0</v>
      </c>
      <c r="CI258" s="19">
        <v>0</v>
      </c>
      <c r="CJ258" s="19">
        <v>0</v>
      </c>
      <c r="CK258" s="19">
        <v>0</v>
      </c>
      <c r="CL258" s="19">
        <v>0</v>
      </c>
      <c r="CM258" s="19">
        <v>0</v>
      </c>
      <c r="CN258" s="19">
        <v>0</v>
      </c>
      <c r="CO258" s="19">
        <v>0</v>
      </c>
      <c r="CP258" s="19">
        <v>0</v>
      </c>
      <c r="CQ258" s="19">
        <v>0</v>
      </c>
      <c r="CR258" s="19">
        <v>0</v>
      </c>
      <c r="CS258" s="19">
        <v>0</v>
      </c>
      <c r="CT258" s="19">
        <v>0</v>
      </c>
      <c r="CU258" s="19">
        <v>0</v>
      </c>
      <c r="CV258" s="19">
        <v>0</v>
      </c>
      <c r="CW258" s="19">
        <v>0</v>
      </c>
      <c r="CX258" s="19">
        <v>0</v>
      </c>
      <c r="CY258" s="19">
        <v>0</v>
      </c>
      <c r="CZ258" s="19">
        <v>0</v>
      </c>
      <c r="DA258" s="19">
        <v>0</v>
      </c>
      <c r="DB258" s="19">
        <v>0</v>
      </c>
      <c r="DC258" s="19">
        <v>0</v>
      </c>
      <c r="DD258" s="19">
        <v>0</v>
      </c>
      <c r="DE258" s="19">
        <v>0</v>
      </c>
      <c r="DF258" s="19">
        <v>0</v>
      </c>
      <c r="DG258" s="19">
        <v>0</v>
      </c>
    </row>
    <row r="259" spans="2:111" x14ac:dyDescent="0.15">
      <c r="B259" s="19" t="str">
        <f t="shared" ref="B259:B322" si="4">C259&amp;"_"&amp;D259&amp;"_"&amp;E259</f>
        <v>3_女_7</v>
      </c>
      <c r="C259" s="18">
        <v>3</v>
      </c>
      <c r="D259" s="18" t="s">
        <v>2</v>
      </c>
      <c r="E259" s="18">
        <v>7</v>
      </c>
      <c r="F259" s="19">
        <v>5315.1</v>
      </c>
      <c r="G259" s="19">
        <v>12071.1</v>
      </c>
      <c r="H259" s="19">
        <v>20025.8</v>
      </c>
      <c r="I259" s="19">
        <v>21025.4</v>
      </c>
      <c r="J259" s="19">
        <v>21074.9</v>
      </c>
      <c r="K259" s="19">
        <v>21126.9</v>
      </c>
      <c r="L259" s="19">
        <v>21181.5</v>
      </c>
      <c r="M259" s="19">
        <v>21238.6</v>
      </c>
      <c r="N259" s="19">
        <v>21298.5</v>
      </c>
      <c r="O259" s="19">
        <v>21361.3</v>
      </c>
      <c r="P259" s="19">
        <v>21427.200000000001</v>
      </c>
      <c r="Q259" s="19">
        <v>21496.2</v>
      </c>
      <c r="R259" s="19">
        <v>21568.6</v>
      </c>
      <c r="S259" s="19">
        <v>21644.5</v>
      </c>
      <c r="T259" s="19">
        <v>21724.1</v>
      </c>
      <c r="U259" s="19">
        <v>21807.599999999999</v>
      </c>
      <c r="V259" s="19">
        <v>21895.200000000001</v>
      </c>
      <c r="W259" s="19">
        <v>21987.1</v>
      </c>
      <c r="X259" s="19">
        <v>22083.4</v>
      </c>
      <c r="Y259" s="19">
        <v>22184.5</v>
      </c>
      <c r="Z259" s="19">
        <v>22290.5</v>
      </c>
      <c r="AA259" s="19">
        <v>22401.7</v>
      </c>
      <c r="AB259" s="19">
        <v>22518.400000000001</v>
      </c>
      <c r="AC259" s="19">
        <v>22640.7</v>
      </c>
      <c r="AD259" s="19">
        <v>22769</v>
      </c>
      <c r="AE259" s="19">
        <v>22903.599999999999</v>
      </c>
      <c r="AF259" s="19">
        <v>23044.6</v>
      </c>
      <c r="AG259" s="19">
        <v>23192.400000000001</v>
      </c>
      <c r="AH259" s="19">
        <v>23347.200000000001</v>
      </c>
      <c r="AI259" s="19">
        <v>23509.5</v>
      </c>
      <c r="AJ259" s="19">
        <v>23679.5</v>
      </c>
      <c r="AK259" s="19">
        <v>23857.5</v>
      </c>
      <c r="AL259" s="19">
        <v>24043.9</v>
      </c>
      <c r="AM259" s="19">
        <v>24239.1</v>
      </c>
      <c r="AN259" s="19">
        <v>24443.599999999999</v>
      </c>
      <c r="AO259" s="19">
        <v>24657.599999999999</v>
      </c>
      <c r="AP259" s="19">
        <v>24881.8</v>
      </c>
      <c r="AQ259" s="19">
        <v>25116.5</v>
      </c>
      <c r="AR259" s="19">
        <v>25362.3</v>
      </c>
      <c r="AS259" s="19">
        <v>25619.599999999999</v>
      </c>
      <c r="AT259" s="19">
        <v>25889.200000000001</v>
      </c>
      <c r="AU259" s="19">
        <v>26171.5</v>
      </c>
      <c r="AV259" s="19">
        <v>26467.200000000001</v>
      </c>
      <c r="AW259" s="19">
        <v>26777</v>
      </c>
      <c r="AX259" s="19">
        <v>27101.4</v>
      </c>
      <c r="AY259" s="19">
        <v>27441.4</v>
      </c>
      <c r="AZ259" s="19">
        <v>27797.599999999999</v>
      </c>
      <c r="BA259" s="19">
        <v>28170.9</v>
      </c>
      <c r="BB259" s="19">
        <v>28562.1</v>
      </c>
      <c r="BC259" s="19">
        <v>28972.3</v>
      </c>
      <c r="BD259" s="19">
        <v>29402.400000000001</v>
      </c>
      <c r="BE259" s="19">
        <v>29853.599999999999</v>
      </c>
      <c r="BF259" s="19">
        <v>29327.1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>
        <v>0</v>
      </c>
      <c r="BW259" s="19">
        <v>0</v>
      </c>
      <c r="BX259" s="19">
        <v>0</v>
      </c>
      <c r="BY259" s="19">
        <v>0</v>
      </c>
      <c r="BZ259" s="19">
        <v>0</v>
      </c>
      <c r="CA259" s="19">
        <v>0</v>
      </c>
      <c r="CB259" s="19">
        <v>0</v>
      </c>
      <c r="CC259" s="19">
        <v>0</v>
      </c>
      <c r="CD259" s="19">
        <v>0</v>
      </c>
      <c r="CE259" s="19">
        <v>0</v>
      </c>
      <c r="CF259" s="19">
        <v>0</v>
      </c>
      <c r="CG259" s="19">
        <v>0</v>
      </c>
      <c r="CH259" s="19">
        <v>0</v>
      </c>
      <c r="CI259" s="19">
        <v>0</v>
      </c>
      <c r="CJ259" s="19">
        <v>0</v>
      </c>
      <c r="CK259" s="19">
        <v>0</v>
      </c>
      <c r="CL259" s="19">
        <v>0</v>
      </c>
      <c r="CM259" s="19">
        <v>0</v>
      </c>
      <c r="CN259" s="19">
        <v>0</v>
      </c>
      <c r="CO259" s="19">
        <v>0</v>
      </c>
      <c r="CP259" s="19">
        <v>0</v>
      </c>
      <c r="CQ259" s="19">
        <v>0</v>
      </c>
      <c r="CR259" s="19">
        <v>0</v>
      </c>
      <c r="CS259" s="19">
        <v>0</v>
      </c>
      <c r="CT259" s="19">
        <v>0</v>
      </c>
      <c r="CU259" s="19">
        <v>0</v>
      </c>
      <c r="CV259" s="19">
        <v>0</v>
      </c>
      <c r="CW259" s="19">
        <v>0</v>
      </c>
      <c r="CX259" s="19">
        <v>0</v>
      </c>
      <c r="CY259" s="19">
        <v>0</v>
      </c>
      <c r="CZ259" s="19">
        <v>0</v>
      </c>
      <c r="DA259" s="19">
        <v>0</v>
      </c>
      <c r="DB259" s="19">
        <v>0</v>
      </c>
      <c r="DC259" s="19">
        <v>0</v>
      </c>
      <c r="DD259" s="19">
        <v>0</v>
      </c>
      <c r="DE259" s="19">
        <v>0</v>
      </c>
      <c r="DF259" s="19">
        <v>0</v>
      </c>
      <c r="DG259" s="19">
        <v>0</v>
      </c>
    </row>
    <row r="260" spans="2:111" x14ac:dyDescent="0.15">
      <c r="B260" s="19" t="str">
        <f t="shared" si="4"/>
        <v>3_女_8</v>
      </c>
      <c r="C260" s="18">
        <v>3</v>
      </c>
      <c r="D260" s="18" t="s">
        <v>2</v>
      </c>
      <c r="E260" s="18">
        <v>8</v>
      </c>
      <c r="F260" s="19">
        <v>5327.7</v>
      </c>
      <c r="G260" s="19">
        <v>12099.7</v>
      </c>
      <c r="H260" s="19">
        <v>20073.3</v>
      </c>
      <c r="I260" s="19">
        <v>21075.200000000001</v>
      </c>
      <c r="J260" s="19">
        <v>21127.200000000001</v>
      </c>
      <c r="K260" s="19">
        <v>21181.7</v>
      </c>
      <c r="L260" s="19">
        <v>21238.9</v>
      </c>
      <c r="M260" s="19">
        <v>21298.799999999999</v>
      </c>
      <c r="N260" s="19">
        <v>21361.599999999999</v>
      </c>
      <c r="O260" s="19">
        <v>21427.5</v>
      </c>
      <c r="P260" s="19">
        <v>21496.5</v>
      </c>
      <c r="Q260" s="19">
        <v>21568.9</v>
      </c>
      <c r="R260" s="19">
        <v>21644.799999999999</v>
      </c>
      <c r="S260" s="19">
        <v>21724.5</v>
      </c>
      <c r="T260" s="19">
        <v>21808</v>
      </c>
      <c r="U260" s="19">
        <v>21895.5</v>
      </c>
      <c r="V260" s="19">
        <v>21987.4</v>
      </c>
      <c r="W260" s="19">
        <v>22083.8</v>
      </c>
      <c r="X260" s="19">
        <v>22184.9</v>
      </c>
      <c r="Y260" s="19">
        <v>22290.9</v>
      </c>
      <c r="Z260" s="19">
        <v>22402.1</v>
      </c>
      <c r="AA260" s="19">
        <v>22518.799999999999</v>
      </c>
      <c r="AB260" s="19">
        <v>22641.200000000001</v>
      </c>
      <c r="AC260" s="19">
        <v>22769.5</v>
      </c>
      <c r="AD260" s="19">
        <v>22904</v>
      </c>
      <c r="AE260" s="19">
        <v>23045</v>
      </c>
      <c r="AF260" s="19">
        <v>23192.799999999999</v>
      </c>
      <c r="AG260" s="19">
        <v>23347.7</v>
      </c>
      <c r="AH260" s="19">
        <v>23510</v>
      </c>
      <c r="AI260" s="19">
        <v>23680</v>
      </c>
      <c r="AJ260" s="19">
        <v>23858</v>
      </c>
      <c r="AK260" s="19">
        <v>24044.400000000001</v>
      </c>
      <c r="AL260" s="19">
        <v>24239.7</v>
      </c>
      <c r="AM260" s="19">
        <v>24444.1</v>
      </c>
      <c r="AN260" s="19">
        <v>24658.2</v>
      </c>
      <c r="AO260" s="19">
        <v>24882.3</v>
      </c>
      <c r="AP260" s="19">
        <v>25117</v>
      </c>
      <c r="AQ260" s="19">
        <v>25362.799999999999</v>
      </c>
      <c r="AR260" s="19">
        <v>25620.2</v>
      </c>
      <c r="AS260" s="19">
        <v>25889.7</v>
      </c>
      <c r="AT260" s="19">
        <v>26172.1</v>
      </c>
      <c r="AU260" s="19">
        <v>26467.7</v>
      </c>
      <c r="AV260" s="19">
        <v>26777.5</v>
      </c>
      <c r="AW260" s="19">
        <v>27101.9</v>
      </c>
      <c r="AX260" s="19">
        <v>27441.8</v>
      </c>
      <c r="AY260" s="19">
        <v>27798</v>
      </c>
      <c r="AZ260" s="19">
        <v>28171.200000000001</v>
      </c>
      <c r="BA260" s="19">
        <v>28562.400000000001</v>
      </c>
      <c r="BB260" s="19">
        <v>28972.5</v>
      </c>
      <c r="BC260" s="19">
        <v>29402.6</v>
      </c>
      <c r="BD260" s="19">
        <v>29853.7</v>
      </c>
      <c r="BE260" s="19">
        <v>29327.1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>
        <v>0</v>
      </c>
      <c r="BW260" s="19">
        <v>0</v>
      </c>
      <c r="BX260" s="19">
        <v>0</v>
      </c>
      <c r="BY260" s="19">
        <v>0</v>
      </c>
      <c r="BZ260" s="19">
        <v>0</v>
      </c>
      <c r="CA260" s="19">
        <v>0</v>
      </c>
      <c r="CB260" s="19">
        <v>0</v>
      </c>
      <c r="CC260" s="19">
        <v>0</v>
      </c>
      <c r="CD260" s="19">
        <v>0</v>
      </c>
      <c r="CE260" s="19">
        <v>0</v>
      </c>
      <c r="CF260" s="19">
        <v>0</v>
      </c>
      <c r="CG260" s="19">
        <v>0</v>
      </c>
      <c r="CH260" s="19">
        <v>0</v>
      </c>
      <c r="CI260" s="19">
        <v>0</v>
      </c>
      <c r="CJ260" s="19">
        <v>0</v>
      </c>
      <c r="CK260" s="19">
        <v>0</v>
      </c>
      <c r="CL260" s="19">
        <v>0</v>
      </c>
      <c r="CM260" s="19">
        <v>0</v>
      </c>
      <c r="CN260" s="19">
        <v>0</v>
      </c>
      <c r="CO260" s="19">
        <v>0</v>
      </c>
      <c r="CP260" s="19">
        <v>0</v>
      </c>
      <c r="CQ260" s="19">
        <v>0</v>
      </c>
      <c r="CR260" s="19">
        <v>0</v>
      </c>
      <c r="CS260" s="19">
        <v>0</v>
      </c>
      <c r="CT260" s="19">
        <v>0</v>
      </c>
      <c r="CU260" s="19">
        <v>0</v>
      </c>
      <c r="CV260" s="19">
        <v>0</v>
      </c>
      <c r="CW260" s="19">
        <v>0</v>
      </c>
      <c r="CX260" s="19">
        <v>0</v>
      </c>
      <c r="CY260" s="19">
        <v>0</v>
      </c>
      <c r="CZ260" s="19">
        <v>0</v>
      </c>
      <c r="DA260" s="19">
        <v>0</v>
      </c>
      <c r="DB260" s="19">
        <v>0</v>
      </c>
      <c r="DC260" s="19">
        <v>0</v>
      </c>
      <c r="DD260" s="19">
        <v>0</v>
      </c>
      <c r="DE260" s="19">
        <v>0</v>
      </c>
      <c r="DF260" s="19">
        <v>0</v>
      </c>
      <c r="DG260" s="19">
        <v>0</v>
      </c>
    </row>
    <row r="261" spans="2:111" x14ac:dyDescent="0.15">
      <c r="B261" s="19" t="str">
        <f t="shared" si="4"/>
        <v>3_女_9</v>
      </c>
      <c r="C261" s="18">
        <v>3</v>
      </c>
      <c r="D261" s="18" t="s">
        <v>2</v>
      </c>
      <c r="E261" s="18">
        <v>9</v>
      </c>
      <c r="F261" s="19">
        <v>5341</v>
      </c>
      <c r="G261" s="19">
        <v>12129.8</v>
      </c>
      <c r="H261" s="19">
        <v>20123.099999999999</v>
      </c>
      <c r="I261" s="19">
        <v>21127.4</v>
      </c>
      <c r="J261" s="19">
        <v>21182</v>
      </c>
      <c r="K261" s="19">
        <v>21239.1</v>
      </c>
      <c r="L261" s="19">
        <v>21299.1</v>
      </c>
      <c r="M261" s="19">
        <v>21361.9</v>
      </c>
      <c r="N261" s="19">
        <v>21427.8</v>
      </c>
      <c r="O261" s="19">
        <v>21496.799999999999</v>
      </c>
      <c r="P261" s="19">
        <v>21569.200000000001</v>
      </c>
      <c r="Q261" s="19">
        <v>21645.200000000001</v>
      </c>
      <c r="R261" s="19">
        <v>21724.799999999999</v>
      </c>
      <c r="S261" s="19">
        <v>21808.3</v>
      </c>
      <c r="T261" s="19">
        <v>21895.9</v>
      </c>
      <c r="U261" s="19">
        <v>21987.8</v>
      </c>
      <c r="V261" s="19">
        <v>22084.2</v>
      </c>
      <c r="W261" s="19">
        <v>22185.3</v>
      </c>
      <c r="X261" s="19">
        <v>22291.3</v>
      </c>
      <c r="Y261" s="19">
        <v>22402.6</v>
      </c>
      <c r="Z261" s="19">
        <v>22519.200000000001</v>
      </c>
      <c r="AA261" s="19">
        <v>22641.599999999999</v>
      </c>
      <c r="AB261" s="19">
        <v>22769.9</v>
      </c>
      <c r="AC261" s="19">
        <v>22904.5</v>
      </c>
      <c r="AD261" s="19">
        <v>23045.5</v>
      </c>
      <c r="AE261" s="19">
        <v>23193.3</v>
      </c>
      <c r="AF261" s="19">
        <v>23348.2</v>
      </c>
      <c r="AG261" s="19">
        <v>23510.5</v>
      </c>
      <c r="AH261" s="19">
        <v>23680.5</v>
      </c>
      <c r="AI261" s="19">
        <v>23858.5</v>
      </c>
      <c r="AJ261" s="19">
        <v>24045</v>
      </c>
      <c r="AK261" s="19">
        <v>24240.2</v>
      </c>
      <c r="AL261" s="19">
        <v>24444.7</v>
      </c>
      <c r="AM261" s="19">
        <v>24658.7</v>
      </c>
      <c r="AN261" s="19">
        <v>24882.9</v>
      </c>
      <c r="AO261" s="19">
        <v>25117.599999999999</v>
      </c>
      <c r="AP261" s="19">
        <v>25363.4</v>
      </c>
      <c r="AQ261" s="19">
        <v>25620.799999999999</v>
      </c>
      <c r="AR261" s="19">
        <v>25890.3</v>
      </c>
      <c r="AS261" s="19">
        <v>26172.6</v>
      </c>
      <c r="AT261" s="19">
        <v>26468.3</v>
      </c>
      <c r="AU261" s="19">
        <v>26778</v>
      </c>
      <c r="AV261" s="19">
        <v>27102.400000000001</v>
      </c>
      <c r="AW261" s="19">
        <v>27442.3</v>
      </c>
      <c r="AX261" s="19">
        <v>27798.400000000001</v>
      </c>
      <c r="AY261" s="19">
        <v>28171.599999999999</v>
      </c>
      <c r="AZ261" s="19">
        <v>28562.7</v>
      </c>
      <c r="BA261" s="19">
        <v>28972.799999999999</v>
      </c>
      <c r="BB261" s="19">
        <v>29402.799999999999</v>
      </c>
      <c r="BC261" s="19">
        <v>29853.8</v>
      </c>
      <c r="BD261" s="19">
        <v>29327.1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>
        <v>0</v>
      </c>
      <c r="BW261" s="19">
        <v>0</v>
      </c>
      <c r="BX261" s="19">
        <v>0</v>
      </c>
      <c r="BY261" s="19">
        <v>0</v>
      </c>
      <c r="BZ261" s="19">
        <v>0</v>
      </c>
      <c r="CA261" s="19">
        <v>0</v>
      </c>
      <c r="CB261" s="19">
        <v>0</v>
      </c>
      <c r="CC261" s="19">
        <v>0</v>
      </c>
      <c r="CD261" s="19">
        <v>0</v>
      </c>
      <c r="CE261" s="19">
        <v>0</v>
      </c>
      <c r="CF261" s="19">
        <v>0</v>
      </c>
      <c r="CG261" s="19">
        <v>0</v>
      </c>
      <c r="CH261" s="19">
        <v>0</v>
      </c>
      <c r="CI261" s="19">
        <v>0</v>
      </c>
      <c r="CJ261" s="19">
        <v>0</v>
      </c>
      <c r="CK261" s="19">
        <v>0</v>
      </c>
      <c r="CL261" s="19">
        <v>0</v>
      </c>
      <c r="CM261" s="19">
        <v>0</v>
      </c>
      <c r="CN261" s="19">
        <v>0</v>
      </c>
      <c r="CO261" s="19">
        <v>0</v>
      </c>
      <c r="CP261" s="19">
        <v>0</v>
      </c>
      <c r="CQ261" s="19">
        <v>0</v>
      </c>
      <c r="CR261" s="19">
        <v>0</v>
      </c>
      <c r="CS261" s="19">
        <v>0</v>
      </c>
      <c r="CT261" s="19">
        <v>0</v>
      </c>
      <c r="CU261" s="19">
        <v>0</v>
      </c>
      <c r="CV261" s="19">
        <v>0</v>
      </c>
      <c r="CW261" s="19">
        <v>0</v>
      </c>
      <c r="CX261" s="19">
        <v>0</v>
      </c>
      <c r="CY261" s="19">
        <v>0</v>
      </c>
      <c r="CZ261" s="19">
        <v>0</v>
      </c>
      <c r="DA261" s="19">
        <v>0</v>
      </c>
      <c r="DB261" s="19">
        <v>0</v>
      </c>
      <c r="DC261" s="19">
        <v>0</v>
      </c>
      <c r="DD261" s="19">
        <v>0</v>
      </c>
      <c r="DE261" s="19">
        <v>0</v>
      </c>
      <c r="DF261" s="19">
        <v>0</v>
      </c>
      <c r="DG261" s="19">
        <v>0</v>
      </c>
    </row>
    <row r="262" spans="2:111" x14ac:dyDescent="0.15">
      <c r="B262" s="19" t="str">
        <f t="shared" si="4"/>
        <v>3_女_10</v>
      </c>
      <c r="C262" s="18">
        <v>3</v>
      </c>
      <c r="D262" s="18" t="s">
        <v>2</v>
      </c>
      <c r="E262" s="18">
        <v>10</v>
      </c>
      <c r="F262" s="19">
        <v>5354.9</v>
      </c>
      <c r="G262" s="19">
        <v>12161.3</v>
      </c>
      <c r="H262" s="19">
        <v>20175.400000000001</v>
      </c>
      <c r="I262" s="19">
        <v>21182.2</v>
      </c>
      <c r="J262" s="19">
        <v>21239.4</v>
      </c>
      <c r="K262" s="19">
        <v>21299.4</v>
      </c>
      <c r="L262" s="19">
        <v>21362.2</v>
      </c>
      <c r="M262" s="19">
        <v>21428.1</v>
      </c>
      <c r="N262" s="19">
        <v>21497.1</v>
      </c>
      <c r="O262" s="19">
        <v>21569.599999999999</v>
      </c>
      <c r="P262" s="19">
        <v>21645.5</v>
      </c>
      <c r="Q262" s="19">
        <v>21725.200000000001</v>
      </c>
      <c r="R262" s="19">
        <v>21808.7</v>
      </c>
      <c r="S262" s="19">
        <v>21896.3</v>
      </c>
      <c r="T262" s="19">
        <v>21988.2</v>
      </c>
      <c r="U262" s="19">
        <v>22084.6</v>
      </c>
      <c r="V262" s="19">
        <v>22185.7</v>
      </c>
      <c r="W262" s="19">
        <v>22291.7</v>
      </c>
      <c r="X262" s="19">
        <v>22403</v>
      </c>
      <c r="Y262" s="19">
        <v>22519.7</v>
      </c>
      <c r="Z262" s="19">
        <v>22642.1</v>
      </c>
      <c r="AA262" s="19">
        <v>22770.400000000001</v>
      </c>
      <c r="AB262" s="19">
        <v>22905</v>
      </c>
      <c r="AC262" s="19">
        <v>23046</v>
      </c>
      <c r="AD262" s="19">
        <v>23193.8</v>
      </c>
      <c r="AE262" s="19">
        <v>23348.7</v>
      </c>
      <c r="AF262" s="19">
        <v>23511</v>
      </c>
      <c r="AG262" s="19">
        <v>23681</v>
      </c>
      <c r="AH262" s="19">
        <v>23859.1</v>
      </c>
      <c r="AI262" s="19">
        <v>24045.5</v>
      </c>
      <c r="AJ262" s="19">
        <v>24240.799999999999</v>
      </c>
      <c r="AK262" s="19">
        <v>24445.200000000001</v>
      </c>
      <c r="AL262" s="19">
        <v>24659.3</v>
      </c>
      <c r="AM262" s="19">
        <v>24883.5</v>
      </c>
      <c r="AN262" s="19">
        <v>25118.2</v>
      </c>
      <c r="AO262" s="19">
        <v>25364</v>
      </c>
      <c r="AP262" s="19">
        <v>25621.3</v>
      </c>
      <c r="AQ262" s="19">
        <v>25890.9</v>
      </c>
      <c r="AR262" s="19">
        <v>26173.200000000001</v>
      </c>
      <c r="AS262" s="19">
        <v>26468.799999999999</v>
      </c>
      <c r="AT262" s="19">
        <v>26778.5</v>
      </c>
      <c r="AU262" s="19">
        <v>27102.9</v>
      </c>
      <c r="AV262" s="19">
        <v>27442.7</v>
      </c>
      <c r="AW262" s="19">
        <v>27798.799999999999</v>
      </c>
      <c r="AX262" s="19">
        <v>28172</v>
      </c>
      <c r="AY262" s="19">
        <v>28563.1</v>
      </c>
      <c r="AZ262" s="19">
        <v>28973.1</v>
      </c>
      <c r="BA262" s="19">
        <v>29403</v>
      </c>
      <c r="BB262" s="19">
        <v>29853.9</v>
      </c>
      <c r="BC262" s="19">
        <v>29327.1</v>
      </c>
      <c r="BD262" s="19">
        <v>0</v>
      </c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>
        <v>0</v>
      </c>
      <c r="BM262" s="19">
        <v>0</v>
      </c>
      <c r="BN262" s="19">
        <v>0</v>
      </c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>
        <v>0</v>
      </c>
      <c r="BW262" s="19">
        <v>0</v>
      </c>
      <c r="BX262" s="19">
        <v>0</v>
      </c>
      <c r="BY262" s="19">
        <v>0</v>
      </c>
      <c r="BZ262" s="19">
        <v>0</v>
      </c>
      <c r="CA262" s="19">
        <v>0</v>
      </c>
      <c r="CB262" s="19">
        <v>0</v>
      </c>
      <c r="CC262" s="19">
        <v>0</v>
      </c>
      <c r="CD262" s="19">
        <v>0</v>
      </c>
      <c r="CE262" s="19">
        <v>0</v>
      </c>
      <c r="CF262" s="19">
        <v>0</v>
      </c>
      <c r="CG262" s="19">
        <v>0</v>
      </c>
      <c r="CH262" s="19">
        <v>0</v>
      </c>
      <c r="CI262" s="19">
        <v>0</v>
      </c>
      <c r="CJ262" s="19">
        <v>0</v>
      </c>
      <c r="CK262" s="19">
        <v>0</v>
      </c>
      <c r="CL262" s="19">
        <v>0</v>
      </c>
      <c r="CM262" s="19">
        <v>0</v>
      </c>
      <c r="CN262" s="19">
        <v>0</v>
      </c>
      <c r="CO262" s="19">
        <v>0</v>
      </c>
      <c r="CP262" s="19">
        <v>0</v>
      </c>
      <c r="CQ262" s="19">
        <v>0</v>
      </c>
      <c r="CR262" s="19">
        <v>0</v>
      </c>
      <c r="CS262" s="19">
        <v>0</v>
      </c>
      <c r="CT262" s="19">
        <v>0</v>
      </c>
      <c r="CU262" s="19">
        <v>0</v>
      </c>
      <c r="CV262" s="19">
        <v>0</v>
      </c>
      <c r="CW262" s="19">
        <v>0</v>
      </c>
      <c r="CX262" s="19">
        <v>0</v>
      </c>
      <c r="CY262" s="19">
        <v>0</v>
      </c>
      <c r="CZ262" s="19">
        <v>0</v>
      </c>
      <c r="DA262" s="19">
        <v>0</v>
      </c>
      <c r="DB262" s="19">
        <v>0</v>
      </c>
      <c r="DC262" s="19">
        <v>0</v>
      </c>
      <c r="DD262" s="19">
        <v>0</v>
      </c>
      <c r="DE262" s="19">
        <v>0</v>
      </c>
      <c r="DF262" s="19">
        <v>0</v>
      </c>
      <c r="DG262" s="19">
        <v>0</v>
      </c>
    </row>
    <row r="263" spans="2:111" x14ac:dyDescent="0.15">
      <c r="B263" s="19" t="str">
        <f t="shared" si="4"/>
        <v>3_女_11</v>
      </c>
      <c r="C263" s="18">
        <v>3</v>
      </c>
      <c r="D263" s="18" t="s">
        <v>2</v>
      </c>
      <c r="E263" s="18">
        <v>11</v>
      </c>
      <c r="F263" s="19">
        <v>5369.5</v>
      </c>
      <c r="G263" s="19">
        <v>12194.4</v>
      </c>
      <c r="H263" s="19">
        <v>20230.3</v>
      </c>
      <c r="I263" s="19">
        <v>21239.7</v>
      </c>
      <c r="J263" s="19">
        <v>21299.7</v>
      </c>
      <c r="K263" s="19">
        <v>21362.5</v>
      </c>
      <c r="L263" s="19">
        <v>21428.400000000001</v>
      </c>
      <c r="M263" s="19">
        <v>21497.5</v>
      </c>
      <c r="N263" s="19">
        <v>21569.9</v>
      </c>
      <c r="O263" s="19">
        <v>21645.9</v>
      </c>
      <c r="P263" s="19">
        <v>21725.5</v>
      </c>
      <c r="Q263" s="19">
        <v>21809</v>
      </c>
      <c r="R263" s="19">
        <v>21896.7</v>
      </c>
      <c r="S263" s="19">
        <v>21988.6</v>
      </c>
      <c r="T263" s="19">
        <v>22085</v>
      </c>
      <c r="U263" s="19">
        <v>22186.1</v>
      </c>
      <c r="V263" s="19">
        <v>22292.2</v>
      </c>
      <c r="W263" s="19">
        <v>22403.4</v>
      </c>
      <c r="X263" s="19">
        <v>22520.1</v>
      </c>
      <c r="Y263" s="19">
        <v>22642.5</v>
      </c>
      <c r="Z263" s="19">
        <v>22770.9</v>
      </c>
      <c r="AA263" s="19">
        <v>22905.5</v>
      </c>
      <c r="AB263" s="19">
        <v>23046.5</v>
      </c>
      <c r="AC263" s="19">
        <v>23194.400000000001</v>
      </c>
      <c r="AD263" s="19">
        <v>23349.3</v>
      </c>
      <c r="AE263" s="19">
        <v>23511.599999999999</v>
      </c>
      <c r="AF263" s="19">
        <v>23681.599999999999</v>
      </c>
      <c r="AG263" s="19">
        <v>23859.7</v>
      </c>
      <c r="AH263" s="19">
        <v>24046.1</v>
      </c>
      <c r="AI263" s="19">
        <v>24241.4</v>
      </c>
      <c r="AJ263" s="19">
        <v>24445.8</v>
      </c>
      <c r="AK263" s="19">
        <v>24659.9</v>
      </c>
      <c r="AL263" s="19">
        <v>24884.1</v>
      </c>
      <c r="AM263" s="19">
        <v>25118.799999999999</v>
      </c>
      <c r="AN263" s="19">
        <v>25364.6</v>
      </c>
      <c r="AO263" s="19">
        <v>25621.9</v>
      </c>
      <c r="AP263" s="19">
        <v>25891.5</v>
      </c>
      <c r="AQ263" s="19">
        <v>26173.7</v>
      </c>
      <c r="AR263" s="19">
        <v>26469.4</v>
      </c>
      <c r="AS263" s="19">
        <v>26779</v>
      </c>
      <c r="AT263" s="19">
        <v>27103.4</v>
      </c>
      <c r="AU263" s="19">
        <v>27443.200000000001</v>
      </c>
      <c r="AV263" s="19">
        <v>27799.3</v>
      </c>
      <c r="AW263" s="19">
        <v>28172.400000000001</v>
      </c>
      <c r="AX263" s="19">
        <v>28563.4</v>
      </c>
      <c r="AY263" s="19">
        <v>28973.3</v>
      </c>
      <c r="AZ263" s="19">
        <v>29403.200000000001</v>
      </c>
      <c r="BA263" s="19">
        <v>29854</v>
      </c>
      <c r="BB263" s="19">
        <v>29327.1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>
        <v>0</v>
      </c>
      <c r="BW263" s="19">
        <v>0</v>
      </c>
      <c r="BX263" s="19">
        <v>0</v>
      </c>
      <c r="BY263" s="19">
        <v>0</v>
      </c>
      <c r="BZ263" s="19">
        <v>0</v>
      </c>
      <c r="CA263" s="19">
        <v>0</v>
      </c>
      <c r="CB263" s="19">
        <v>0</v>
      </c>
      <c r="CC263" s="19">
        <v>0</v>
      </c>
      <c r="CD263" s="19">
        <v>0</v>
      </c>
      <c r="CE263" s="19">
        <v>0</v>
      </c>
      <c r="CF263" s="19">
        <v>0</v>
      </c>
      <c r="CG263" s="19">
        <v>0</v>
      </c>
      <c r="CH263" s="19">
        <v>0</v>
      </c>
      <c r="CI263" s="19">
        <v>0</v>
      </c>
      <c r="CJ263" s="19">
        <v>0</v>
      </c>
      <c r="CK263" s="19">
        <v>0</v>
      </c>
      <c r="CL263" s="19">
        <v>0</v>
      </c>
      <c r="CM263" s="19">
        <v>0</v>
      </c>
      <c r="CN263" s="19">
        <v>0</v>
      </c>
      <c r="CO263" s="19">
        <v>0</v>
      </c>
      <c r="CP263" s="19">
        <v>0</v>
      </c>
      <c r="CQ263" s="19">
        <v>0</v>
      </c>
      <c r="CR263" s="19">
        <v>0</v>
      </c>
      <c r="CS263" s="19">
        <v>0</v>
      </c>
      <c r="CT263" s="19">
        <v>0</v>
      </c>
      <c r="CU263" s="19">
        <v>0</v>
      </c>
      <c r="CV263" s="19">
        <v>0</v>
      </c>
      <c r="CW263" s="19">
        <v>0</v>
      </c>
      <c r="CX263" s="19">
        <v>0</v>
      </c>
      <c r="CY263" s="19">
        <v>0</v>
      </c>
      <c r="CZ263" s="19">
        <v>0</v>
      </c>
      <c r="DA263" s="19">
        <v>0</v>
      </c>
      <c r="DB263" s="19">
        <v>0</v>
      </c>
      <c r="DC263" s="19">
        <v>0</v>
      </c>
      <c r="DD263" s="19">
        <v>0</v>
      </c>
      <c r="DE263" s="19">
        <v>0</v>
      </c>
      <c r="DF263" s="19">
        <v>0</v>
      </c>
      <c r="DG263" s="19">
        <v>0</v>
      </c>
    </row>
    <row r="264" spans="2:111" x14ac:dyDescent="0.15">
      <c r="B264" s="19" t="str">
        <f t="shared" si="4"/>
        <v>3_女_12</v>
      </c>
      <c r="C264" s="18">
        <v>3</v>
      </c>
      <c r="D264" s="18" t="s">
        <v>2</v>
      </c>
      <c r="E264" s="18">
        <v>12</v>
      </c>
      <c r="F264" s="19">
        <v>5384.7</v>
      </c>
      <c r="G264" s="19">
        <v>12229.1</v>
      </c>
      <c r="H264" s="19">
        <v>20287.7</v>
      </c>
      <c r="I264" s="19">
        <v>21300</v>
      </c>
      <c r="J264" s="19">
        <v>21362.799999999999</v>
      </c>
      <c r="K264" s="19">
        <v>21428.7</v>
      </c>
      <c r="L264" s="19">
        <v>21497.8</v>
      </c>
      <c r="M264" s="19">
        <v>21570.2</v>
      </c>
      <c r="N264" s="19">
        <v>21646.2</v>
      </c>
      <c r="O264" s="19">
        <v>21725.9</v>
      </c>
      <c r="P264" s="19">
        <v>21809.4</v>
      </c>
      <c r="Q264" s="19">
        <v>21897</v>
      </c>
      <c r="R264" s="19">
        <v>21989</v>
      </c>
      <c r="S264" s="19">
        <v>22085.4</v>
      </c>
      <c r="T264" s="19">
        <v>22186.5</v>
      </c>
      <c r="U264" s="19">
        <v>22292.6</v>
      </c>
      <c r="V264" s="19">
        <v>22403.9</v>
      </c>
      <c r="W264" s="19">
        <v>22520.6</v>
      </c>
      <c r="X264" s="19">
        <v>22643</v>
      </c>
      <c r="Y264" s="19">
        <v>22771.4</v>
      </c>
      <c r="Z264" s="19">
        <v>22906</v>
      </c>
      <c r="AA264" s="19">
        <v>23047</v>
      </c>
      <c r="AB264" s="19">
        <v>23194.9</v>
      </c>
      <c r="AC264" s="19">
        <v>23349.8</v>
      </c>
      <c r="AD264" s="19">
        <v>23512.2</v>
      </c>
      <c r="AE264" s="19">
        <v>23682.2</v>
      </c>
      <c r="AF264" s="19">
        <v>23860.2</v>
      </c>
      <c r="AG264" s="19">
        <v>24046.7</v>
      </c>
      <c r="AH264" s="19">
        <v>24242</v>
      </c>
      <c r="AI264" s="19">
        <v>24446.5</v>
      </c>
      <c r="AJ264" s="19">
        <v>24660.5</v>
      </c>
      <c r="AK264" s="19">
        <v>24884.7</v>
      </c>
      <c r="AL264" s="19">
        <v>25119.4</v>
      </c>
      <c r="AM264" s="19">
        <v>25365.200000000001</v>
      </c>
      <c r="AN264" s="19">
        <v>25622.6</v>
      </c>
      <c r="AO264" s="19">
        <v>25892.1</v>
      </c>
      <c r="AP264" s="19">
        <v>26174.3</v>
      </c>
      <c r="AQ264" s="19">
        <v>26470</v>
      </c>
      <c r="AR264" s="19">
        <v>26779.599999999999</v>
      </c>
      <c r="AS264" s="19">
        <v>27103.9</v>
      </c>
      <c r="AT264" s="19">
        <v>27443.7</v>
      </c>
      <c r="AU264" s="19">
        <v>27799.7</v>
      </c>
      <c r="AV264" s="19">
        <v>28172.799999999999</v>
      </c>
      <c r="AW264" s="19">
        <v>28563.7</v>
      </c>
      <c r="AX264" s="19">
        <v>28973.599999999999</v>
      </c>
      <c r="AY264" s="19">
        <v>29403.4</v>
      </c>
      <c r="AZ264" s="19">
        <v>29854.1</v>
      </c>
      <c r="BA264" s="19">
        <v>29327.1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0</v>
      </c>
      <c r="BM264" s="19">
        <v>0</v>
      </c>
      <c r="BN264" s="19">
        <v>0</v>
      </c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>
        <v>0</v>
      </c>
      <c r="BW264" s="19">
        <v>0</v>
      </c>
      <c r="BX264" s="19">
        <v>0</v>
      </c>
      <c r="BY264" s="19">
        <v>0</v>
      </c>
      <c r="BZ264" s="19">
        <v>0</v>
      </c>
      <c r="CA264" s="19">
        <v>0</v>
      </c>
      <c r="CB264" s="19">
        <v>0</v>
      </c>
      <c r="CC264" s="19">
        <v>0</v>
      </c>
      <c r="CD264" s="19">
        <v>0</v>
      </c>
      <c r="CE264" s="19">
        <v>0</v>
      </c>
      <c r="CF264" s="19">
        <v>0</v>
      </c>
      <c r="CG264" s="19">
        <v>0</v>
      </c>
      <c r="CH264" s="19">
        <v>0</v>
      </c>
      <c r="CI264" s="19">
        <v>0</v>
      </c>
      <c r="CJ264" s="19">
        <v>0</v>
      </c>
      <c r="CK264" s="19">
        <v>0</v>
      </c>
      <c r="CL264" s="19">
        <v>0</v>
      </c>
      <c r="CM264" s="19">
        <v>0</v>
      </c>
      <c r="CN264" s="19">
        <v>0</v>
      </c>
      <c r="CO264" s="19">
        <v>0</v>
      </c>
      <c r="CP264" s="19">
        <v>0</v>
      </c>
      <c r="CQ264" s="19">
        <v>0</v>
      </c>
      <c r="CR264" s="19">
        <v>0</v>
      </c>
      <c r="CS264" s="19">
        <v>0</v>
      </c>
      <c r="CT264" s="19">
        <v>0</v>
      </c>
      <c r="CU264" s="19">
        <v>0</v>
      </c>
      <c r="CV264" s="19">
        <v>0</v>
      </c>
      <c r="CW264" s="19">
        <v>0</v>
      </c>
      <c r="CX264" s="19">
        <v>0</v>
      </c>
      <c r="CY264" s="19">
        <v>0</v>
      </c>
      <c r="CZ264" s="19">
        <v>0</v>
      </c>
      <c r="DA264" s="19">
        <v>0</v>
      </c>
      <c r="DB264" s="19">
        <v>0</v>
      </c>
      <c r="DC264" s="19">
        <v>0</v>
      </c>
      <c r="DD264" s="19">
        <v>0</v>
      </c>
      <c r="DE264" s="19">
        <v>0</v>
      </c>
      <c r="DF264" s="19">
        <v>0</v>
      </c>
      <c r="DG264" s="19">
        <v>0</v>
      </c>
    </row>
    <row r="265" spans="2:111" x14ac:dyDescent="0.15">
      <c r="B265" s="19" t="str">
        <f t="shared" si="4"/>
        <v>3_女_13</v>
      </c>
      <c r="C265" s="18">
        <v>3</v>
      </c>
      <c r="D265" s="18" t="s">
        <v>2</v>
      </c>
      <c r="E265" s="18">
        <v>13</v>
      </c>
      <c r="F265" s="19">
        <v>5400.8</v>
      </c>
      <c r="G265" s="19">
        <v>12265.5</v>
      </c>
      <c r="H265" s="19">
        <v>20348</v>
      </c>
      <c r="I265" s="19">
        <v>21363.1</v>
      </c>
      <c r="J265" s="19">
        <v>21429.1</v>
      </c>
      <c r="K265" s="19">
        <v>21498.2</v>
      </c>
      <c r="L265" s="19">
        <v>21570.6</v>
      </c>
      <c r="M265" s="19">
        <v>21646.6</v>
      </c>
      <c r="N265" s="19">
        <v>21726.3</v>
      </c>
      <c r="O265" s="19">
        <v>21809.8</v>
      </c>
      <c r="P265" s="19">
        <v>21897.4</v>
      </c>
      <c r="Q265" s="19">
        <v>21989.4</v>
      </c>
      <c r="R265" s="19">
        <v>22085.8</v>
      </c>
      <c r="S265" s="19">
        <v>22186.9</v>
      </c>
      <c r="T265" s="19">
        <v>22293</v>
      </c>
      <c r="U265" s="19">
        <v>22404.3</v>
      </c>
      <c r="V265" s="19">
        <v>22521.1</v>
      </c>
      <c r="W265" s="19">
        <v>22643.5</v>
      </c>
      <c r="X265" s="19">
        <v>22771.9</v>
      </c>
      <c r="Y265" s="19">
        <v>22906.5</v>
      </c>
      <c r="Z265" s="19">
        <v>23047.599999999999</v>
      </c>
      <c r="AA265" s="19">
        <v>23195.5</v>
      </c>
      <c r="AB265" s="19">
        <v>23350.400000000001</v>
      </c>
      <c r="AC265" s="19">
        <v>23512.7</v>
      </c>
      <c r="AD265" s="19">
        <v>23682.799999999999</v>
      </c>
      <c r="AE265" s="19">
        <v>23860.9</v>
      </c>
      <c r="AF265" s="19">
        <v>24047.3</v>
      </c>
      <c r="AG265" s="19">
        <v>24242.6</v>
      </c>
      <c r="AH265" s="19">
        <v>24447.1</v>
      </c>
      <c r="AI265" s="19">
        <v>24661.200000000001</v>
      </c>
      <c r="AJ265" s="19">
        <v>24885.4</v>
      </c>
      <c r="AK265" s="19">
        <v>25120.1</v>
      </c>
      <c r="AL265" s="19">
        <v>25365.8</v>
      </c>
      <c r="AM265" s="19">
        <v>25623.200000000001</v>
      </c>
      <c r="AN265" s="19">
        <v>25892.7</v>
      </c>
      <c r="AO265" s="19">
        <v>26175</v>
      </c>
      <c r="AP265" s="19">
        <v>26470.6</v>
      </c>
      <c r="AQ265" s="19">
        <v>26780.2</v>
      </c>
      <c r="AR265" s="19">
        <v>27104.5</v>
      </c>
      <c r="AS265" s="19">
        <v>27444.2</v>
      </c>
      <c r="AT265" s="19">
        <v>27800.2</v>
      </c>
      <c r="AU265" s="19">
        <v>28173.200000000001</v>
      </c>
      <c r="AV265" s="19">
        <v>28564.1</v>
      </c>
      <c r="AW265" s="19">
        <v>28973.9</v>
      </c>
      <c r="AX265" s="19">
        <v>29403.599999999999</v>
      </c>
      <c r="AY265" s="19">
        <v>29854.3</v>
      </c>
      <c r="AZ265" s="19">
        <v>29327.1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0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>
        <v>0</v>
      </c>
      <c r="BW265" s="19">
        <v>0</v>
      </c>
      <c r="BX265" s="19">
        <v>0</v>
      </c>
      <c r="BY265" s="19">
        <v>0</v>
      </c>
      <c r="BZ265" s="19">
        <v>0</v>
      </c>
      <c r="CA265" s="19">
        <v>0</v>
      </c>
      <c r="CB265" s="19">
        <v>0</v>
      </c>
      <c r="CC265" s="19">
        <v>0</v>
      </c>
      <c r="CD265" s="19">
        <v>0</v>
      </c>
      <c r="CE265" s="19">
        <v>0</v>
      </c>
      <c r="CF265" s="19">
        <v>0</v>
      </c>
      <c r="CG265" s="19">
        <v>0</v>
      </c>
      <c r="CH265" s="19">
        <v>0</v>
      </c>
      <c r="CI265" s="19">
        <v>0</v>
      </c>
      <c r="CJ265" s="19">
        <v>0</v>
      </c>
      <c r="CK265" s="19">
        <v>0</v>
      </c>
      <c r="CL265" s="19">
        <v>0</v>
      </c>
      <c r="CM265" s="19">
        <v>0</v>
      </c>
      <c r="CN265" s="19">
        <v>0</v>
      </c>
      <c r="CO265" s="19">
        <v>0</v>
      </c>
      <c r="CP265" s="19">
        <v>0</v>
      </c>
      <c r="CQ265" s="19">
        <v>0</v>
      </c>
      <c r="CR265" s="19">
        <v>0</v>
      </c>
      <c r="CS265" s="19">
        <v>0</v>
      </c>
      <c r="CT265" s="19">
        <v>0</v>
      </c>
      <c r="CU265" s="19">
        <v>0</v>
      </c>
      <c r="CV265" s="19">
        <v>0</v>
      </c>
      <c r="CW265" s="19">
        <v>0</v>
      </c>
      <c r="CX265" s="19">
        <v>0</v>
      </c>
      <c r="CY265" s="19">
        <v>0</v>
      </c>
      <c r="CZ265" s="19">
        <v>0</v>
      </c>
      <c r="DA265" s="19">
        <v>0</v>
      </c>
      <c r="DB265" s="19">
        <v>0</v>
      </c>
      <c r="DC265" s="19">
        <v>0</v>
      </c>
      <c r="DD265" s="19">
        <v>0</v>
      </c>
      <c r="DE265" s="19">
        <v>0</v>
      </c>
      <c r="DF265" s="19">
        <v>0</v>
      </c>
      <c r="DG265" s="19">
        <v>0</v>
      </c>
    </row>
    <row r="266" spans="2:111" x14ac:dyDescent="0.15">
      <c r="B266" s="19" t="str">
        <f t="shared" si="4"/>
        <v>3_女_14</v>
      </c>
      <c r="C266" s="18">
        <v>3</v>
      </c>
      <c r="D266" s="18" t="s">
        <v>2</v>
      </c>
      <c r="E266" s="18">
        <v>14</v>
      </c>
      <c r="F266" s="19">
        <v>5417.6</v>
      </c>
      <c r="G266" s="19">
        <v>12303.6</v>
      </c>
      <c r="H266" s="19">
        <v>20411.2</v>
      </c>
      <c r="I266" s="19">
        <v>21429.4</v>
      </c>
      <c r="J266" s="19">
        <v>21498.5</v>
      </c>
      <c r="K266" s="19">
        <v>21571</v>
      </c>
      <c r="L266" s="19">
        <v>21647</v>
      </c>
      <c r="M266" s="19">
        <v>21726.6</v>
      </c>
      <c r="N266" s="19">
        <v>21810.2</v>
      </c>
      <c r="O266" s="19">
        <v>21897.9</v>
      </c>
      <c r="P266" s="19">
        <v>21989.8</v>
      </c>
      <c r="Q266" s="19">
        <v>22086.2</v>
      </c>
      <c r="R266" s="19">
        <v>22187.4</v>
      </c>
      <c r="S266" s="19">
        <v>22293.5</v>
      </c>
      <c r="T266" s="19">
        <v>22404.799999999999</v>
      </c>
      <c r="U266" s="19">
        <v>22521.599999999999</v>
      </c>
      <c r="V266" s="19">
        <v>22644</v>
      </c>
      <c r="W266" s="19">
        <v>22772.400000000001</v>
      </c>
      <c r="X266" s="19">
        <v>22907</v>
      </c>
      <c r="Y266" s="19">
        <v>23048.1</v>
      </c>
      <c r="Z266" s="19">
        <v>23196</v>
      </c>
      <c r="AA266" s="19">
        <v>23351</v>
      </c>
      <c r="AB266" s="19">
        <v>23513.3</v>
      </c>
      <c r="AC266" s="19">
        <v>23683.4</v>
      </c>
      <c r="AD266" s="19">
        <v>23861.5</v>
      </c>
      <c r="AE266" s="19">
        <v>24048</v>
      </c>
      <c r="AF266" s="19">
        <v>24243.3</v>
      </c>
      <c r="AG266" s="19">
        <v>24447.8</v>
      </c>
      <c r="AH266" s="19">
        <v>24661.8</v>
      </c>
      <c r="AI266" s="19">
        <v>24886</v>
      </c>
      <c r="AJ266" s="19">
        <v>25120.7</v>
      </c>
      <c r="AK266" s="19">
        <v>25366.5</v>
      </c>
      <c r="AL266" s="19">
        <v>25623.9</v>
      </c>
      <c r="AM266" s="19">
        <v>25893.4</v>
      </c>
      <c r="AN266" s="19">
        <v>26175.599999999999</v>
      </c>
      <c r="AO266" s="19">
        <v>26471.200000000001</v>
      </c>
      <c r="AP266" s="19">
        <v>26780.799999999999</v>
      </c>
      <c r="AQ266" s="19">
        <v>27105.1</v>
      </c>
      <c r="AR266" s="19">
        <v>27444.799999999999</v>
      </c>
      <c r="AS266" s="19">
        <v>27800.7</v>
      </c>
      <c r="AT266" s="19">
        <v>28173.599999999999</v>
      </c>
      <c r="AU266" s="19">
        <v>28564.5</v>
      </c>
      <c r="AV266" s="19">
        <v>28974.2</v>
      </c>
      <c r="AW266" s="19">
        <v>29403.8</v>
      </c>
      <c r="AX266" s="19">
        <v>29854.400000000001</v>
      </c>
      <c r="AY266" s="19">
        <v>29327.1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0</v>
      </c>
      <c r="BM266" s="19">
        <v>0</v>
      </c>
      <c r="BN266" s="19">
        <v>0</v>
      </c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>
        <v>0</v>
      </c>
      <c r="BW266" s="19">
        <v>0</v>
      </c>
      <c r="BX266" s="19">
        <v>0</v>
      </c>
      <c r="BY266" s="19">
        <v>0</v>
      </c>
      <c r="BZ266" s="19">
        <v>0</v>
      </c>
      <c r="CA266" s="19">
        <v>0</v>
      </c>
      <c r="CB266" s="19">
        <v>0</v>
      </c>
      <c r="CC266" s="19">
        <v>0</v>
      </c>
      <c r="CD266" s="19">
        <v>0</v>
      </c>
      <c r="CE266" s="19">
        <v>0</v>
      </c>
      <c r="CF266" s="19">
        <v>0</v>
      </c>
      <c r="CG266" s="19">
        <v>0</v>
      </c>
      <c r="CH266" s="19">
        <v>0</v>
      </c>
      <c r="CI266" s="19">
        <v>0</v>
      </c>
      <c r="CJ266" s="19">
        <v>0</v>
      </c>
      <c r="CK266" s="19">
        <v>0</v>
      </c>
      <c r="CL266" s="19">
        <v>0</v>
      </c>
      <c r="CM266" s="19">
        <v>0</v>
      </c>
      <c r="CN266" s="19">
        <v>0</v>
      </c>
      <c r="CO266" s="19">
        <v>0</v>
      </c>
      <c r="CP266" s="19">
        <v>0</v>
      </c>
      <c r="CQ266" s="19">
        <v>0</v>
      </c>
      <c r="CR266" s="19">
        <v>0</v>
      </c>
      <c r="CS266" s="19">
        <v>0</v>
      </c>
      <c r="CT266" s="19">
        <v>0</v>
      </c>
      <c r="CU266" s="19">
        <v>0</v>
      </c>
      <c r="CV266" s="19">
        <v>0</v>
      </c>
      <c r="CW266" s="19">
        <v>0</v>
      </c>
      <c r="CX266" s="19">
        <v>0</v>
      </c>
      <c r="CY266" s="19">
        <v>0</v>
      </c>
      <c r="CZ266" s="19">
        <v>0</v>
      </c>
      <c r="DA266" s="19">
        <v>0</v>
      </c>
      <c r="DB266" s="19">
        <v>0</v>
      </c>
      <c r="DC266" s="19">
        <v>0</v>
      </c>
      <c r="DD266" s="19">
        <v>0</v>
      </c>
      <c r="DE266" s="19">
        <v>0</v>
      </c>
      <c r="DF266" s="19">
        <v>0</v>
      </c>
      <c r="DG266" s="19">
        <v>0</v>
      </c>
    </row>
    <row r="267" spans="2:111" x14ac:dyDescent="0.15">
      <c r="B267" s="19" t="str">
        <f t="shared" si="4"/>
        <v>3_女_15</v>
      </c>
      <c r="C267" s="18">
        <v>3</v>
      </c>
      <c r="D267" s="18" t="s">
        <v>2</v>
      </c>
      <c r="E267" s="18">
        <v>15</v>
      </c>
      <c r="F267" s="19">
        <v>5435.2</v>
      </c>
      <c r="G267" s="19">
        <v>12343.6</v>
      </c>
      <c r="H267" s="19">
        <v>20477.5</v>
      </c>
      <c r="I267" s="19">
        <v>21498.9</v>
      </c>
      <c r="J267" s="19">
        <v>21571.4</v>
      </c>
      <c r="K267" s="19">
        <v>21647.3</v>
      </c>
      <c r="L267" s="19">
        <v>21727.1</v>
      </c>
      <c r="M267" s="19">
        <v>21810.6</v>
      </c>
      <c r="N267" s="19">
        <v>21898.3</v>
      </c>
      <c r="O267" s="19">
        <v>21990.3</v>
      </c>
      <c r="P267" s="19">
        <v>22086.7</v>
      </c>
      <c r="Q267" s="19">
        <v>22187.9</v>
      </c>
      <c r="R267" s="19">
        <v>22294</v>
      </c>
      <c r="S267" s="19">
        <v>22405.3</v>
      </c>
      <c r="T267" s="19">
        <v>22522.1</v>
      </c>
      <c r="U267" s="19">
        <v>22644.6</v>
      </c>
      <c r="V267" s="19">
        <v>22773</v>
      </c>
      <c r="W267" s="19">
        <v>22907.599999999999</v>
      </c>
      <c r="X267" s="19">
        <v>23048.7</v>
      </c>
      <c r="Y267" s="19">
        <v>23196.6</v>
      </c>
      <c r="Z267" s="19">
        <v>23351.599999999999</v>
      </c>
      <c r="AA267" s="19">
        <v>23514</v>
      </c>
      <c r="AB267" s="19">
        <v>23684</v>
      </c>
      <c r="AC267" s="19">
        <v>23862.1</v>
      </c>
      <c r="AD267" s="19">
        <v>24048.6</v>
      </c>
      <c r="AE267" s="19">
        <v>24243.9</v>
      </c>
      <c r="AF267" s="19">
        <v>24448.400000000001</v>
      </c>
      <c r="AG267" s="19">
        <v>24662.5</v>
      </c>
      <c r="AH267" s="19">
        <v>24886.7</v>
      </c>
      <c r="AI267" s="19">
        <v>25121.4</v>
      </c>
      <c r="AJ267" s="19">
        <v>25367.200000000001</v>
      </c>
      <c r="AK267" s="19">
        <v>25624.5</v>
      </c>
      <c r="AL267" s="19">
        <v>25894</v>
      </c>
      <c r="AM267" s="19">
        <v>26176.3</v>
      </c>
      <c r="AN267" s="19">
        <v>26471.8</v>
      </c>
      <c r="AO267" s="19">
        <v>26781.4</v>
      </c>
      <c r="AP267" s="19">
        <v>27105.599999999999</v>
      </c>
      <c r="AQ267" s="19">
        <v>27445.3</v>
      </c>
      <c r="AR267" s="19">
        <v>27801.200000000001</v>
      </c>
      <c r="AS267" s="19">
        <v>28174.1</v>
      </c>
      <c r="AT267" s="19">
        <v>28564.9</v>
      </c>
      <c r="AU267" s="19">
        <v>28974.5</v>
      </c>
      <c r="AV267" s="19">
        <v>29404</v>
      </c>
      <c r="AW267" s="19">
        <v>29854.5</v>
      </c>
      <c r="AX267" s="19">
        <v>29327.1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>
        <v>0</v>
      </c>
      <c r="BW267" s="19">
        <v>0</v>
      </c>
      <c r="BX267" s="19">
        <v>0</v>
      </c>
      <c r="BY267" s="19">
        <v>0</v>
      </c>
      <c r="BZ267" s="19">
        <v>0</v>
      </c>
      <c r="CA267" s="19">
        <v>0</v>
      </c>
      <c r="CB267" s="19">
        <v>0</v>
      </c>
      <c r="CC267" s="19">
        <v>0</v>
      </c>
      <c r="CD267" s="19">
        <v>0</v>
      </c>
      <c r="CE267" s="19">
        <v>0</v>
      </c>
      <c r="CF267" s="19">
        <v>0</v>
      </c>
      <c r="CG267" s="19">
        <v>0</v>
      </c>
      <c r="CH267" s="19">
        <v>0</v>
      </c>
      <c r="CI267" s="19">
        <v>0</v>
      </c>
      <c r="CJ267" s="19">
        <v>0</v>
      </c>
      <c r="CK267" s="19">
        <v>0</v>
      </c>
      <c r="CL267" s="19">
        <v>0</v>
      </c>
      <c r="CM267" s="19">
        <v>0</v>
      </c>
      <c r="CN267" s="19">
        <v>0</v>
      </c>
      <c r="CO267" s="19">
        <v>0</v>
      </c>
      <c r="CP267" s="19">
        <v>0</v>
      </c>
      <c r="CQ267" s="19">
        <v>0</v>
      </c>
      <c r="CR267" s="19">
        <v>0</v>
      </c>
      <c r="CS267" s="19">
        <v>0</v>
      </c>
      <c r="CT267" s="19">
        <v>0</v>
      </c>
      <c r="CU267" s="19">
        <v>0</v>
      </c>
      <c r="CV267" s="19">
        <v>0</v>
      </c>
      <c r="CW267" s="19">
        <v>0</v>
      </c>
      <c r="CX267" s="19">
        <v>0</v>
      </c>
      <c r="CY267" s="19">
        <v>0</v>
      </c>
      <c r="CZ267" s="19">
        <v>0</v>
      </c>
      <c r="DA267" s="19">
        <v>0</v>
      </c>
      <c r="DB267" s="19">
        <v>0</v>
      </c>
      <c r="DC267" s="19">
        <v>0</v>
      </c>
      <c r="DD267" s="19">
        <v>0</v>
      </c>
      <c r="DE267" s="19">
        <v>0</v>
      </c>
      <c r="DF267" s="19">
        <v>0</v>
      </c>
      <c r="DG267" s="19">
        <v>0</v>
      </c>
    </row>
    <row r="268" spans="2:111" x14ac:dyDescent="0.15">
      <c r="B268" s="19" t="str">
        <f t="shared" si="4"/>
        <v>3_女_16</v>
      </c>
      <c r="C268" s="18">
        <v>3</v>
      </c>
      <c r="D268" s="18" t="s">
        <v>2</v>
      </c>
      <c r="E268" s="18">
        <v>16</v>
      </c>
      <c r="F268" s="19">
        <v>5453.7</v>
      </c>
      <c r="G268" s="19">
        <v>12385.5</v>
      </c>
      <c r="H268" s="19">
        <v>20547</v>
      </c>
      <c r="I268" s="19">
        <v>21571.7</v>
      </c>
      <c r="J268" s="19">
        <v>21647.8</v>
      </c>
      <c r="K268" s="19">
        <v>21727.5</v>
      </c>
      <c r="L268" s="19">
        <v>21811.1</v>
      </c>
      <c r="M268" s="19">
        <v>21898.7</v>
      </c>
      <c r="N268" s="19">
        <v>21990.7</v>
      </c>
      <c r="O268" s="19">
        <v>22087.200000000001</v>
      </c>
      <c r="P268" s="19">
        <v>22188.400000000001</v>
      </c>
      <c r="Q268" s="19">
        <v>22294.5</v>
      </c>
      <c r="R268" s="19">
        <v>22405.8</v>
      </c>
      <c r="S268" s="19">
        <v>22522.6</v>
      </c>
      <c r="T268" s="19">
        <v>22645.1</v>
      </c>
      <c r="U268" s="19">
        <v>22773.5</v>
      </c>
      <c r="V268" s="19">
        <v>22908.2</v>
      </c>
      <c r="W268" s="19">
        <v>23049.3</v>
      </c>
      <c r="X268" s="19">
        <v>23197.200000000001</v>
      </c>
      <c r="Y268" s="19">
        <v>23352.2</v>
      </c>
      <c r="Z268" s="19">
        <v>23514.6</v>
      </c>
      <c r="AA268" s="19">
        <v>23684.7</v>
      </c>
      <c r="AB268" s="19">
        <v>23862.799999999999</v>
      </c>
      <c r="AC268" s="19">
        <v>24049.3</v>
      </c>
      <c r="AD268" s="19">
        <v>24244.6</v>
      </c>
      <c r="AE268" s="19">
        <v>24449.1</v>
      </c>
      <c r="AF268" s="19">
        <v>24663.200000000001</v>
      </c>
      <c r="AG268" s="19">
        <v>24887.4</v>
      </c>
      <c r="AH268" s="19">
        <v>25122.1</v>
      </c>
      <c r="AI268" s="19">
        <v>25367.9</v>
      </c>
      <c r="AJ268" s="19">
        <v>25625.200000000001</v>
      </c>
      <c r="AK268" s="19">
        <v>25894.7</v>
      </c>
      <c r="AL268" s="19">
        <v>26176.9</v>
      </c>
      <c r="AM268" s="19">
        <v>26472.5</v>
      </c>
      <c r="AN268" s="19">
        <v>26782</v>
      </c>
      <c r="AO268" s="19">
        <v>27106.2</v>
      </c>
      <c r="AP268" s="19">
        <v>27445.9</v>
      </c>
      <c r="AQ268" s="19">
        <v>27801.7</v>
      </c>
      <c r="AR268" s="19">
        <v>28174.5</v>
      </c>
      <c r="AS268" s="19">
        <v>28565.200000000001</v>
      </c>
      <c r="AT268" s="19">
        <v>28974.799999999999</v>
      </c>
      <c r="AU268" s="19">
        <v>29404.2</v>
      </c>
      <c r="AV268" s="19">
        <v>29854.6</v>
      </c>
      <c r="AW268" s="19">
        <v>29327.1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0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>
        <v>0</v>
      </c>
      <c r="BW268" s="19">
        <v>0</v>
      </c>
      <c r="BX268" s="19">
        <v>0</v>
      </c>
      <c r="BY268" s="19">
        <v>0</v>
      </c>
      <c r="BZ268" s="19">
        <v>0</v>
      </c>
      <c r="CA268" s="19">
        <v>0</v>
      </c>
      <c r="CB268" s="19">
        <v>0</v>
      </c>
      <c r="CC268" s="19">
        <v>0</v>
      </c>
      <c r="CD268" s="19">
        <v>0</v>
      </c>
      <c r="CE268" s="19">
        <v>0</v>
      </c>
      <c r="CF268" s="19">
        <v>0</v>
      </c>
      <c r="CG268" s="19">
        <v>0</v>
      </c>
      <c r="CH268" s="19">
        <v>0</v>
      </c>
      <c r="CI268" s="19">
        <v>0</v>
      </c>
      <c r="CJ268" s="19">
        <v>0</v>
      </c>
      <c r="CK268" s="19">
        <v>0</v>
      </c>
      <c r="CL268" s="19">
        <v>0</v>
      </c>
      <c r="CM268" s="19">
        <v>0</v>
      </c>
      <c r="CN268" s="19">
        <v>0</v>
      </c>
      <c r="CO268" s="19">
        <v>0</v>
      </c>
      <c r="CP268" s="19">
        <v>0</v>
      </c>
      <c r="CQ268" s="19">
        <v>0</v>
      </c>
      <c r="CR268" s="19">
        <v>0</v>
      </c>
      <c r="CS268" s="19">
        <v>0</v>
      </c>
      <c r="CT268" s="19">
        <v>0</v>
      </c>
      <c r="CU268" s="19">
        <v>0</v>
      </c>
      <c r="CV268" s="19">
        <v>0</v>
      </c>
      <c r="CW268" s="19">
        <v>0</v>
      </c>
      <c r="CX268" s="19">
        <v>0</v>
      </c>
      <c r="CY268" s="19">
        <v>0</v>
      </c>
      <c r="CZ268" s="19">
        <v>0</v>
      </c>
      <c r="DA268" s="19">
        <v>0</v>
      </c>
      <c r="DB268" s="19">
        <v>0</v>
      </c>
      <c r="DC268" s="19">
        <v>0</v>
      </c>
      <c r="DD268" s="19">
        <v>0</v>
      </c>
      <c r="DE268" s="19">
        <v>0</v>
      </c>
      <c r="DF268" s="19">
        <v>0</v>
      </c>
      <c r="DG268" s="19">
        <v>0</v>
      </c>
    </row>
    <row r="269" spans="2:111" x14ac:dyDescent="0.15">
      <c r="B269" s="19" t="str">
        <f t="shared" si="4"/>
        <v>3_女_17</v>
      </c>
      <c r="C269" s="18">
        <v>3</v>
      </c>
      <c r="D269" s="18" t="s">
        <v>2</v>
      </c>
      <c r="E269" s="18">
        <v>17</v>
      </c>
      <c r="F269" s="19">
        <v>5473</v>
      </c>
      <c r="G269" s="19">
        <v>12429.5</v>
      </c>
      <c r="H269" s="19">
        <v>20619.900000000001</v>
      </c>
      <c r="I269" s="19">
        <v>21648.2</v>
      </c>
      <c r="J269" s="19">
        <v>21727.9</v>
      </c>
      <c r="K269" s="19">
        <v>21811.5</v>
      </c>
      <c r="L269" s="19">
        <v>21899.200000000001</v>
      </c>
      <c r="M269" s="19">
        <v>21991.200000000001</v>
      </c>
      <c r="N269" s="19">
        <v>22087.7</v>
      </c>
      <c r="O269" s="19">
        <v>22188.9</v>
      </c>
      <c r="P269" s="19">
        <v>22295</v>
      </c>
      <c r="Q269" s="19">
        <v>22406.400000000001</v>
      </c>
      <c r="R269" s="19">
        <v>22523.200000000001</v>
      </c>
      <c r="S269" s="19">
        <v>22645.7</v>
      </c>
      <c r="T269" s="19">
        <v>22774.1</v>
      </c>
      <c r="U269" s="19">
        <v>22908.799999999999</v>
      </c>
      <c r="V269" s="19">
        <v>23049.9</v>
      </c>
      <c r="W269" s="19">
        <v>23197.9</v>
      </c>
      <c r="X269" s="19">
        <v>23352.9</v>
      </c>
      <c r="Y269" s="19">
        <v>23515.200000000001</v>
      </c>
      <c r="Z269" s="19">
        <v>23685.3</v>
      </c>
      <c r="AA269" s="19">
        <v>23863.5</v>
      </c>
      <c r="AB269" s="19">
        <v>24050</v>
      </c>
      <c r="AC269" s="19">
        <v>24245.3</v>
      </c>
      <c r="AD269" s="19">
        <v>24449.8</v>
      </c>
      <c r="AE269" s="19">
        <v>24664</v>
      </c>
      <c r="AF269" s="19">
        <v>24888.1</v>
      </c>
      <c r="AG269" s="19">
        <v>25122.9</v>
      </c>
      <c r="AH269" s="19">
        <v>25368.6</v>
      </c>
      <c r="AI269" s="19">
        <v>25626</v>
      </c>
      <c r="AJ269" s="19">
        <v>25895.4</v>
      </c>
      <c r="AK269" s="19">
        <v>26177.599999999999</v>
      </c>
      <c r="AL269" s="19">
        <v>26473.1</v>
      </c>
      <c r="AM269" s="19">
        <v>26782.7</v>
      </c>
      <c r="AN269" s="19">
        <v>27106.9</v>
      </c>
      <c r="AO269" s="19">
        <v>27446.400000000001</v>
      </c>
      <c r="AP269" s="19">
        <v>27802.2</v>
      </c>
      <c r="AQ269" s="19">
        <v>28175</v>
      </c>
      <c r="AR269" s="19">
        <v>28565.7</v>
      </c>
      <c r="AS269" s="19">
        <v>28975.1</v>
      </c>
      <c r="AT269" s="19">
        <v>29404.5</v>
      </c>
      <c r="AU269" s="19">
        <v>29854.7</v>
      </c>
      <c r="AV269" s="19">
        <v>29327.1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0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>
        <v>0</v>
      </c>
      <c r="BW269" s="19">
        <v>0</v>
      </c>
      <c r="BX269" s="19">
        <v>0</v>
      </c>
      <c r="BY269" s="19">
        <v>0</v>
      </c>
      <c r="BZ269" s="19">
        <v>0</v>
      </c>
      <c r="CA269" s="19">
        <v>0</v>
      </c>
      <c r="CB269" s="19">
        <v>0</v>
      </c>
      <c r="CC269" s="19">
        <v>0</v>
      </c>
      <c r="CD269" s="19">
        <v>0</v>
      </c>
      <c r="CE269" s="19">
        <v>0</v>
      </c>
      <c r="CF269" s="19">
        <v>0</v>
      </c>
      <c r="CG269" s="19">
        <v>0</v>
      </c>
      <c r="CH269" s="19">
        <v>0</v>
      </c>
      <c r="CI269" s="19">
        <v>0</v>
      </c>
      <c r="CJ269" s="19">
        <v>0</v>
      </c>
      <c r="CK269" s="19">
        <v>0</v>
      </c>
      <c r="CL269" s="19">
        <v>0</v>
      </c>
      <c r="CM269" s="19">
        <v>0</v>
      </c>
      <c r="CN269" s="19">
        <v>0</v>
      </c>
      <c r="CO269" s="19">
        <v>0</v>
      </c>
      <c r="CP269" s="19">
        <v>0</v>
      </c>
      <c r="CQ269" s="19">
        <v>0</v>
      </c>
      <c r="CR269" s="19">
        <v>0</v>
      </c>
      <c r="CS269" s="19">
        <v>0</v>
      </c>
      <c r="CT269" s="19">
        <v>0</v>
      </c>
      <c r="CU269" s="19">
        <v>0</v>
      </c>
      <c r="CV269" s="19">
        <v>0</v>
      </c>
      <c r="CW269" s="19">
        <v>0</v>
      </c>
      <c r="CX269" s="19">
        <v>0</v>
      </c>
      <c r="CY269" s="19">
        <v>0</v>
      </c>
      <c r="CZ269" s="19">
        <v>0</v>
      </c>
      <c r="DA269" s="19">
        <v>0</v>
      </c>
      <c r="DB269" s="19">
        <v>0</v>
      </c>
      <c r="DC269" s="19">
        <v>0</v>
      </c>
      <c r="DD269" s="19">
        <v>0</v>
      </c>
      <c r="DE269" s="19">
        <v>0</v>
      </c>
      <c r="DF269" s="19">
        <v>0</v>
      </c>
      <c r="DG269" s="19">
        <v>0</v>
      </c>
    </row>
    <row r="270" spans="2:111" x14ac:dyDescent="0.15">
      <c r="B270" s="19" t="str">
        <f t="shared" si="4"/>
        <v>3_女_18</v>
      </c>
      <c r="C270" s="18">
        <v>3</v>
      </c>
      <c r="D270" s="18" t="s">
        <v>2</v>
      </c>
      <c r="E270" s="18">
        <v>18</v>
      </c>
      <c r="F270" s="19">
        <v>5493.4</v>
      </c>
      <c r="G270" s="19">
        <v>12475.6</v>
      </c>
      <c r="H270" s="19">
        <v>20696.400000000001</v>
      </c>
      <c r="I270" s="19">
        <v>21728.3</v>
      </c>
      <c r="J270" s="19">
        <v>21812</v>
      </c>
      <c r="K270" s="19">
        <v>21899.7</v>
      </c>
      <c r="L270" s="19">
        <v>21991.7</v>
      </c>
      <c r="M270" s="19">
        <v>22088.2</v>
      </c>
      <c r="N270" s="19">
        <v>22189.4</v>
      </c>
      <c r="O270" s="19">
        <v>22295.5</v>
      </c>
      <c r="P270" s="19">
        <v>22406.9</v>
      </c>
      <c r="Q270" s="19">
        <v>22523.7</v>
      </c>
      <c r="R270" s="19">
        <v>22646.2</v>
      </c>
      <c r="S270" s="19">
        <v>22774.7</v>
      </c>
      <c r="T270" s="19">
        <v>22909.4</v>
      </c>
      <c r="U270" s="19">
        <v>23050.6</v>
      </c>
      <c r="V270" s="19">
        <v>23198.5</v>
      </c>
      <c r="W270" s="19">
        <v>23353.5</v>
      </c>
      <c r="X270" s="19">
        <v>23515.9</v>
      </c>
      <c r="Y270" s="19">
        <v>23686</v>
      </c>
      <c r="Z270" s="19">
        <v>23864.2</v>
      </c>
      <c r="AA270" s="19">
        <v>24050.7</v>
      </c>
      <c r="AB270" s="19">
        <v>24246.1</v>
      </c>
      <c r="AC270" s="19">
        <v>24450.6</v>
      </c>
      <c r="AD270" s="19">
        <v>24664.7</v>
      </c>
      <c r="AE270" s="19">
        <v>24888.9</v>
      </c>
      <c r="AF270" s="19">
        <v>25123.599999999999</v>
      </c>
      <c r="AG270" s="19">
        <v>25369.4</v>
      </c>
      <c r="AH270" s="19">
        <v>25626.7</v>
      </c>
      <c r="AI270" s="19">
        <v>25896.2</v>
      </c>
      <c r="AJ270" s="19">
        <v>26178.3</v>
      </c>
      <c r="AK270" s="19">
        <v>26473.8</v>
      </c>
      <c r="AL270" s="19">
        <v>26783.3</v>
      </c>
      <c r="AM270" s="19">
        <v>27107.5</v>
      </c>
      <c r="AN270" s="19">
        <v>27447</v>
      </c>
      <c r="AO270" s="19">
        <v>27802.799999999999</v>
      </c>
      <c r="AP270" s="19">
        <v>28175.5</v>
      </c>
      <c r="AQ270" s="19">
        <v>28566.1</v>
      </c>
      <c r="AR270" s="19">
        <v>28975.5</v>
      </c>
      <c r="AS270" s="19">
        <v>29404.7</v>
      </c>
      <c r="AT270" s="19">
        <v>29854.9</v>
      </c>
      <c r="AU270" s="19">
        <v>29327.1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0</v>
      </c>
      <c r="BN270" s="19">
        <v>0</v>
      </c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>
        <v>0</v>
      </c>
      <c r="BW270" s="19">
        <v>0</v>
      </c>
      <c r="BX270" s="19">
        <v>0</v>
      </c>
      <c r="BY270" s="19">
        <v>0</v>
      </c>
      <c r="BZ270" s="19">
        <v>0</v>
      </c>
      <c r="CA270" s="19">
        <v>0</v>
      </c>
      <c r="CB270" s="19">
        <v>0</v>
      </c>
      <c r="CC270" s="19">
        <v>0</v>
      </c>
      <c r="CD270" s="19">
        <v>0</v>
      </c>
      <c r="CE270" s="19">
        <v>0</v>
      </c>
      <c r="CF270" s="19">
        <v>0</v>
      </c>
      <c r="CG270" s="19">
        <v>0</v>
      </c>
      <c r="CH270" s="19">
        <v>0</v>
      </c>
      <c r="CI270" s="19">
        <v>0</v>
      </c>
      <c r="CJ270" s="19">
        <v>0</v>
      </c>
      <c r="CK270" s="19">
        <v>0</v>
      </c>
      <c r="CL270" s="19">
        <v>0</v>
      </c>
      <c r="CM270" s="19">
        <v>0</v>
      </c>
      <c r="CN270" s="19">
        <v>0</v>
      </c>
      <c r="CO270" s="19">
        <v>0</v>
      </c>
      <c r="CP270" s="19">
        <v>0</v>
      </c>
      <c r="CQ270" s="19">
        <v>0</v>
      </c>
      <c r="CR270" s="19">
        <v>0</v>
      </c>
      <c r="CS270" s="19">
        <v>0</v>
      </c>
      <c r="CT270" s="19">
        <v>0</v>
      </c>
      <c r="CU270" s="19">
        <v>0</v>
      </c>
      <c r="CV270" s="19">
        <v>0</v>
      </c>
      <c r="CW270" s="19">
        <v>0</v>
      </c>
      <c r="CX270" s="19">
        <v>0</v>
      </c>
      <c r="CY270" s="19">
        <v>0</v>
      </c>
      <c r="CZ270" s="19">
        <v>0</v>
      </c>
      <c r="DA270" s="19">
        <v>0</v>
      </c>
      <c r="DB270" s="19">
        <v>0</v>
      </c>
      <c r="DC270" s="19">
        <v>0</v>
      </c>
      <c r="DD270" s="19">
        <v>0</v>
      </c>
      <c r="DE270" s="19">
        <v>0</v>
      </c>
      <c r="DF270" s="19">
        <v>0</v>
      </c>
      <c r="DG270" s="19">
        <v>0</v>
      </c>
    </row>
    <row r="271" spans="2:111" x14ac:dyDescent="0.15">
      <c r="B271" s="19" t="str">
        <f t="shared" si="4"/>
        <v>3_女_19</v>
      </c>
      <c r="C271" s="18">
        <v>3</v>
      </c>
      <c r="D271" s="18" t="s">
        <v>2</v>
      </c>
      <c r="E271" s="18">
        <v>19</v>
      </c>
      <c r="F271" s="19">
        <v>5514.7</v>
      </c>
      <c r="G271" s="19">
        <v>12523.9</v>
      </c>
      <c r="H271" s="19">
        <v>20776.599999999999</v>
      </c>
      <c r="I271" s="19">
        <v>21812.400000000001</v>
      </c>
      <c r="J271" s="19">
        <v>21900.1</v>
      </c>
      <c r="K271" s="19">
        <v>21992.2</v>
      </c>
      <c r="L271" s="19">
        <v>22088.7</v>
      </c>
      <c r="M271" s="19">
        <v>22189.9</v>
      </c>
      <c r="N271" s="19">
        <v>22296.1</v>
      </c>
      <c r="O271" s="19">
        <v>22407.5</v>
      </c>
      <c r="P271" s="19">
        <v>22524.3</v>
      </c>
      <c r="Q271" s="19">
        <v>22646.799999999999</v>
      </c>
      <c r="R271" s="19">
        <v>22775.3</v>
      </c>
      <c r="S271" s="19">
        <v>22910</v>
      </c>
      <c r="T271" s="19">
        <v>23051.200000000001</v>
      </c>
      <c r="U271" s="19">
        <v>23199.200000000001</v>
      </c>
      <c r="V271" s="19">
        <v>23354.2</v>
      </c>
      <c r="W271" s="19">
        <v>23516.6</v>
      </c>
      <c r="X271" s="19">
        <v>23686.7</v>
      </c>
      <c r="Y271" s="19">
        <v>23864.9</v>
      </c>
      <c r="Z271" s="19">
        <v>24051.5</v>
      </c>
      <c r="AA271" s="19">
        <v>24246.799999999999</v>
      </c>
      <c r="AB271" s="19">
        <v>24451.3</v>
      </c>
      <c r="AC271" s="19">
        <v>24665.5</v>
      </c>
      <c r="AD271" s="19">
        <v>24889.7</v>
      </c>
      <c r="AE271" s="19">
        <v>25124.400000000001</v>
      </c>
      <c r="AF271" s="19">
        <v>25370.1</v>
      </c>
      <c r="AG271" s="19">
        <v>25627.5</v>
      </c>
      <c r="AH271" s="19">
        <v>25896.9</v>
      </c>
      <c r="AI271" s="19">
        <v>26179.1</v>
      </c>
      <c r="AJ271" s="19">
        <v>26474.6</v>
      </c>
      <c r="AK271" s="19">
        <v>26784</v>
      </c>
      <c r="AL271" s="19">
        <v>27108.1</v>
      </c>
      <c r="AM271" s="19">
        <v>27447.7</v>
      </c>
      <c r="AN271" s="19">
        <v>27803.3</v>
      </c>
      <c r="AO271" s="19">
        <v>28176</v>
      </c>
      <c r="AP271" s="19">
        <v>28566.5</v>
      </c>
      <c r="AQ271" s="19">
        <v>28975.8</v>
      </c>
      <c r="AR271" s="19">
        <v>29404.9</v>
      </c>
      <c r="AS271" s="19">
        <v>29855</v>
      </c>
      <c r="AT271" s="19">
        <v>29327.1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0</v>
      </c>
      <c r="BN271" s="19">
        <v>0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>
        <v>0</v>
      </c>
      <c r="BW271" s="19">
        <v>0</v>
      </c>
      <c r="BX271" s="19">
        <v>0</v>
      </c>
      <c r="BY271" s="19">
        <v>0</v>
      </c>
      <c r="BZ271" s="19">
        <v>0</v>
      </c>
      <c r="CA271" s="19">
        <v>0</v>
      </c>
      <c r="CB271" s="19">
        <v>0</v>
      </c>
      <c r="CC271" s="19">
        <v>0</v>
      </c>
      <c r="CD271" s="19">
        <v>0</v>
      </c>
      <c r="CE271" s="19">
        <v>0</v>
      </c>
      <c r="CF271" s="19">
        <v>0</v>
      </c>
      <c r="CG271" s="19">
        <v>0</v>
      </c>
      <c r="CH271" s="19">
        <v>0</v>
      </c>
      <c r="CI271" s="19">
        <v>0</v>
      </c>
      <c r="CJ271" s="19">
        <v>0</v>
      </c>
      <c r="CK271" s="19">
        <v>0</v>
      </c>
      <c r="CL271" s="19">
        <v>0</v>
      </c>
      <c r="CM271" s="19">
        <v>0</v>
      </c>
      <c r="CN271" s="19">
        <v>0</v>
      </c>
      <c r="CO271" s="19">
        <v>0</v>
      </c>
      <c r="CP271" s="19">
        <v>0</v>
      </c>
      <c r="CQ271" s="19">
        <v>0</v>
      </c>
      <c r="CR271" s="19">
        <v>0</v>
      </c>
      <c r="CS271" s="19">
        <v>0</v>
      </c>
      <c r="CT271" s="19">
        <v>0</v>
      </c>
      <c r="CU271" s="19">
        <v>0</v>
      </c>
      <c r="CV271" s="19">
        <v>0</v>
      </c>
      <c r="CW271" s="19">
        <v>0</v>
      </c>
      <c r="CX271" s="19">
        <v>0</v>
      </c>
      <c r="CY271" s="19">
        <v>0</v>
      </c>
      <c r="CZ271" s="19">
        <v>0</v>
      </c>
      <c r="DA271" s="19">
        <v>0</v>
      </c>
      <c r="DB271" s="19">
        <v>0</v>
      </c>
      <c r="DC271" s="19">
        <v>0</v>
      </c>
      <c r="DD271" s="19">
        <v>0</v>
      </c>
      <c r="DE271" s="19">
        <v>0</v>
      </c>
      <c r="DF271" s="19">
        <v>0</v>
      </c>
      <c r="DG271" s="19">
        <v>0</v>
      </c>
    </row>
    <row r="272" spans="2:111" x14ac:dyDescent="0.15">
      <c r="B272" s="19" t="str">
        <f t="shared" si="4"/>
        <v>3_女_20</v>
      </c>
      <c r="C272" s="18">
        <v>3</v>
      </c>
      <c r="D272" s="18" t="s">
        <v>2</v>
      </c>
      <c r="E272" s="18">
        <v>20</v>
      </c>
      <c r="F272" s="19">
        <v>5537</v>
      </c>
      <c r="G272" s="19">
        <v>12574.7</v>
      </c>
      <c r="H272" s="19">
        <v>20860.7</v>
      </c>
      <c r="I272" s="19">
        <v>21900.6</v>
      </c>
      <c r="J272" s="19">
        <v>21992.7</v>
      </c>
      <c r="K272" s="19">
        <v>22089.200000000001</v>
      </c>
      <c r="L272" s="19">
        <v>22190.400000000001</v>
      </c>
      <c r="M272" s="19">
        <v>22296.6</v>
      </c>
      <c r="N272" s="19">
        <v>22408.1</v>
      </c>
      <c r="O272" s="19">
        <v>22524.9</v>
      </c>
      <c r="P272" s="19">
        <v>22647.5</v>
      </c>
      <c r="Q272" s="19">
        <v>22775.9</v>
      </c>
      <c r="R272" s="19">
        <v>22910.7</v>
      </c>
      <c r="S272" s="19">
        <v>23051.9</v>
      </c>
      <c r="T272" s="19">
        <v>23199.9</v>
      </c>
      <c r="U272" s="19">
        <v>23354.9</v>
      </c>
      <c r="V272" s="19">
        <v>23517.3</v>
      </c>
      <c r="W272" s="19">
        <v>23687.5</v>
      </c>
      <c r="X272" s="19">
        <v>23865.7</v>
      </c>
      <c r="Y272" s="19">
        <v>24052.2</v>
      </c>
      <c r="Z272" s="19">
        <v>24247.599999999999</v>
      </c>
      <c r="AA272" s="19">
        <v>24452.1</v>
      </c>
      <c r="AB272" s="19">
        <v>24666.3</v>
      </c>
      <c r="AC272" s="19">
        <v>24890.5</v>
      </c>
      <c r="AD272" s="19">
        <v>25125.200000000001</v>
      </c>
      <c r="AE272" s="19">
        <v>25370.9</v>
      </c>
      <c r="AF272" s="19">
        <v>25628.2</v>
      </c>
      <c r="AG272" s="19">
        <v>25897.7</v>
      </c>
      <c r="AH272" s="19">
        <v>26179.8</v>
      </c>
      <c r="AI272" s="19">
        <v>26475.3</v>
      </c>
      <c r="AJ272" s="19">
        <v>26784.7</v>
      </c>
      <c r="AK272" s="19">
        <v>27108.799999999999</v>
      </c>
      <c r="AL272" s="19">
        <v>27448.3</v>
      </c>
      <c r="AM272" s="19">
        <v>27803.9</v>
      </c>
      <c r="AN272" s="19">
        <v>28176.5</v>
      </c>
      <c r="AO272" s="19">
        <v>28566.9</v>
      </c>
      <c r="AP272" s="19">
        <v>28976.2</v>
      </c>
      <c r="AQ272" s="19">
        <v>29405.200000000001</v>
      </c>
      <c r="AR272" s="19">
        <v>29855.1</v>
      </c>
      <c r="AS272" s="19">
        <v>29327.1</v>
      </c>
      <c r="AT272" s="19">
        <v>0</v>
      </c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>
        <v>0</v>
      </c>
      <c r="BW272" s="19">
        <v>0</v>
      </c>
      <c r="BX272" s="19">
        <v>0</v>
      </c>
      <c r="BY272" s="19">
        <v>0</v>
      </c>
      <c r="BZ272" s="19">
        <v>0</v>
      </c>
      <c r="CA272" s="19">
        <v>0</v>
      </c>
      <c r="CB272" s="19">
        <v>0</v>
      </c>
      <c r="CC272" s="19">
        <v>0</v>
      </c>
      <c r="CD272" s="19">
        <v>0</v>
      </c>
      <c r="CE272" s="19">
        <v>0</v>
      </c>
      <c r="CF272" s="19">
        <v>0</v>
      </c>
      <c r="CG272" s="19">
        <v>0</v>
      </c>
      <c r="CH272" s="19">
        <v>0</v>
      </c>
      <c r="CI272" s="19">
        <v>0</v>
      </c>
      <c r="CJ272" s="19">
        <v>0</v>
      </c>
      <c r="CK272" s="19">
        <v>0</v>
      </c>
      <c r="CL272" s="19">
        <v>0</v>
      </c>
      <c r="CM272" s="19">
        <v>0</v>
      </c>
      <c r="CN272" s="19">
        <v>0</v>
      </c>
      <c r="CO272" s="19">
        <v>0</v>
      </c>
      <c r="CP272" s="19">
        <v>0</v>
      </c>
      <c r="CQ272" s="19">
        <v>0</v>
      </c>
      <c r="CR272" s="19">
        <v>0</v>
      </c>
      <c r="CS272" s="19">
        <v>0</v>
      </c>
      <c r="CT272" s="19">
        <v>0</v>
      </c>
      <c r="CU272" s="19">
        <v>0</v>
      </c>
      <c r="CV272" s="19">
        <v>0</v>
      </c>
      <c r="CW272" s="19">
        <v>0</v>
      </c>
      <c r="CX272" s="19">
        <v>0</v>
      </c>
      <c r="CY272" s="19">
        <v>0</v>
      </c>
      <c r="CZ272" s="19">
        <v>0</v>
      </c>
      <c r="DA272" s="19">
        <v>0</v>
      </c>
      <c r="DB272" s="19">
        <v>0</v>
      </c>
      <c r="DC272" s="19">
        <v>0</v>
      </c>
      <c r="DD272" s="19">
        <v>0</v>
      </c>
      <c r="DE272" s="19">
        <v>0</v>
      </c>
      <c r="DF272" s="19">
        <v>0</v>
      </c>
      <c r="DG272" s="19">
        <v>0</v>
      </c>
    </row>
    <row r="273" spans="2:111" x14ac:dyDescent="0.15">
      <c r="B273" s="19" t="str">
        <f t="shared" si="4"/>
        <v>3_女_21</v>
      </c>
      <c r="C273" s="18">
        <v>3</v>
      </c>
      <c r="D273" s="18" t="s">
        <v>2</v>
      </c>
      <c r="E273" s="18">
        <v>21</v>
      </c>
      <c r="F273" s="19">
        <v>5560.5</v>
      </c>
      <c r="G273" s="19">
        <v>12627.9</v>
      </c>
      <c r="H273" s="19">
        <v>20949</v>
      </c>
      <c r="I273" s="19">
        <v>21993.200000000001</v>
      </c>
      <c r="J273" s="19">
        <v>22089.7</v>
      </c>
      <c r="K273" s="19">
        <v>22191</v>
      </c>
      <c r="L273" s="19">
        <v>22297.200000000001</v>
      </c>
      <c r="M273" s="19">
        <v>22408.7</v>
      </c>
      <c r="N273" s="19">
        <v>22525.5</v>
      </c>
      <c r="O273" s="19">
        <v>22648.1</v>
      </c>
      <c r="P273" s="19">
        <v>22776.6</v>
      </c>
      <c r="Q273" s="19">
        <v>22911.3</v>
      </c>
      <c r="R273" s="19">
        <v>23052.6</v>
      </c>
      <c r="S273" s="19">
        <v>23200.6</v>
      </c>
      <c r="T273" s="19">
        <v>23355.599999999999</v>
      </c>
      <c r="U273" s="19">
        <v>23518.1</v>
      </c>
      <c r="V273" s="19">
        <v>23688.2</v>
      </c>
      <c r="W273" s="19">
        <v>23866.400000000001</v>
      </c>
      <c r="X273" s="19">
        <v>24053</v>
      </c>
      <c r="Y273" s="19">
        <v>24248.400000000001</v>
      </c>
      <c r="Z273" s="19">
        <v>24452.9</v>
      </c>
      <c r="AA273" s="19">
        <v>24667.1</v>
      </c>
      <c r="AB273" s="19">
        <v>24891.3</v>
      </c>
      <c r="AC273" s="19">
        <v>25126</v>
      </c>
      <c r="AD273" s="19">
        <v>25371.7</v>
      </c>
      <c r="AE273" s="19">
        <v>25629.1</v>
      </c>
      <c r="AF273" s="19">
        <v>25898.5</v>
      </c>
      <c r="AG273" s="19">
        <v>26180.6</v>
      </c>
      <c r="AH273" s="19">
        <v>26476.1</v>
      </c>
      <c r="AI273" s="19">
        <v>26785.5</v>
      </c>
      <c r="AJ273" s="19">
        <v>27109.5</v>
      </c>
      <c r="AK273" s="19">
        <v>27448.9</v>
      </c>
      <c r="AL273" s="19">
        <v>27804.5</v>
      </c>
      <c r="AM273" s="19">
        <v>28177</v>
      </c>
      <c r="AN273" s="19">
        <v>28567.4</v>
      </c>
      <c r="AO273" s="19">
        <v>28976.5</v>
      </c>
      <c r="AP273" s="19">
        <v>29405.5</v>
      </c>
      <c r="AQ273" s="19">
        <v>29855.3</v>
      </c>
      <c r="AR273" s="19">
        <v>29327.1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>
        <v>0</v>
      </c>
      <c r="BW273" s="19">
        <v>0</v>
      </c>
      <c r="BX273" s="19">
        <v>0</v>
      </c>
      <c r="BY273" s="19">
        <v>0</v>
      </c>
      <c r="BZ273" s="19">
        <v>0</v>
      </c>
      <c r="CA273" s="19">
        <v>0</v>
      </c>
      <c r="CB273" s="19">
        <v>0</v>
      </c>
      <c r="CC273" s="19">
        <v>0</v>
      </c>
      <c r="CD273" s="19">
        <v>0</v>
      </c>
      <c r="CE273" s="19">
        <v>0</v>
      </c>
      <c r="CF273" s="19">
        <v>0</v>
      </c>
      <c r="CG273" s="19">
        <v>0</v>
      </c>
      <c r="CH273" s="19">
        <v>0</v>
      </c>
      <c r="CI273" s="19">
        <v>0</v>
      </c>
      <c r="CJ273" s="19">
        <v>0</v>
      </c>
      <c r="CK273" s="19">
        <v>0</v>
      </c>
      <c r="CL273" s="19">
        <v>0</v>
      </c>
      <c r="CM273" s="19">
        <v>0</v>
      </c>
      <c r="CN273" s="19">
        <v>0</v>
      </c>
      <c r="CO273" s="19">
        <v>0</v>
      </c>
      <c r="CP273" s="19">
        <v>0</v>
      </c>
      <c r="CQ273" s="19">
        <v>0</v>
      </c>
      <c r="CR273" s="19">
        <v>0</v>
      </c>
      <c r="CS273" s="19">
        <v>0</v>
      </c>
      <c r="CT273" s="19">
        <v>0</v>
      </c>
      <c r="CU273" s="19">
        <v>0</v>
      </c>
      <c r="CV273" s="19">
        <v>0</v>
      </c>
      <c r="CW273" s="19">
        <v>0</v>
      </c>
      <c r="CX273" s="19">
        <v>0</v>
      </c>
      <c r="CY273" s="19">
        <v>0</v>
      </c>
      <c r="CZ273" s="19">
        <v>0</v>
      </c>
      <c r="DA273" s="19">
        <v>0</v>
      </c>
      <c r="DB273" s="19">
        <v>0</v>
      </c>
      <c r="DC273" s="19">
        <v>0</v>
      </c>
      <c r="DD273" s="19">
        <v>0</v>
      </c>
      <c r="DE273" s="19">
        <v>0</v>
      </c>
      <c r="DF273" s="19">
        <v>0</v>
      </c>
      <c r="DG273" s="19">
        <v>0</v>
      </c>
    </row>
    <row r="274" spans="2:111" x14ac:dyDescent="0.15">
      <c r="B274" s="19" t="str">
        <f t="shared" si="4"/>
        <v>3_女_22</v>
      </c>
      <c r="C274" s="18">
        <v>3</v>
      </c>
      <c r="D274" s="18" t="s">
        <v>2</v>
      </c>
      <c r="E274" s="18">
        <v>22</v>
      </c>
      <c r="F274" s="19">
        <v>5585.1</v>
      </c>
      <c r="G274" s="19">
        <v>12683.7</v>
      </c>
      <c r="H274" s="19">
        <v>21041.599999999999</v>
      </c>
      <c r="I274" s="19">
        <v>22090.3</v>
      </c>
      <c r="J274" s="19">
        <v>22191.599999999999</v>
      </c>
      <c r="K274" s="19">
        <v>22297.8</v>
      </c>
      <c r="L274" s="19">
        <v>22409.3</v>
      </c>
      <c r="M274" s="19">
        <v>22526.2</v>
      </c>
      <c r="N274" s="19">
        <v>22648.7</v>
      </c>
      <c r="O274" s="19">
        <v>22777.3</v>
      </c>
      <c r="P274" s="19">
        <v>22912</v>
      </c>
      <c r="Q274" s="19">
        <v>23053.3</v>
      </c>
      <c r="R274" s="19">
        <v>23201.3</v>
      </c>
      <c r="S274" s="19">
        <v>23356.400000000001</v>
      </c>
      <c r="T274" s="19">
        <v>23518.799999999999</v>
      </c>
      <c r="U274" s="19">
        <v>23689</v>
      </c>
      <c r="V274" s="19">
        <v>23867.200000000001</v>
      </c>
      <c r="W274" s="19">
        <v>24053.8</v>
      </c>
      <c r="X274" s="19">
        <v>24249.200000000001</v>
      </c>
      <c r="Y274" s="19">
        <v>24453.8</v>
      </c>
      <c r="Z274" s="19">
        <v>24667.9</v>
      </c>
      <c r="AA274" s="19">
        <v>24892.1</v>
      </c>
      <c r="AB274" s="19">
        <v>25126.799999999999</v>
      </c>
      <c r="AC274" s="19">
        <v>25372.6</v>
      </c>
      <c r="AD274" s="19">
        <v>25629.9</v>
      </c>
      <c r="AE274" s="19">
        <v>25899.3</v>
      </c>
      <c r="AF274" s="19">
        <v>26181.4</v>
      </c>
      <c r="AG274" s="19">
        <v>26476.799999999999</v>
      </c>
      <c r="AH274" s="19">
        <v>26786.2</v>
      </c>
      <c r="AI274" s="19">
        <v>27110.2</v>
      </c>
      <c r="AJ274" s="19">
        <v>27449.599999999999</v>
      </c>
      <c r="AK274" s="19">
        <v>27805.1</v>
      </c>
      <c r="AL274" s="19">
        <v>28177.599999999999</v>
      </c>
      <c r="AM274" s="19">
        <v>28567.9</v>
      </c>
      <c r="AN274" s="19">
        <v>28976.9</v>
      </c>
      <c r="AO274" s="19">
        <v>29405.7</v>
      </c>
      <c r="AP274" s="19">
        <v>29855.4</v>
      </c>
      <c r="AQ274" s="19">
        <v>29327.1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>
        <v>0</v>
      </c>
      <c r="BW274" s="19">
        <v>0</v>
      </c>
      <c r="BX274" s="19">
        <v>0</v>
      </c>
      <c r="BY274" s="19">
        <v>0</v>
      </c>
      <c r="BZ274" s="19">
        <v>0</v>
      </c>
      <c r="CA274" s="19">
        <v>0</v>
      </c>
      <c r="CB274" s="19">
        <v>0</v>
      </c>
      <c r="CC274" s="19">
        <v>0</v>
      </c>
      <c r="CD274" s="19">
        <v>0</v>
      </c>
      <c r="CE274" s="19">
        <v>0</v>
      </c>
      <c r="CF274" s="19">
        <v>0</v>
      </c>
      <c r="CG274" s="19">
        <v>0</v>
      </c>
      <c r="CH274" s="19">
        <v>0</v>
      </c>
      <c r="CI274" s="19">
        <v>0</v>
      </c>
      <c r="CJ274" s="19">
        <v>0</v>
      </c>
      <c r="CK274" s="19">
        <v>0</v>
      </c>
      <c r="CL274" s="19">
        <v>0</v>
      </c>
      <c r="CM274" s="19">
        <v>0</v>
      </c>
      <c r="CN274" s="19">
        <v>0</v>
      </c>
      <c r="CO274" s="19">
        <v>0</v>
      </c>
      <c r="CP274" s="19">
        <v>0</v>
      </c>
      <c r="CQ274" s="19">
        <v>0</v>
      </c>
      <c r="CR274" s="19">
        <v>0</v>
      </c>
      <c r="CS274" s="19">
        <v>0</v>
      </c>
      <c r="CT274" s="19">
        <v>0</v>
      </c>
      <c r="CU274" s="19">
        <v>0</v>
      </c>
      <c r="CV274" s="19">
        <v>0</v>
      </c>
      <c r="CW274" s="19">
        <v>0</v>
      </c>
      <c r="CX274" s="19">
        <v>0</v>
      </c>
      <c r="CY274" s="19">
        <v>0</v>
      </c>
      <c r="CZ274" s="19">
        <v>0</v>
      </c>
      <c r="DA274" s="19">
        <v>0</v>
      </c>
      <c r="DB274" s="19">
        <v>0</v>
      </c>
      <c r="DC274" s="19">
        <v>0</v>
      </c>
      <c r="DD274" s="19">
        <v>0</v>
      </c>
      <c r="DE274" s="19">
        <v>0</v>
      </c>
      <c r="DF274" s="19">
        <v>0</v>
      </c>
      <c r="DG274" s="19">
        <v>0</v>
      </c>
    </row>
    <row r="275" spans="2:111" x14ac:dyDescent="0.15">
      <c r="B275" s="19" t="str">
        <f t="shared" si="4"/>
        <v>3_女_23</v>
      </c>
      <c r="C275" s="18">
        <v>3</v>
      </c>
      <c r="D275" s="18" t="s">
        <v>2</v>
      </c>
      <c r="E275" s="18">
        <v>23</v>
      </c>
      <c r="F275" s="19">
        <v>5610.9</v>
      </c>
      <c r="G275" s="19">
        <v>12742.3</v>
      </c>
      <c r="H275" s="19">
        <v>21138.7</v>
      </c>
      <c r="I275" s="19">
        <v>22192.2</v>
      </c>
      <c r="J275" s="19">
        <v>22298.400000000001</v>
      </c>
      <c r="K275" s="19">
        <v>22409.9</v>
      </c>
      <c r="L275" s="19">
        <v>22526.799999999999</v>
      </c>
      <c r="M275" s="19">
        <v>22649.4</v>
      </c>
      <c r="N275" s="19">
        <v>22778</v>
      </c>
      <c r="O275" s="19">
        <v>22912.7</v>
      </c>
      <c r="P275" s="19">
        <v>23054</v>
      </c>
      <c r="Q275" s="19">
        <v>23202</v>
      </c>
      <c r="R275" s="19">
        <v>23357.1</v>
      </c>
      <c r="S275" s="19">
        <v>23519.599999999999</v>
      </c>
      <c r="T275" s="19">
        <v>23689.8</v>
      </c>
      <c r="U275" s="19">
        <v>23868</v>
      </c>
      <c r="V275" s="19">
        <v>24054.7</v>
      </c>
      <c r="W275" s="19">
        <v>24250</v>
      </c>
      <c r="X275" s="19">
        <v>24454.6</v>
      </c>
      <c r="Y275" s="19">
        <v>24668.799999999999</v>
      </c>
      <c r="Z275" s="19">
        <v>24893</v>
      </c>
      <c r="AA275" s="19">
        <v>25127.7</v>
      </c>
      <c r="AB275" s="19">
        <v>25373.5</v>
      </c>
      <c r="AC275" s="19">
        <v>25630.799999999999</v>
      </c>
      <c r="AD275" s="19">
        <v>25900.2</v>
      </c>
      <c r="AE275" s="19">
        <v>26182.3</v>
      </c>
      <c r="AF275" s="19">
        <v>26477.7</v>
      </c>
      <c r="AG275" s="19">
        <v>26787</v>
      </c>
      <c r="AH275" s="19">
        <v>27111</v>
      </c>
      <c r="AI275" s="19">
        <v>27450.3</v>
      </c>
      <c r="AJ275" s="19">
        <v>27805.7</v>
      </c>
      <c r="AK275" s="19">
        <v>28178.1</v>
      </c>
      <c r="AL275" s="19">
        <v>28568.3</v>
      </c>
      <c r="AM275" s="19">
        <v>28977.3</v>
      </c>
      <c r="AN275" s="19">
        <v>29406</v>
      </c>
      <c r="AO275" s="19">
        <v>29855.599999999999</v>
      </c>
      <c r="AP275" s="19">
        <v>29327.1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>
        <v>0</v>
      </c>
      <c r="BW275" s="19">
        <v>0</v>
      </c>
      <c r="BX275" s="19">
        <v>0</v>
      </c>
      <c r="BY275" s="19">
        <v>0</v>
      </c>
      <c r="BZ275" s="19">
        <v>0</v>
      </c>
      <c r="CA275" s="19">
        <v>0</v>
      </c>
      <c r="CB275" s="19">
        <v>0</v>
      </c>
      <c r="CC275" s="19">
        <v>0</v>
      </c>
      <c r="CD275" s="19">
        <v>0</v>
      </c>
      <c r="CE275" s="19">
        <v>0</v>
      </c>
      <c r="CF275" s="19">
        <v>0</v>
      </c>
      <c r="CG275" s="19">
        <v>0</v>
      </c>
      <c r="CH275" s="19">
        <v>0</v>
      </c>
      <c r="CI275" s="19">
        <v>0</v>
      </c>
      <c r="CJ275" s="19">
        <v>0</v>
      </c>
      <c r="CK275" s="19">
        <v>0</v>
      </c>
      <c r="CL275" s="19">
        <v>0</v>
      </c>
      <c r="CM275" s="19">
        <v>0</v>
      </c>
      <c r="CN275" s="19">
        <v>0</v>
      </c>
      <c r="CO275" s="19">
        <v>0</v>
      </c>
      <c r="CP275" s="19">
        <v>0</v>
      </c>
      <c r="CQ275" s="19">
        <v>0</v>
      </c>
      <c r="CR275" s="19">
        <v>0</v>
      </c>
      <c r="CS275" s="19">
        <v>0</v>
      </c>
      <c r="CT275" s="19">
        <v>0</v>
      </c>
      <c r="CU275" s="19">
        <v>0</v>
      </c>
      <c r="CV275" s="19">
        <v>0</v>
      </c>
      <c r="CW275" s="19">
        <v>0</v>
      </c>
      <c r="CX275" s="19">
        <v>0</v>
      </c>
      <c r="CY275" s="19">
        <v>0</v>
      </c>
      <c r="CZ275" s="19">
        <v>0</v>
      </c>
      <c r="DA275" s="19">
        <v>0</v>
      </c>
      <c r="DB275" s="19">
        <v>0</v>
      </c>
      <c r="DC275" s="19">
        <v>0</v>
      </c>
      <c r="DD275" s="19">
        <v>0</v>
      </c>
      <c r="DE275" s="19">
        <v>0</v>
      </c>
      <c r="DF275" s="19">
        <v>0</v>
      </c>
      <c r="DG275" s="19">
        <v>0</v>
      </c>
    </row>
    <row r="276" spans="2:111" x14ac:dyDescent="0.15">
      <c r="B276" s="19" t="str">
        <f t="shared" si="4"/>
        <v>3_女_24</v>
      </c>
      <c r="C276" s="18">
        <v>3</v>
      </c>
      <c r="D276" s="18" t="s">
        <v>2</v>
      </c>
      <c r="E276" s="18">
        <v>24</v>
      </c>
      <c r="F276" s="19">
        <v>5638</v>
      </c>
      <c r="G276" s="19">
        <v>12803.8</v>
      </c>
      <c r="H276" s="19">
        <v>21240.6</v>
      </c>
      <c r="I276" s="19">
        <v>22299.1</v>
      </c>
      <c r="J276" s="19">
        <v>22410.6</v>
      </c>
      <c r="K276" s="19">
        <v>22527.5</v>
      </c>
      <c r="L276" s="19">
        <v>22650.1</v>
      </c>
      <c r="M276" s="19">
        <v>22778.7</v>
      </c>
      <c r="N276" s="19">
        <v>22913.5</v>
      </c>
      <c r="O276" s="19">
        <v>23054.7</v>
      </c>
      <c r="P276" s="19">
        <v>23202.799999999999</v>
      </c>
      <c r="Q276" s="19">
        <v>23357.9</v>
      </c>
      <c r="R276" s="19">
        <v>23520.400000000001</v>
      </c>
      <c r="S276" s="19">
        <v>23690.6</v>
      </c>
      <c r="T276" s="19">
        <v>23868.9</v>
      </c>
      <c r="U276" s="19">
        <v>24055.5</v>
      </c>
      <c r="V276" s="19">
        <v>24250.9</v>
      </c>
      <c r="W276" s="19">
        <v>24455.5</v>
      </c>
      <c r="X276" s="19">
        <v>24669.7</v>
      </c>
      <c r="Y276" s="19">
        <v>24893.9</v>
      </c>
      <c r="Z276" s="19">
        <v>25128.6</v>
      </c>
      <c r="AA276" s="19">
        <v>25374.400000000001</v>
      </c>
      <c r="AB276" s="19">
        <v>25631.599999999999</v>
      </c>
      <c r="AC276" s="19">
        <v>25901</v>
      </c>
      <c r="AD276" s="19">
        <v>26183.1</v>
      </c>
      <c r="AE276" s="19">
        <v>26478.5</v>
      </c>
      <c r="AF276" s="19">
        <v>26787.8</v>
      </c>
      <c r="AG276" s="19">
        <v>27111.7</v>
      </c>
      <c r="AH276" s="19">
        <v>27451</v>
      </c>
      <c r="AI276" s="19">
        <v>27806.400000000001</v>
      </c>
      <c r="AJ276" s="19">
        <v>28178.7</v>
      </c>
      <c r="AK276" s="19">
        <v>28568.799999999999</v>
      </c>
      <c r="AL276" s="19">
        <v>28977.7</v>
      </c>
      <c r="AM276" s="19">
        <v>29406.3</v>
      </c>
      <c r="AN276" s="19">
        <v>29855.7</v>
      </c>
      <c r="AO276" s="19">
        <v>29327.1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>
        <v>0</v>
      </c>
      <c r="BM276" s="19">
        <v>0</v>
      </c>
      <c r="BN276" s="19">
        <v>0</v>
      </c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>
        <v>0</v>
      </c>
      <c r="BW276" s="19">
        <v>0</v>
      </c>
      <c r="BX276" s="19">
        <v>0</v>
      </c>
      <c r="BY276" s="19">
        <v>0</v>
      </c>
      <c r="BZ276" s="19">
        <v>0</v>
      </c>
      <c r="CA276" s="19">
        <v>0</v>
      </c>
      <c r="CB276" s="19">
        <v>0</v>
      </c>
      <c r="CC276" s="19">
        <v>0</v>
      </c>
      <c r="CD276" s="19">
        <v>0</v>
      </c>
      <c r="CE276" s="19">
        <v>0</v>
      </c>
      <c r="CF276" s="19">
        <v>0</v>
      </c>
      <c r="CG276" s="19">
        <v>0</v>
      </c>
      <c r="CH276" s="19">
        <v>0</v>
      </c>
      <c r="CI276" s="19">
        <v>0</v>
      </c>
      <c r="CJ276" s="19">
        <v>0</v>
      </c>
      <c r="CK276" s="19">
        <v>0</v>
      </c>
      <c r="CL276" s="19">
        <v>0</v>
      </c>
      <c r="CM276" s="19">
        <v>0</v>
      </c>
      <c r="CN276" s="19">
        <v>0</v>
      </c>
      <c r="CO276" s="19">
        <v>0</v>
      </c>
      <c r="CP276" s="19">
        <v>0</v>
      </c>
      <c r="CQ276" s="19">
        <v>0</v>
      </c>
      <c r="CR276" s="19">
        <v>0</v>
      </c>
      <c r="CS276" s="19">
        <v>0</v>
      </c>
      <c r="CT276" s="19">
        <v>0</v>
      </c>
      <c r="CU276" s="19">
        <v>0</v>
      </c>
      <c r="CV276" s="19">
        <v>0</v>
      </c>
      <c r="CW276" s="19">
        <v>0</v>
      </c>
      <c r="CX276" s="19">
        <v>0</v>
      </c>
      <c r="CY276" s="19">
        <v>0</v>
      </c>
      <c r="CZ276" s="19">
        <v>0</v>
      </c>
      <c r="DA276" s="19">
        <v>0</v>
      </c>
      <c r="DB276" s="19">
        <v>0</v>
      </c>
      <c r="DC276" s="19">
        <v>0</v>
      </c>
      <c r="DD276" s="19">
        <v>0</v>
      </c>
      <c r="DE276" s="19">
        <v>0</v>
      </c>
      <c r="DF276" s="19">
        <v>0</v>
      </c>
      <c r="DG276" s="19">
        <v>0</v>
      </c>
    </row>
    <row r="277" spans="2:111" x14ac:dyDescent="0.15">
      <c r="B277" s="19" t="str">
        <f t="shared" si="4"/>
        <v>3_女_25</v>
      </c>
      <c r="C277" s="18">
        <v>3</v>
      </c>
      <c r="D277" s="18" t="s">
        <v>2</v>
      </c>
      <c r="E277" s="18">
        <v>25</v>
      </c>
      <c r="F277" s="19">
        <v>5666.4</v>
      </c>
      <c r="G277" s="19">
        <v>12868.3</v>
      </c>
      <c r="H277" s="19">
        <v>21347.599999999999</v>
      </c>
      <c r="I277" s="19">
        <v>22411.200000000001</v>
      </c>
      <c r="J277" s="19">
        <v>22528.2</v>
      </c>
      <c r="K277" s="19">
        <v>22650.799999999999</v>
      </c>
      <c r="L277" s="19">
        <v>22779.4</v>
      </c>
      <c r="M277" s="19">
        <v>22914.2</v>
      </c>
      <c r="N277" s="19">
        <v>23055.5</v>
      </c>
      <c r="O277" s="19">
        <v>23203.599999999999</v>
      </c>
      <c r="P277" s="19">
        <v>23358.7</v>
      </c>
      <c r="Q277" s="19">
        <v>23521.3</v>
      </c>
      <c r="R277" s="19">
        <v>23691.5</v>
      </c>
      <c r="S277" s="19">
        <v>23869.8</v>
      </c>
      <c r="T277" s="19">
        <v>24056.400000000001</v>
      </c>
      <c r="U277" s="19">
        <v>24251.8</v>
      </c>
      <c r="V277" s="19">
        <v>24456.400000000001</v>
      </c>
      <c r="W277" s="19">
        <v>24670.6</v>
      </c>
      <c r="X277" s="19">
        <v>24894.799999999999</v>
      </c>
      <c r="Y277" s="19">
        <v>25129.5</v>
      </c>
      <c r="Z277" s="19">
        <v>25375.3</v>
      </c>
      <c r="AA277" s="19">
        <v>25632.6</v>
      </c>
      <c r="AB277" s="19">
        <v>25901.9</v>
      </c>
      <c r="AC277" s="19">
        <v>26184</v>
      </c>
      <c r="AD277" s="19">
        <v>26479.3</v>
      </c>
      <c r="AE277" s="19">
        <v>26788.6</v>
      </c>
      <c r="AF277" s="19">
        <v>27112.5</v>
      </c>
      <c r="AG277" s="19">
        <v>27451.7</v>
      </c>
      <c r="AH277" s="19">
        <v>27807.1</v>
      </c>
      <c r="AI277" s="19">
        <v>28179.3</v>
      </c>
      <c r="AJ277" s="19">
        <v>28569.4</v>
      </c>
      <c r="AK277" s="19">
        <v>28978.1</v>
      </c>
      <c r="AL277" s="19">
        <v>29406.6</v>
      </c>
      <c r="AM277" s="19">
        <v>29855.9</v>
      </c>
      <c r="AN277" s="19">
        <v>29327.1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>
        <v>0</v>
      </c>
      <c r="BW277" s="19">
        <v>0</v>
      </c>
      <c r="BX277" s="19">
        <v>0</v>
      </c>
      <c r="BY277" s="19">
        <v>0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0</v>
      </c>
      <c r="CF277" s="19">
        <v>0</v>
      </c>
      <c r="CG277" s="19">
        <v>0</v>
      </c>
      <c r="CH277" s="19">
        <v>0</v>
      </c>
      <c r="CI277" s="19">
        <v>0</v>
      </c>
      <c r="CJ277" s="19">
        <v>0</v>
      </c>
      <c r="CK277" s="19">
        <v>0</v>
      </c>
      <c r="CL277" s="19">
        <v>0</v>
      </c>
      <c r="CM277" s="19">
        <v>0</v>
      </c>
      <c r="CN277" s="19">
        <v>0</v>
      </c>
      <c r="CO277" s="19">
        <v>0</v>
      </c>
      <c r="CP277" s="19">
        <v>0</v>
      </c>
      <c r="CQ277" s="19">
        <v>0</v>
      </c>
      <c r="CR277" s="19">
        <v>0</v>
      </c>
      <c r="CS277" s="19">
        <v>0</v>
      </c>
      <c r="CT277" s="19">
        <v>0</v>
      </c>
      <c r="CU277" s="19">
        <v>0</v>
      </c>
      <c r="CV277" s="19">
        <v>0</v>
      </c>
      <c r="CW277" s="19">
        <v>0</v>
      </c>
      <c r="CX277" s="19">
        <v>0</v>
      </c>
      <c r="CY277" s="19">
        <v>0</v>
      </c>
      <c r="CZ277" s="19">
        <v>0</v>
      </c>
      <c r="DA277" s="19">
        <v>0</v>
      </c>
      <c r="DB277" s="19">
        <v>0</v>
      </c>
      <c r="DC277" s="19">
        <v>0</v>
      </c>
      <c r="DD277" s="19">
        <v>0</v>
      </c>
      <c r="DE277" s="19">
        <v>0</v>
      </c>
      <c r="DF277" s="19">
        <v>0</v>
      </c>
      <c r="DG277" s="19">
        <v>0</v>
      </c>
    </row>
    <row r="278" spans="2:111" x14ac:dyDescent="0.15">
      <c r="B278" s="19" t="str">
        <f t="shared" si="4"/>
        <v>3_女_26</v>
      </c>
      <c r="C278" s="18">
        <v>3</v>
      </c>
      <c r="D278" s="18" t="s">
        <v>2</v>
      </c>
      <c r="E278" s="18">
        <v>26</v>
      </c>
      <c r="F278" s="19">
        <v>5696.2</v>
      </c>
      <c r="G278" s="19">
        <v>12936</v>
      </c>
      <c r="H278" s="19">
        <v>21459.8</v>
      </c>
      <c r="I278" s="19">
        <v>22528.9</v>
      </c>
      <c r="J278" s="19">
        <v>22651.5</v>
      </c>
      <c r="K278" s="19">
        <v>22780.2</v>
      </c>
      <c r="L278" s="19">
        <v>22915</v>
      </c>
      <c r="M278" s="19">
        <v>23056.3</v>
      </c>
      <c r="N278" s="19">
        <v>23204.400000000001</v>
      </c>
      <c r="O278" s="19">
        <v>23359.599999999999</v>
      </c>
      <c r="P278" s="19">
        <v>23522.1</v>
      </c>
      <c r="Q278" s="19">
        <v>23692.400000000001</v>
      </c>
      <c r="R278" s="19">
        <v>23870.7</v>
      </c>
      <c r="S278" s="19">
        <v>24057.3</v>
      </c>
      <c r="T278" s="19">
        <v>24252.7</v>
      </c>
      <c r="U278" s="19">
        <v>24457.3</v>
      </c>
      <c r="V278" s="19">
        <v>24671.5</v>
      </c>
      <c r="W278" s="19">
        <v>24895.8</v>
      </c>
      <c r="X278" s="19">
        <v>25130.5</v>
      </c>
      <c r="Y278" s="19">
        <v>25376.2</v>
      </c>
      <c r="Z278" s="19">
        <v>25633.5</v>
      </c>
      <c r="AA278" s="19">
        <v>25902.9</v>
      </c>
      <c r="AB278" s="19">
        <v>26184.9</v>
      </c>
      <c r="AC278" s="19">
        <v>26480.2</v>
      </c>
      <c r="AD278" s="19">
        <v>26789.5</v>
      </c>
      <c r="AE278" s="19">
        <v>27113.3</v>
      </c>
      <c r="AF278" s="19">
        <v>27452.5</v>
      </c>
      <c r="AG278" s="19">
        <v>27807.8</v>
      </c>
      <c r="AH278" s="19">
        <v>28179.9</v>
      </c>
      <c r="AI278" s="19">
        <v>28569.9</v>
      </c>
      <c r="AJ278" s="19">
        <v>28978.5</v>
      </c>
      <c r="AK278" s="19">
        <v>29406.9</v>
      </c>
      <c r="AL278" s="19">
        <v>29856</v>
      </c>
      <c r="AM278" s="19">
        <v>29327.1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</v>
      </c>
      <c r="BH278" s="19">
        <v>0</v>
      </c>
      <c r="BI278" s="19">
        <v>0</v>
      </c>
      <c r="BJ278" s="19">
        <v>0</v>
      </c>
      <c r="BK278" s="19">
        <v>0</v>
      </c>
      <c r="BL278" s="19">
        <v>0</v>
      </c>
      <c r="BM278" s="19">
        <v>0</v>
      </c>
      <c r="BN278" s="19">
        <v>0</v>
      </c>
      <c r="BO278" s="19">
        <v>0</v>
      </c>
      <c r="BP278" s="19">
        <v>0</v>
      </c>
      <c r="BQ278" s="19">
        <v>0</v>
      </c>
      <c r="BR278" s="19">
        <v>0</v>
      </c>
      <c r="BS278" s="19">
        <v>0</v>
      </c>
      <c r="BT278" s="19">
        <v>0</v>
      </c>
      <c r="BU278" s="19">
        <v>0</v>
      </c>
      <c r="BV278" s="19">
        <v>0</v>
      </c>
      <c r="BW278" s="19">
        <v>0</v>
      </c>
      <c r="BX278" s="19">
        <v>0</v>
      </c>
      <c r="BY278" s="19">
        <v>0</v>
      </c>
      <c r="BZ278" s="19">
        <v>0</v>
      </c>
      <c r="CA278" s="19">
        <v>0</v>
      </c>
      <c r="CB278" s="19">
        <v>0</v>
      </c>
      <c r="CC278" s="19">
        <v>0</v>
      </c>
      <c r="CD278" s="19">
        <v>0</v>
      </c>
      <c r="CE278" s="19">
        <v>0</v>
      </c>
      <c r="CF278" s="19">
        <v>0</v>
      </c>
      <c r="CG278" s="19">
        <v>0</v>
      </c>
      <c r="CH278" s="19">
        <v>0</v>
      </c>
      <c r="CI278" s="19">
        <v>0</v>
      </c>
      <c r="CJ278" s="19">
        <v>0</v>
      </c>
      <c r="CK278" s="19">
        <v>0</v>
      </c>
      <c r="CL278" s="19">
        <v>0</v>
      </c>
      <c r="CM278" s="19">
        <v>0</v>
      </c>
      <c r="CN278" s="19">
        <v>0</v>
      </c>
      <c r="CO278" s="19">
        <v>0</v>
      </c>
      <c r="CP278" s="19">
        <v>0</v>
      </c>
      <c r="CQ278" s="19">
        <v>0</v>
      </c>
      <c r="CR278" s="19">
        <v>0</v>
      </c>
      <c r="CS278" s="19">
        <v>0</v>
      </c>
      <c r="CT278" s="19">
        <v>0</v>
      </c>
      <c r="CU278" s="19">
        <v>0</v>
      </c>
      <c r="CV278" s="19">
        <v>0</v>
      </c>
      <c r="CW278" s="19">
        <v>0</v>
      </c>
      <c r="CX278" s="19">
        <v>0</v>
      </c>
      <c r="CY278" s="19">
        <v>0</v>
      </c>
      <c r="CZ278" s="19">
        <v>0</v>
      </c>
      <c r="DA278" s="19">
        <v>0</v>
      </c>
      <c r="DB278" s="19">
        <v>0</v>
      </c>
      <c r="DC278" s="19">
        <v>0</v>
      </c>
      <c r="DD278" s="19">
        <v>0</v>
      </c>
      <c r="DE278" s="19">
        <v>0</v>
      </c>
      <c r="DF278" s="19">
        <v>0</v>
      </c>
      <c r="DG278" s="19">
        <v>0</v>
      </c>
    </row>
    <row r="279" spans="2:111" x14ac:dyDescent="0.15">
      <c r="B279" s="19" t="str">
        <f t="shared" si="4"/>
        <v>3_女_27</v>
      </c>
      <c r="C279" s="18">
        <v>3</v>
      </c>
      <c r="D279" s="18" t="s">
        <v>2</v>
      </c>
      <c r="E279" s="18">
        <v>27</v>
      </c>
      <c r="F279" s="19">
        <v>5727.5</v>
      </c>
      <c r="G279" s="19">
        <v>13006.9</v>
      </c>
      <c r="H279" s="19">
        <v>21577.5</v>
      </c>
      <c r="I279" s="19">
        <v>22652.3</v>
      </c>
      <c r="J279" s="19">
        <v>22780.9</v>
      </c>
      <c r="K279" s="19">
        <v>22915.8</v>
      </c>
      <c r="L279" s="19">
        <v>23057.1</v>
      </c>
      <c r="M279" s="19">
        <v>23205.3</v>
      </c>
      <c r="N279" s="19">
        <v>23360.5</v>
      </c>
      <c r="O279" s="19">
        <v>23523</v>
      </c>
      <c r="P279" s="19">
        <v>23693.3</v>
      </c>
      <c r="Q279" s="19">
        <v>23871.599999999999</v>
      </c>
      <c r="R279" s="19">
        <v>24058.3</v>
      </c>
      <c r="S279" s="19">
        <v>24253.7</v>
      </c>
      <c r="T279" s="19">
        <v>24458.3</v>
      </c>
      <c r="U279" s="19">
        <v>24672.5</v>
      </c>
      <c r="V279" s="19">
        <v>24896.7</v>
      </c>
      <c r="W279" s="19">
        <v>25131.5</v>
      </c>
      <c r="X279" s="19">
        <v>25377.200000000001</v>
      </c>
      <c r="Y279" s="19">
        <v>25634.5</v>
      </c>
      <c r="Z279" s="19">
        <v>25903.8</v>
      </c>
      <c r="AA279" s="19">
        <v>26185.8</v>
      </c>
      <c r="AB279" s="19">
        <v>26481.1</v>
      </c>
      <c r="AC279" s="19">
        <v>26790.400000000001</v>
      </c>
      <c r="AD279" s="19">
        <v>27114.2</v>
      </c>
      <c r="AE279" s="19">
        <v>27453.3</v>
      </c>
      <c r="AF279" s="19">
        <v>27808.5</v>
      </c>
      <c r="AG279" s="19">
        <v>28180.6</v>
      </c>
      <c r="AH279" s="19">
        <v>28570.400000000001</v>
      </c>
      <c r="AI279" s="19">
        <v>28979</v>
      </c>
      <c r="AJ279" s="19">
        <v>29407.200000000001</v>
      </c>
      <c r="AK279" s="19">
        <v>29856.2</v>
      </c>
      <c r="AL279" s="19">
        <v>29327.1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0</v>
      </c>
      <c r="BH279" s="19">
        <v>0</v>
      </c>
      <c r="BI279" s="19">
        <v>0</v>
      </c>
      <c r="BJ279" s="19">
        <v>0</v>
      </c>
      <c r="BK279" s="19">
        <v>0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  <c r="BT279" s="19">
        <v>0</v>
      </c>
      <c r="BU279" s="19">
        <v>0</v>
      </c>
      <c r="BV279" s="19">
        <v>0</v>
      </c>
      <c r="BW279" s="19">
        <v>0</v>
      </c>
      <c r="BX279" s="19">
        <v>0</v>
      </c>
      <c r="BY279" s="19">
        <v>0</v>
      </c>
      <c r="BZ279" s="19">
        <v>0</v>
      </c>
      <c r="CA279" s="19">
        <v>0</v>
      </c>
      <c r="CB279" s="19">
        <v>0</v>
      </c>
      <c r="CC279" s="19">
        <v>0</v>
      </c>
      <c r="CD279" s="19">
        <v>0</v>
      </c>
      <c r="CE279" s="19">
        <v>0</v>
      </c>
      <c r="CF279" s="19">
        <v>0</v>
      </c>
      <c r="CG279" s="19">
        <v>0</v>
      </c>
      <c r="CH279" s="19">
        <v>0</v>
      </c>
      <c r="CI279" s="19">
        <v>0</v>
      </c>
      <c r="CJ279" s="19">
        <v>0</v>
      </c>
      <c r="CK279" s="19">
        <v>0</v>
      </c>
      <c r="CL279" s="19">
        <v>0</v>
      </c>
      <c r="CM279" s="19">
        <v>0</v>
      </c>
      <c r="CN279" s="19">
        <v>0</v>
      </c>
      <c r="CO279" s="19">
        <v>0</v>
      </c>
      <c r="CP279" s="19">
        <v>0</v>
      </c>
      <c r="CQ279" s="19">
        <v>0</v>
      </c>
      <c r="CR279" s="19">
        <v>0</v>
      </c>
      <c r="CS279" s="19">
        <v>0</v>
      </c>
      <c r="CT279" s="19">
        <v>0</v>
      </c>
      <c r="CU279" s="19">
        <v>0</v>
      </c>
      <c r="CV279" s="19">
        <v>0</v>
      </c>
      <c r="CW279" s="19">
        <v>0</v>
      </c>
      <c r="CX279" s="19">
        <v>0</v>
      </c>
      <c r="CY279" s="19">
        <v>0</v>
      </c>
      <c r="CZ279" s="19">
        <v>0</v>
      </c>
      <c r="DA279" s="19">
        <v>0</v>
      </c>
      <c r="DB279" s="19">
        <v>0</v>
      </c>
      <c r="DC279" s="19">
        <v>0</v>
      </c>
      <c r="DD279" s="19">
        <v>0</v>
      </c>
      <c r="DE279" s="19">
        <v>0</v>
      </c>
      <c r="DF279" s="19">
        <v>0</v>
      </c>
      <c r="DG279" s="19">
        <v>0</v>
      </c>
    </row>
    <row r="280" spans="2:111" x14ac:dyDescent="0.15">
      <c r="B280" s="19" t="str">
        <f t="shared" si="4"/>
        <v>3_女_28</v>
      </c>
      <c r="C280" s="18">
        <v>3</v>
      </c>
      <c r="D280" s="18" t="s">
        <v>2</v>
      </c>
      <c r="E280" s="18">
        <v>28</v>
      </c>
      <c r="F280" s="19">
        <v>5760.3</v>
      </c>
      <c r="G280" s="19">
        <v>13081.4</v>
      </c>
      <c r="H280" s="19">
        <v>21700.9</v>
      </c>
      <c r="I280" s="19">
        <v>22781.7</v>
      </c>
      <c r="J280" s="19">
        <v>22916.6</v>
      </c>
      <c r="K280" s="19">
        <v>23058</v>
      </c>
      <c r="L280" s="19">
        <v>23206.1</v>
      </c>
      <c r="M280" s="19">
        <v>23361.3</v>
      </c>
      <c r="N280" s="19">
        <v>23523.9</v>
      </c>
      <c r="O280" s="19">
        <v>23694.2</v>
      </c>
      <c r="P280" s="19">
        <v>23872.5</v>
      </c>
      <c r="Q280" s="19">
        <v>24059.200000000001</v>
      </c>
      <c r="R280" s="19">
        <v>24254.7</v>
      </c>
      <c r="S280" s="19">
        <v>24459.3</v>
      </c>
      <c r="T280" s="19">
        <v>24673.5</v>
      </c>
      <c r="U280" s="19">
        <v>24897.7</v>
      </c>
      <c r="V280" s="19">
        <v>25132.5</v>
      </c>
      <c r="W280" s="19">
        <v>25378.2</v>
      </c>
      <c r="X280" s="19">
        <v>25635.5</v>
      </c>
      <c r="Y280" s="19">
        <v>25904.799999999999</v>
      </c>
      <c r="Z280" s="19">
        <v>26186.799999999999</v>
      </c>
      <c r="AA280" s="19">
        <v>26482.1</v>
      </c>
      <c r="AB280" s="19">
        <v>26791.3</v>
      </c>
      <c r="AC280" s="19">
        <v>27115</v>
      </c>
      <c r="AD280" s="19">
        <v>27454.1</v>
      </c>
      <c r="AE280" s="19">
        <v>27809.200000000001</v>
      </c>
      <c r="AF280" s="19">
        <v>28181.200000000001</v>
      </c>
      <c r="AG280" s="19">
        <v>28571</v>
      </c>
      <c r="AH280" s="19">
        <v>28979.4</v>
      </c>
      <c r="AI280" s="19">
        <v>29407.5</v>
      </c>
      <c r="AJ280" s="19">
        <v>29856.400000000001</v>
      </c>
      <c r="AK280" s="19">
        <v>29327.1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</v>
      </c>
      <c r="BH280" s="19">
        <v>0</v>
      </c>
      <c r="BI280" s="19">
        <v>0</v>
      </c>
      <c r="BJ280" s="19">
        <v>0</v>
      </c>
      <c r="BK280" s="19">
        <v>0</v>
      </c>
      <c r="BL280" s="19">
        <v>0</v>
      </c>
      <c r="BM280" s="19">
        <v>0</v>
      </c>
      <c r="BN280" s="19">
        <v>0</v>
      </c>
      <c r="BO280" s="19">
        <v>0</v>
      </c>
      <c r="BP280" s="19">
        <v>0</v>
      </c>
      <c r="BQ280" s="19">
        <v>0</v>
      </c>
      <c r="BR280" s="19">
        <v>0</v>
      </c>
      <c r="BS280" s="19">
        <v>0</v>
      </c>
      <c r="BT280" s="19">
        <v>0</v>
      </c>
      <c r="BU280" s="19">
        <v>0</v>
      </c>
      <c r="BV280" s="19">
        <v>0</v>
      </c>
      <c r="BW280" s="19">
        <v>0</v>
      </c>
      <c r="BX280" s="19">
        <v>0</v>
      </c>
      <c r="BY280" s="19">
        <v>0</v>
      </c>
      <c r="BZ280" s="19">
        <v>0</v>
      </c>
      <c r="CA280" s="19">
        <v>0</v>
      </c>
      <c r="CB280" s="19">
        <v>0</v>
      </c>
      <c r="CC280" s="19">
        <v>0</v>
      </c>
      <c r="CD280" s="19">
        <v>0</v>
      </c>
      <c r="CE280" s="19">
        <v>0</v>
      </c>
      <c r="CF280" s="19">
        <v>0</v>
      </c>
      <c r="CG280" s="19">
        <v>0</v>
      </c>
      <c r="CH280" s="19">
        <v>0</v>
      </c>
      <c r="CI280" s="19">
        <v>0</v>
      </c>
      <c r="CJ280" s="19">
        <v>0</v>
      </c>
      <c r="CK280" s="19">
        <v>0</v>
      </c>
      <c r="CL280" s="19">
        <v>0</v>
      </c>
      <c r="CM280" s="19">
        <v>0</v>
      </c>
      <c r="CN280" s="19">
        <v>0</v>
      </c>
      <c r="CO280" s="19">
        <v>0</v>
      </c>
      <c r="CP280" s="19">
        <v>0</v>
      </c>
      <c r="CQ280" s="19">
        <v>0</v>
      </c>
      <c r="CR280" s="19">
        <v>0</v>
      </c>
      <c r="CS280" s="19">
        <v>0</v>
      </c>
      <c r="CT280" s="19">
        <v>0</v>
      </c>
      <c r="CU280" s="19">
        <v>0</v>
      </c>
      <c r="CV280" s="19">
        <v>0</v>
      </c>
      <c r="CW280" s="19">
        <v>0</v>
      </c>
      <c r="CX280" s="19">
        <v>0</v>
      </c>
      <c r="CY280" s="19">
        <v>0</v>
      </c>
      <c r="CZ280" s="19">
        <v>0</v>
      </c>
      <c r="DA280" s="19">
        <v>0</v>
      </c>
      <c r="DB280" s="19">
        <v>0</v>
      </c>
      <c r="DC280" s="19">
        <v>0</v>
      </c>
      <c r="DD280" s="19">
        <v>0</v>
      </c>
      <c r="DE280" s="19">
        <v>0</v>
      </c>
      <c r="DF280" s="19">
        <v>0</v>
      </c>
      <c r="DG280" s="19">
        <v>0</v>
      </c>
    </row>
    <row r="281" spans="2:111" x14ac:dyDescent="0.15">
      <c r="B281" s="19" t="str">
        <f t="shared" si="4"/>
        <v>3_女_29</v>
      </c>
      <c r="C281" s="18">
        <v>3</v>
      </c>
      <c r="D281" s="18" t="s">
        <v>2</v>
      </c>
      <c r="E281" s="18">
        <v>29</v>
      </c>
      <c r="F281" s="19">
        <v>5794.7</v>
      </c>
      <c r="G281" s="19">
        <v>13159.6</v>
      </c>
      <c r="H281" s="19">
        <v>21830.400000000001</v>
      </c>
      <c r="I281" s="19">
        <v>22917.5</v>
      </c>
      <c r="J281" s="19">
        <v>23058.9</v>
      </c>
      <c r="K281" s="19">
        <v>23207</v>
      </c>
      <c r="L281" s="19">
        <v>23362.3</v>
      </c>
      <c r="M281" s="19">
        <v>23524.9</v>
      </c>
      <c r="N281" s="19">
        <v>23695.200000000001</v>
      </c>
      <c r="O281" s="19">
        <v>23873.5</v>
      </c>
      <c r="P281" s="19">
        <v>24060.2</v>
      </c>
      <c r="Q281" s="19">
        <v>24255.7</v>
      </c>
      <c r="R281" s="19">
        <v>24460.3</v>
      </c>
      <c r="S281" s="19">
        <v>24674.5</v>
      </c>
      <c r="T281" s="19">
        <v>24898.799999999999</v>
      </c>
      <c r="U281" s="19">
        <v>25133.5</v>
      </c>
      <c r="V281" s="19">
        <v>25379.200000000001</v>
      </c>
      <c r="W281" s="19">
        <v>25636.5</v>
      </c>
      <c r="X281" s="19">
        <v>25905.8</v>
      </c>
      <c r="Y281" s="19">
        <v>26187.8</v>
      </c>
      <c r="Z281" s="19">
        <v>26483</v>
      </c>
      <c r="AA281" s="19">
        <v>26792.2</v>
      </c>
      <c r="AB281" s="19">
        <v>27115.9</v>
      </c>
      <c r="AC281" s="19">
        <v>27454.9</v>
      </c>
      <c r="AD281" s="19">
        <v>27810</v>
      </c>
      <c r="AE281" s="19">
        <v>28181.9</v>
      </c>
      <c r="AF281" s="19">
        <v>28571.599999999999</v>
      </c>
      <c r="AG281" s="19">
        <v>28979.9</v>
      </c>
      <c r="AH281" s="19">
        <v>29407.8</v>
      </c>
      <c r="AI281" s="19">
        <v>29856.5</v>
      </c>
      <c r="AJ281" s="19">
        <v>29327.1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0</v>
      </c>
      <c r="BH281" s="19">
        <v>0</v>
      </c>
      <c r="BI281" s="19">
        <v>0</v>
      </c>
      <c r="BJ281" s="19">
        <v>0</v>
      </c>
      <c r="BK281" s="19">
        <v>0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  <c r="BT281" s="19">
        <v>0</v>
      </c>
      <c r="BU281" s="19">
        <v>0</v>
      </c>
      <c r="BV281" s="19">
        <v>0</v>
      </c>
      <c r="BW281" s="19">
        <v>0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0</v>
      </c>
      <c r="CD281" s="19">
        <v>0</v>
      </c>
      <c r="CE281" s="19">
        <v>0</v>
      </c>
      <c r="CF281" s="19">
        <v>0</v>
      </c>
      <c r="CG281" s="19">
        <v>0</v>
      </c>
      <c r="CH281" s="19">
        <v>0</v>
      </c>
      <c r="CI281" s="19">
        <v>0</v>
      </c>
      <c r="CJ281" s="19">
        <v>0</v>
      </c>
      <c r="CK281" s="19">
        <v>0</v>
      </c>
      <c r="CL281" s="19">
        <v>0</v>
      </c>
      <c r="CM281" s="19">
        <v>0</v>
      </c>
      <c r="CN281" s="19">
        <v>0</v>
      </c>
      <c r="CO281" s="19">
        <v>0</v>
      </c>
      <c r="CP281" s="19">
        <v>0</v>
      </c>
      <c r="CQ281" s="19">
        <v>0</v>
      </c>
      <c r="CR281" s="19">
        <v>0</v>
      </c>
      <c r="CS281" s="19">
        <v>0</v>
      </c>
      <c r="CT281" s="19">
        <v>0</v>
      </c>
      <c r="CU281" s="19">
        <v>0</v>
      </c>
      <c r="CV281" s="19">
        <v>0</v>
      </c>
      <c r="CW281" s="19">
        <v>0</v>
      </c>
      <c r="CX281" s="19">
        <v>0</v>
      </c>
      <c r="CY281" s="19">
        <v>0</v>
      </c>
      <c r="CZ281" s="19">
        <v>0</v>
      </c>
      <c r="DA281" s="19">
        <v>0</v>
      </c>
      <c r="DB281" s="19">
        <v>0</v>
      </c>
      <c r="DC281" s="19">
        <v>0</v>
      </c>
      <c r="DD281" s="19">
        <v>0</v>
      </c>
      <c r="DE281" s="19">
        <v>0</v>
      </c>
      <c r="DF281" s="19">
        <v>0</v>
      </c>
      <c r="DG281" s="19">
        <v>0</v>
      </c>
    </row>
    <row r="282" spans="2:111" x14ac:dyDescent="0.15">
      <c r="B282" s="19" t="str">
        <f t="shared" si="4"/>
        <v>3_女_30</v>
      </c>
      <c r="C282" s="18">
        <v>3</v>
      </c>
      <c r="D282" s="18" t="s">
        <v>2</v>
      </c>
      <c r="E282" s="18">
        <v>30</v>
      </c>
      <c r="F282" s="19">
        <v>5830.8</v>
      </c>
      <c r="G282" s="19">
        <v>13241.5</v>
      </c>
      <c r="H282" s="19">
        <v>21966.3</v>
      </c>
      <c r="I282" s="19">
        <v>23059.8</v>
      </c>
      <c r="J282" s="19">
        <v>23208</v>
      </c>
      <c r="K282" s="19">
        <v>23363.200000000001</v>
      </c>
      <c r="L282" s="19">
        <v>23525.8</v>
      </c>
      <c r="M282" s="19">
        <v>23696.2</v>
      </c>
      <c r="N282" s="19">
        <v>23874.5</v>
      </c>
      <c r="O282" s="19">
        <v>24061.200000000001</v>
      </c>
      <c r="P282" s="19">
        <v>24256.7</v>
      </c>
      <c r="Q282" s="19">
        <v>24461.4</v>
      </c>
      <c r="R282" s="19">
        <v>24675.599999999999</v>
      </c>
      <c r="S282" s="19">
        <v>24899.9</v>
      </c>
      <c r="T282" s="19">
        <v>25134.6</v>
      </c>
      <c r="U282" s="19">
        <v>25380.3</v>
      </c>
      <c r="V282" s="19">
        <v>25637.599999999999</v>
      </c>
      <c r="W282" s="19">
        <v>25906.9</v>
      </c>
      <c r="X282" s="19">
        <v>26188.799999999999</v>
      </c>
      <c r="Y282" s="19">
        <v>26484</v>
      </c>
      <c r="Z282" s="19">
        <v>26793.1</v>
      </c>
      <c r="AA282" s="19">
        <v>27116.799999999999</v>
      </c>
      <c r="AB282" s="19">
        <v>27455.8</v>
      </c>
      <c r="AC282" s="19">
        <v>27810.799999999999</v>
      </c>
      <c r="AD282" s="19">
        <v>28182.6</v>
      </c>
      <c r="AE282" s="19">
        <v>28572.2</v>
      </c>
      <c r="AF282" s="19">
        <v>28980.400000000001</v>
      </c>
      <c r="AG282" s="19">
        <v>29408.2</v>
      </c>
      <c r="AH282" s="19">
        <v>29856.7</v>
      </c>
      <c r="AI282" s="19">
        <v>29327.1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9">
        <v>0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  <c r="BT282" s="19">
        <v>0</v>
      </c>
      <c r="BU282" s="19">
        <v>0</v>
      </c>
      <c r="BV282" s="19">
        <v>0</v>
      </c>
      <c r="BW282" s="19">
        <v>0</v>
      </c>
      <c r="BX282" s="19">
        <v>0</v>
      </c>
      <c r="BY282" s="19">
        <v>0</v>
      </c>
      <c r="BZ282" s="19">
        <v>0</v>
      </c>
      <c r="CA282" s="19">
        <v>0</v>
      </c>
      <c r="CB282" s="19">
        <v>0</v>
      </c>
      <c r="CC282" s="19">
        <v>0</v>
      </c>
      <c r="CD282" s="19">
        <v>0</v>
      </c>
      <c r="CE282" s="19">
        <v>0</v>
      </c>
      <c r="CF282" s="19">
        <v>0</v>
      </c>
      <c r="CG282" s="19">
        <v>0</v>
      </c>
      <c r="CH282" s="19">
        <v>0</v>
      </c>
      <c r="CI282" s="19">
        <v>0</v>
      </c>
      <c r="CJ282" s="19">
        <v>0</v>
      </c>
      <c r="CK282" s="19">
        <v>0</v>
      </c>
      <c r="CL282" s="19">
        <v>0</v>
      </c>
      <c r="CM282" s="19">
        <v>0</v>
      </c>
      <c r="CN282" s="19">
        <v>0</v>
      </c>
      <c r="CO282" s="19">
        <v>0</v>
      </c>
      <c r="CP282" s="19">
        <v>0</v>
      </c>
      <c r="CQ282" s="19">
        <v>0</v>
      </c>
      <c r="CR282" s="19">
        <v>0</v>
      </c>
      <c r="CS282" s="19">
        <v>0</v>
      </c>
      <c r="CT282" s="19">
        <v>0</v>
      </c>
      <c r="CU282" s="19">
        <v>0</v>
      </c>
      <c r="CV282" s="19">
        <v>0</v>
      </c>
      <c r="CW282" s="19">
        <v>0</v>
      </c>
      <c r="CX282" s="19">
        <v>0</v>
      </c>
      <c r="CY282" s="19">
        <v>0</v>
      </c>
      <c r="CZ282" s="19">
        <v>0</v>
      </c>
      <c r="DA282" s="19">
        <v>0</v>
      </c>
      <c r="DB282" s="19">
        <v>0</v>
      </c>
      <c r="DC282" s="19">
        <v>0</v>
      </c>
      <c r="DD282" s="19">
        <v>0</v>
      </c>
      <c r="DE282" s="19">
        <v>0</v>
      </c>
      <c r="DF282" s="19">
        <v>0</v>
      </c>
      <c r="DG282" s="19">
        <v>0</v>
      </c>
    </row>
    <row r="283" spans="2:111" x14ac:dyDescent="0.15">
      <c r="B283" s="19" t="str">
        <f t="shared" si="4"/>
        <v>3_女_31</v>
      </c>
      <c r="C283" s="18">
        <v>3</v>
      </c>
      <c r="D283" s="18" t="s">
        <v>2</v>
      </c>
      <c r="E283" s="18">
        <v>31</v>
      </c>
      <c r="F283" s="19">
        <v>5868.7</v>
      </c>
      <c r="G283" s="19">
        <v>13327.4</v>
      </c>
      <c r="H283" s="19">
        <v>22108.6</v>
      </c>
      <c r="I283" s="19">
        <v>23208.9</v>
      </c>
      <c r="J283" s="19">
        <v>23364.2</v>
      </c>
      <c r="K283" s="19">
        <v>23526.799999999999</v>
      </c>
      <c r="L283" s="19">
        <v>23697.200000000001</v>
      </c>
      <c r="M283" s="19">
        <v>23875.599999999999</v>
      </c>
      <c r="N283" s="19">
        <v>24062.3</v>
      </c>
      <c r="O283" s="19">
        <v>24257.8</v>
      </c>
      <c r="P283" s="19">
        <v>24462.5</v>
      </c>
      <c r="Q283" s="19">
        <v>24676.7</v>
      </c>
      <c r="R283" s="19">
        <v>24901</v>
      </c>
      <c r="S283" s="19">
        <v>25135.7</v>
      </c>
      <c r="T283" s="19">
        <v>25381.4</v>
      </c>
      <c r="U283" s="19">
        <v>25638.7</v>
      </c>
      <c r="V283" s="19">
        <v>25908</v>
      </c>
      <c r="W283" s="19">
        <v>26189.9</v>
      </c>
      <c r="X283" s="19">
        <v>26485.1</v>
      </c>
      <c r="Y283" s="19">
        <v>26794.1</v>
      </c>
      <c r="Z283" s="19">
        <v>27117.8</v>
      </c>
      <c r="AA283" s="19">
        <v>27456.6</v>
      </c>
      <c r="AB283" s="19">
        <v>27811.599999999999</v>
      </c>
      <c r="AC283" s="19">
        <v>28183.3</v>
      </c>
      <c r="AD283" s="19">
        <v>28572.799999999999</v>
      </c>
      <c r="AE283" s="19">
        <v>28980.799999999999</v>
      </c>
      <c r="AF283" s="19">
        <v>29408.5</v>
      </c>
      <c r="AG283" s="19">
        <v>29856.9</v>
      </c>
      <c r="AH283" s="19">
        <v>29327.1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0</v>
      </c>
      <c r="BH283" s="19">
        <v>0</v>
      </c>
      <c r="BI283" s="19">
        <v>0</v>
      </c>
      <c r="BJ283" s="19">
        <v>0</v>
      </c>
      <c r="BK283" s="19">
        <v>0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  <c r="BT283" s="19">
        <v>0</v>
      </c>
      <c r="BU283" s="19">
        <v>0</v>
      </c>
      <c r="BV283" s="19">
        <v>0</v>
      </c>
      <c r="BW283" s="19">
        <v>0</v>
      </c>
      <c r="BX283" s="19">
        <v>0</v>
      </c>
      <c r="BY283" s="19">
        <v>0</v>
      </c>
      <c r="BZ283" s="19">
        <v>0</v>
      </c>
      <c r="CA283" s="19">
        <v>0</v>
      </c>
      <c r="CB283" s="19">
        <v>0</v>
      </c>
      <c r="CC283" s="19">
        <v>0</v>
      </c>
      <c r="CD283" s="19">
        <v>0</v>
      </c>
      <c r="CE283" s="19">
        <v>0</v>
      </c>
      <c r="CF283" s="19">
        <v>0</v>
      </c>
      <c r="CG283" s="19">
        <v>0</v>
      </c>
      <c r="CH283" s="19">
        <v>0</v>
      </c>
      <c r="CI283" s="19">
        <v>0</v>
      </c>
      <c r="CJ283" s="19">
        <v>0</v>
      </c>
      <c r="CK283" s="19">
        <v>0</v>
      </c>
      <c r="CL283" s="19">
        <v>0</v>
      </c>
      <c r="CM283" s="19">
        <v>0</v>
      </c>
      <c r="CN283" s="19">
        <v>0</v>
      </c>
      <c r="CO283" s="19">
        <v>0</v>
      </c>
      <c r="CP283" s="19">
        <v>0</v>
      </c>
      <c r="CQ283" s="19">
        <v>0</v>
      </c>
      <c r="CR283" s="19">
        <v>0</v>
      </c>
      <c r="CS283" s="19">
        <v>0</v>
      </c>
      <c r="CT283" s="19">
        <v>0</v>
      </c>
      <c r="CU283" s="19">
        <v>0</v>
      </c>
      <c r="CV283" s="19">
        <v>0</v>
      </c>
      <c r="CW283" s="19">
        <v>0</v>
      </c>
      <c r="CX283" s="19">
        <v>0</v>
      </c>
      <c r="CY283" s="19">
        <v>0</v>
      </c>
      <c r="CZ283" s="19">
        <v>0</v>
      </c>
      <c r="DA283" s="19">
        <v>0</v>
      </c>
      <c r="DB283" s="19">
        <v>0</v>
      </c>
      <c r="DC283" s="19">
        <v>0</v>
      </c>
      <c r="DD283" s="19">
        <v>0</v>
      </c>
      <c r="DE283" s="19">
        <v>0</v>
      </c>
      <c r="DF283" s="19">
        <v>0</v>
      </c>
      <c r="DG283" s="19">
        <v>0</v>
      </c>
    </row>
    <row r="284" spans="2:111" x14ac:dyDescent="0.15">
      <c r="B284" s="19" t="str">
        <f t="shared" si="4"/>
        <v>3_女_32</v>
      </c>
      <c r="C284" s="18">
        <v>3</v>
      </c>
      <c r="D284" s="18" t="s">
        <v>2</v>
      </c>
      <c r="E284" s="18">
        <v>32</v>
      </c>
      <c r="F284" s="19">
        <v>5908.4</v>
      </c>
      <c r="G284" s="19">
        <v>13417.4</v>
      </c>
      <c r="H284" s="19">
        <v>22257.8</v>
      </c>
      <c r="I284" s="19">
        <v>23365.200000000001</v>
      </c>
      <c r="J284" s="19">
        <v>23527.9</v>
      </c>
      <c r="K284" s="19">
        <v>23698.2</v>
      </c>
      <c r="L284" s="19">
        <v>23876.6</v>
      </c>
      <c r="M284" s="19">
        <v>24063.4</v>
      </c>
      <c r="N284" s="19">
        <v>24258.9</v>
      </c>
      <c r="O284" s="19">
        <v>24463.599999999999</v>
      </c>
      <c r="P284" s="19">
        <v>24677.8</v>
      </c>
      <c r="Q284" s="19">
        <v>24902.1</v>
      </c>
      <c r="R284" s="19">
        <v>25136.799999999999</v>
      </c>
      <c r="S284" s="19">
        <v>25382.6</v>
      </c>
      <c r="T284" s="19">
        <v>25639.8</v>
      </c>
      <c r="U284" s="19">
        <v>25909.1</v>
      </c>
      <c r="V284" s="19">
        <v>26191</v>
      </c>
      <c r="W284" s="19">
        <v>26486.1</v>
      </c>
      <c r="X284" s="19">
        <v>26795.200000000001</v>
      </c>
      <c r="Y284" s="19">
        <v>27118.7</v>
      </c>
      <c r="Z284" s="19">
        <v>27457.599999999999</v>
      </c>
      <c r="AA284" s="19">
        <v>27812.400000000001</v>
      </c>
      <c r="AB284" s="19">
        <v>28184.1</v>
      </c>
      <c r="AC284" s="19">
        <v>28573.4</v>
      </c>
      <c r="AD284" s="19">
        <v>28981.4</v>
      </c>
      <c r="AE284" s="19">
        <v>29408.9</v>
      </c>
      <c r="AF284" s="19">
        <v>29857.1</v>
      </c>
      <c r="AG284" s="19">
        <v>29327.1</v>
      </c>
      <c r="AH284" s="19">
        <v>0</v>
      </c>
      <c r="AI284" s="19">
        <v>0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0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0</v>
      </c>
      <c r="BD284" s="19">
        <v>0</v>
      </c>
      <c r="BE284" s="19">
        <v>0</v>
      </c>
      <c r="BF284" s="19">
        <v>0</v>
      </c>
      <c r="BG284" s="19">
        <v>0</v>
      </c>
      <c r="BH284" s="19">
        <v>0</v>
      </c>
      <c r="BI284" s="19">
        <v>0</v>
      </c>
      <c r="BJ284" s="19">
        <v>0</v>
      </c>
      <c r="BK284" s="19">
        <v>0</v>
      </c>
      <c r="BL284" s="19">
        <v>0</v>
      </c>
      <c r="BM284" s="19">
        <v>0</v>
      </c>
      <c r="BN284" s="19">
        <v>0</v>
      </c>
      <c r="BO284" s="19">
        <v>0</v>
      </c>
      <c r="BP284" s="19">
        <v>0</v>
      </c>
      <c r="BQ284" s="19">
        <v>0</v>
      </c>
      <c r="BR284" s="19">
        <v>0</v>
      </c>
      <c r="BS284" s="19">
        <v>0</v>
      </c>
      <c r="BT284" s="19">
        <v>0</v>
      </c>
      <c r="BU284" s="19">
        <v>0</v>
      </c>
      <c r="BV284" s="19">
        <v>0</v>
      </c>
      <c r="BW284" s="19">
        <v>0</v>
      </c>
      <c r="BX284" s="19">
        <v>0</v>
      </c>
      <c r="BY284" s="19">
        <v>0</v>
      </c>
      <c r="BZ284" s="19">
        <v>0</v>
      </c>
      <c r="CA284" s="19">
        <v>0</v>
      </c>
      <c r="CB284" s="19">
        <v>0</v>
      </c>
      <c r="CC284" s="19">
        <v>0</v>
      </c>
      <c r="CD284" s="19">
        <v>0</v>
      </c>
      <c r="CE284" s="19">
        <v>0</v>
      </c>
      <c r="CF284" s="19">
        <v>0</v>
      </c>
      <c r="CG284" s="19">
        <v>0</v>
      </c>
      <c r="CH284" s="19">
        <v>0</v>
      </c>
      <c r="CI284" s="19">
        <v>0</v>
      </c>
      <c r="CJ284" s="19">
        <v>0</v>
      </c>
      <c r="CK284" s="19">
        <v>0</v>
      </c>
      <c r="CL284" s="19">
        <v>0</v>
      </c>
      <c r="CM284" s="19">
        <v>0</v>
      </c>
      <c r="CN284" s="19">
        <v>0</v>
      </c>
      <c r="CO284" s="19">
        <v>0</v>
      </c>
      <c r="CP284" s="19">
        <v>0</v>
      </c>
      <c r="CQ284" s="19">
        <v>0</v>
      </c>
      <c r="CR284" s="19">
        <v>0</v>
      </c>
      <c r="CS284" s="19">
        <v>0</v>
      </c>
      <c r="CT284" s="19">
        <v>0</v>
      </c>
      <c r="CU284" s="19">
        <v>0</v>
      </c>
      <c r="CV284" s="19">
        <v>0</v>
      </c>
      <c r="CW284" s="19">
        <v>0</v>
      </c>
      <c r="CX284" s="19">
        <v>0</v>
      </c>
      <c r="CY284" s="19">
        <v>0</v>
      </c>
      <c r="CZ284" s="19">
        <v>0</v>
      </c>
      <c r="DA284" s="19">
        <v>0</v>
      </c>
      <c r="DB284" s="19">
        <v>0</v>
      </c>
      <c r="DC284" s="19">
        <v>0</v>
      </c>
      <c r="DD284" s="19">
        <v>0</v>
      </c>
      <c r="DE284" s="19">
        <v>0</v>
      </c>
      <c r="DF284" s="19">
        <v>0</v>
      </c>
      <c r="DG284" s="19">
        <v>0</v>
      </c>
    </row>
    <row r="285" spans="2:111" x14ac:dyDescent="0.15">
      <c r="B285" s="19" t="str">
        <f t="shared" si="4"/>
        <v>3_女_33</v>
      </c>
      <c r="C285" s="18">
        <v>3</v>
      </c>
      <c r="D285" s="18" t="s">
        <v>2</v>
      </c>
      <c r="E285" s="18">
        <v>33</v>
      </c>
      <c r="F285" s="19">
        <v>5950</v>
      </c>
      <c r="G285" s="19">
        <v>13511.8</v>
      </c>
      <c r="H285" s="19">
        <v>22414.2</v>
      </c>
      <c r="I285" s="19">
        <v>23528.9</v>
      </c>
      <c r="J285" s="19">
        <v>23699.3</v>
      </c>
      <c r="K285" s="19">
        <v>23877.7</v>
      </c>
      <c r="L285" s="19">
        <v>24064.5</v>
      </c>
      <c r="M285" s="19">
        <v>24260.1</v>
      </c>
      <c r="N285" s="19">
        <v>24464.799999999999</v>
      </c>
      <c r="O285" s="19">
        <v>24679</v>
      </c>
      <c r="P285" s="19">
        <v>24903.3</v>
      </c>
      <c r="Q285" s="19">
        <v>25138</v>
      </c>
      <c r="R285" s="19">
        <v>25383.7</v>
      </c>
      <c r="S285" s="19">
        <v>25641</v>
      </c>
      <c r="T285" s="19">
        <v>25910.2</v>
      </c>
      <c r="U285" s="19">
        <v>26192.1</v>
      </c>
      <c r="V285" s="19">
        <v>26487.200000000001</v>
      </c>
      <c r="W285" s="19">
        <v>26796.2</v>
      </c>
      <c r="X285" s="19">
        <v>27119.7</v>
      </c>
      <c r="Y285" s="19">
        <v>27458.5</v>
      </c>
      <c r="Z285" s="19">
        <v>27813.200000000001</v>
      </c>
      <c r="AA285" s="19">
        <v>28184.799999999999</v>
      </c>
      <c r="AB285" s="19">
        <v>28574.1</v>
      </c>
      <c r="AC285" s="19">
        <v>28981.9</v>
      </c>
      <c r="AD285" s="19">
        <v>29409.3</v>
      </c>
      <c r="AE285" s="19">
        <v>29857.3</v>
      </c>
      <c r="AF285" s="19">
        <v>29327.1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v>0</v>
      </c>
      <c r="AO285" s="19">
        <v>0</v>
      </c>
      <c r="AP285" s="19">
        <v>0</v>
      </c>
      <c r="AQ285" s="19">
        <v>0</v>
      </c>
      <c r="AR285" s="19">
        <v>0</v>
      </c>
      <c r="AS285" s="19">
        <v>0</v>
      </c>
      <c r="AT285" s="19">
        <v>0</v>
      </c>
      <c r="AU285" s="19">
        <v>0</v>
      </c>
      <c r="AV285" s="19">
        <v>0</v>
      </c>
      <c r="AW285" s="19">
        <v>0</v>
      </c>
      <c r="AX285" s="19">
        <v>0</v>
      </c>
      <c r="AY285" s="19">
        <v>0</v>
      </c>
      <c r="AZ285" s="19">
        <v>0</v>
      </c>
      <c r="BA285" s="19">
        <v>0</v>
      </c>
      <c r="BB285" s="19">
        <v>0</v>
      </c>
      <c r="BC285" s="19">
        <v>0</v>
      </c>
      <c r="BD285" s="19">
        <v>0</v>
      </c>
      <c r="BE285" s="19">
        <v>0</v>
      </c>
      <c r="BF285" s="19">
        <v>0</v>
      </c>
      <c r="BG285" s="19">
        <v>0</v>
      </c>
      <c r="BH285" s="19">
        <v>0</v>
      </c>
      <c r="BI285" s="19">
        <v>0</v>
      </c>
      <c r="BJ285" s="19">
        <v>0</v>
      </c>
      <c r="BK285" s="19">
        <v>0</v>
      </c>
      <c r="BL285" s="19">
        <v>0</v>
      </c>
      <c r="BM285" s="19">
        <v>0</v>
      </c>
      <c r="BN285" s="19">
        <v>0</v>
      </c>
      <c r="BO285" s="19">
        <v>0</v>
      </c>
      <c r="BP285" s="19">
        <v>0</v>
      </c>
      <c r="BQ285" s="19">
        <v>0</v>
      </c>
      <c r="BR285" s="19">
        <v>0</v>
      </c>
      <c r="BS285" s="19">
        <v>0</v>
      </c>
      <c r="BT285" s="19">
        <v>0</v>
      </c>
      <c r="BU285" s="19">
        <v>0</v>
      </c>
      <c r="BV285" s="19">
        <v>0</v>
      </c>
      <c r="BW285" s="19">
        <v>0</v>
      </c>
      <c r="BX285" s="19">
        <v>0</v>
      </c>
      <c r="BY285" s="19">
        <v>0</v>
      </c>
      <c r="BZ285" s="19">
        <v>0</v>
      </c>
      <c r="CA285" s="19">
        <v>0</v>
      </c>
      <c r="CB285" s="19">
        <v>0</v>
      </c>
      <c r="CC285" s="19">
        <v>0</v>
      </c>
      <c r="CD285" s="19">
        <v>0</v>
      </c>
      <c r="CE285" s="19">
        <v>0</v>
      </c>
      <c r="CF285" s="19">
        <v>0</v>
      </c>
      <c r="CG285" s="19">
        <v>0</v>
      </c>
      <c r="CH285" s="19">
        <v>0</v>
      </c>
      <c r="CI285" s="19">
        <v>0</v>
      </c>
      <c r="CJ285" s="19">
        <v>0</v>
      </c>
      <c r="CK285" s="19">
        <v>0</v>
      </c>
      <c r="CL285" s="19">
        <v>0</v>
      </c>
      <c r="CM285" s="19">
        <v>0</v>
      </c>
      <c r="CN285" s="19">
        <v>0</v>
      </c>
      <c r="CO285" s="19">
        <v>0</v>
      </c>
      <c r="CP285" s="19">
        <v>0</v>
      </c>
      <c r="CQ285" s="19">
        <v>0</v>
      </c>
      <c r="CR285" s="19">
        <v>0</v>
      </c>
      <c r="CS285" s="19">
        <v>0</v>
      </c>
      <c r="CT285" s="19">
        <v>0</v>
      </c>
      <c r="CU285" s="19">
        <v>0</v>
      </c>
      <c r="CV285" s="19">
        <v>0</v>
      </c>
      <c r="CW285" s="19">
        <v>0</v>
      </c>
      <c r="CX285" s="19">
        <v>0</v>
      </c>
      <c r="CY285" s="19">
        <v>0</v>
      </c>
      <c r="CZ285" s="19">
        <v>0</v>
      </c>
      <c r="DA285" s="19">
        <v>0</v>
      </c>
      <c r="DB285" s="19">
        <v>0</v>
      </c>
      <c r="DC285" s="19">
        <v>0</v>
      </c>
      <c r="DD285" s="19">
        <v>0</v>
      </c>
      <c r="DE285" s="19">
        <v>0</v>
      </c>
      <c r="DF285" s="19">
        <v>0</v>
      </c>
      <c r="DG285" s="19">
        <v>0</v>
      </c>
    </row>
    <row r="286" spans="2:111" x14ac:dyDescent="0.15">
      <c r="B286" s="19" t="str">
        <f t="shared" si="4"/>
        <v>3_女_34</v>
      </c>
      <c r="C286" s="18">
        <v>3</v>
      </c>
      <c r="D286" s="18" t="s">
        <v>2</v>
      </c>
      <c r="E286" s="18">
        <v>34</v>
      </c>
      <c r="F286" s="19">
        <v>5993.6</v>
      </c>
      <c r="G286" s="19">
        <v>13610.7</v>
      </c>
      <c r="H286" s="19">
        <v>22578</v>
      </c>
      <c r="I286" s="19">
        <v>23700.400000000001</v>
      </c>
      <c r="J286" s="19">
        <v>23878.9</v>
      </c>
      <c r="K286" s="19">
        <v>24065.7</v>
      </c>
      <c r="L286" s="19">
        <v>24261.200000000001</v>
      </c>
      <c r="M286" s="19">
        <v>24465.9</v>
      </c>
      <c r="N286" s="19">
        <v>24680.2</v>
      </c>
      <c r="O286" s="19">
        <v>24904.5</v>
      </c>
      <c r="P286" s="19">
        <v>25139.200000000001</v>
      </c>
      <c r="Q286" s="19">
        <v>25384.9</v>
      </c>
      <c r="R286" s="19">
        <v>25642.2</v>
      </c>
      <c r="S286" s="19">
        <v>25911.4</v>
      </c>
      <c r="T286" s="19">
        <v>26193.3</v>
      </c>
      <c r="U286" s="19">
        <v>26488.400000000001</v>
      </c>
      <c r="V286" s="19">
        <v>26797.3</v>
      </c>
      <c r="W286" s="19">
        <v>27120.799999999999</v>
      </c>
      <c r="X286" s="19">
        <v>27459.5</v>
      </c>
      <c r="Y286" s="19">
        <v>27814.1</v>
      </c>
      <c r="Z286" s="19">
        <v>28185.599999999999</v>
      </c>
      <c r="AA286" s="19">
        <v>28574.7</v>
      </c>
      <c r="AB286" s="19">
        <v>28982.400000000001</v>
      </c>
      <c r="AC286" s="19">
        <v>29409.7</v>
      </c>
      <c r="AD286" s="19">
        <v>29857.5</v>
      </c>
      <c r="AE286" s="19">
        <v>29327.1</v>
      </c>
      <c r="AF286" s="19">
        <v>0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0</v>
      </c>
      <c r="AR286" s="19">
        <v>0</v>
      </c>
      <c r="AS286" s="19">
        <v>0</v>
      </c>
      <c r="AT286" s="19">
        <v>0</v>
      </c>
      <c r="AU286" s="19">
        <v>0</v>
      </c>
      <c r="AV286" s="19">
        <v>0</v>
      </c>
      <c r="AW286" s="19">
        <v>0</v>
      </c>
      <c r="AX286" s="19">
        <v>0</v>
      </c>
      <c r="AY286" s="19">
        <v>0</v>
      </c>
      <c r="AZ286" s="19">
        <v>0</v>
      </c>
      <c r="BA286" s="19">
        <v>0</v>
      </c>
      <c r="BB286" s="19">
        <v>0</v>
      </c>
      <c r="BC286" s="19">
        <v>0</v>
      </c>
      <c r="BD286" s="19">
        <v>0</v>
      </c>
      <c r="BE286" s="19">
        <v>0</v>
      </c>
      <c r="BF286" s="19">
        <v>0</v>
      </c>
      <c r="BG286" s="19">
        <v>0</v>
      </c>
      <c r="BH286" s="19">
        <v>0</v>
      </c>
      <c r="BI286" s="19">
        <v>0</v>
      </c>
      <c r="BJ286" s="19">
        <v>0</v>
      </c>
      <c r="BK286" s="19">
        <v>0</v>
      </c>
      <c r="BL286" s="19">
        <v>0</v>
      </c>
      <c r="BM286" s="19">
        <v>0</v>
      </c>
      <c r="BN286" s="19">
        <v>0</v>
      </c>
      <c r="BO286" s="19">
        <v>0</v>
      </c>
      <c r="BP286" s="19">
        <v>0</v>
      </c>
      <c r="BQ286" s="19">
        <v>0</v>
      </c>
      <c r="BR286" s="19">
        <v>0</v>
      </c>
      <c r="BS286" s="19">
        <v>0</v>
      </c>
      <c r="BT286" s="19">
        <v>0</v>
      </c>
      <c r="BU286" s="19">
        <v>0</v>
      </c>
      <c r="BV286" s="19">
        <v>0</v>
      </c>
      <c r="BW286" s="19">
        <v>0</v>
      </c>
      <c r="BX286" s="19">
        <v>0</v>
      </c>
      <c r="BY286" s="19">
        <v>0</v>
      </c>
      <c r="BZ286" s="19">
        <v>0</v>
      </c>
      <c r="CA286" s="19">
        <v>0</v>
      </c>
      <c r="CB286" s="19">
        <v>0</v>
      </c>
      <c r="CC286" s="19">
        <v>0</v>
      </c>
      <c r="CD286" s="19">
        <v>0</v>
      </c>
      <c r="CE286" s="19">
        <v>0</v>
      </c>
      <c r="CF286" s="19">
        <v>0</v>
      </c>
      <c r="CG286" s="19">
        <v>0</v>
      </c>
      <c r="CH286" s="19">
        <v>0</v>
      </c>
      <c r="CI286" s="19">
        <v>0</v>
      </c>
      <c r="CJ286" s="19">
        <v>0</v>
      </c>
      <c r="CK286" s="19">
        <v>0</v>
      </c>
      <c r="CL286" s="19">
        <v>0</v>
      </c>
      <c r="CM286" s="19">
        <v>0</v>
      </c>
      <c r="CN286" s="19">
        <v>0</v>
      </c>
      <c r="CO286" s="19">
        <v>0</v>
      </c>
      <c r="CP286" s="19">
        <v>0</v>
      </c>
      <c r="CQ286" s="19">
        <v>0</v>
      </c>
      <c r="CR286" s="19">
        <v>0</v>
      </c>
      <c r="CS286" s="19">
        <v>0</v>
      </c>
      <c r="CT286" s="19">
        <v>0</v>
      </c>
      <c r="CU286" s="19">
        <v>0</v>
      </c>
      <c r="CV286" s="19">
        <v>0</v>
      </c>
      <c r="CW286" s="19">
        <v>0</v>
      </c>
      <c r="CX286" s="19">
        <v>0</v>
      </c>
      <c r="CY286" s="19">
        <v>0</v>
      </c>
      <c r="CZ286" s="19">
        <v>0</v>
      </c>
      <c r="DA286" s="19">
        <v>0</v>
      </c>
      <c r="DB286" s="19">
        <v>0</v>
      </c>
      <c r="DC286" s="19">
        <v>0</v>
      </c>
      <c r="DD286" s="19">
        <v>0</v>
      </c>
      <c r="DE286" s="19">
        <v>0</v>
      </c>
      <c r="DF286" s="19">
        <v>0</v>
      </c>
      <c r="DG286" s="19">
        <v>0</v>
      </c>
    </row>
    <row r="287" spans="2:111" x14ac:dyDescent="0.15">
      <c r="B287" s="19" t="str">
        <f t="shared" si="4"/>
        <v>3_女_35</v>
      </c>
      <c r="C287" s="18">
        <v>3</v>
      </c>
      <c r="D287" s="18" t="s">
        <v>2</v>
      </c>
      <c r="E287" s="18">
        <v>35</v>
      </c>
      <c r="F287" s="19">
        <v>6039.2</v>
      </c>
      <c r="G287" s="19">
        <v>13714.3</v>
      </c>
      <c r="H287" s="19">
        <v>22749.7</v>
      </c>
      <c r="I287" s="19">
        <v>23880.1</v>
      </c>
      <c r="J287" s="19">
        <v>24066.9</v>
      </c>
      <c r="K287" s="19">
        <v>24262.5</v>
      </c>
      <c r="L287" s="19">
        <v>24467.200000000001</v>
      </c>
      <c r="M287" s="19">
        <v>24681.5</v>
      </c>
      <c r="N287" s="19">
        <v>24905.7</v>
      </c>
      <c r="O287" s="19">
        <v>25140.5</v>
      </c>
      <c r="P287" s="19">
        <v>25386.2</v>
      </c>
      <c r="Q287" s="19">
        <v>25643.4</v>
      </c>
      <c r="R287" s="19">
        <v>25912.6</v>
      </c>
      <c r="S287" s="19">
        <v>26194.5</v>
      </c>
      <c r="T287" s="19">
        <v>26489.5</v>
      </c>
      <c r="U287" s="19">
        <v>26798.400000000001</v>
      </c>
      <c r="V287" s="19">
        <v>27121.8</v>
      </c>
      <c r="W287" s="19">
        <v>27460.400000000001</v>
      </c>
      <c r="X287" s="19">
        <v>27815</v>
      </c>
      <c r="Y287" s="19">
        <v>28186.400000000001</v>
      </c>
      <c r="Z287" s="19">
        <v>28575.4</v>
      </c>
      <c r="AA287" s="19">
        <v>28983</v>
      </c>
      <c r="AB287" s="19">
        <v>29410.1</v>
      </c>
      <c r="AC287" s="19">
        <v>29857.7</v>
      </c>
      <c r="AD287" s="19">
        <v>29327.1</v>
      </c>
      <c r="AE287" s="19">
        <v>0</v>
      </c>
      <c r="AF287" s="19">
        <v>0</v>
      </c>
      <c r="AG287" s="19">
        <v>0</v>
      </c>
      <c r="AH287" s="19">
        <v>0</v>
      </c>
      <c r="AI287" s="19">
        <v>0</v>
      </c>
      <c r="AJ287" s="19">
        <v>0</v>
      </c>
      <c r="AK287" s="19">
        <v>0</v>
      </c>
      <c r="AL287" s="19">
        <v>0</v>
      </c>
      <c r="AM287" s="19">
        <v>0</v>
      </c>
      <c r="AN287" s="19">
        <v>0</v>
      </c>
      <c r="AO287" s="19">
        <v>0</v>
      </c>
      <c r="AP287" s="19">
        <v>0</v>
      </c>
      <c r="AQ287" s="19">
        <v>0</v>
      </c>
      <c r="AR287" s="19">
        <v>0</v>
      </c>
      <c r="AS287" s="19">
        <v>0</v>
      </c>
      <c r="AT287" s="19">
        <v>0</v>
      </c>
      <c r="AU287" s="19">
        <v>0</v>
      </c>
      <c r="AV287" s="19">
        <v>0</v>
      </c>
      <c r="AW287" s="19">
        <v>0</v>
      </c>
      <c r="AX287" s="19">
        <v>0</v>
      </c>
      <c r="AY287" s="19">
        <v>0</v>
      </c>
      <c r="AZ287" s="19">
        <v>0</v>
      </c>
      <c r="BA287" s="19">
        <v>0</v>
      </c>
      <c r="BB287" s="19">
        <v>0</v>
      </c>
      <c r="BC287" s="19">
        <v>0</v>
      </c>
      <c r="BD287" s="19">
        <v>0</v>
      </c>
      <c r="BE287" s="19">
        <v>0</v>
      </c>
      <c r="BF287" s="19">
        <v>0</v>
      </c>
      <c r="BG287" s="19">
        <v>0</v>
      </c>
      <c r="BH287" s="19">
        <v>0</v>
      </c>
      <c r="BI287" s="19">
        <v>0</v>
      </c>
      <c r="BJ287" s="19">
        <v>0</v>
      </c>
      <c r="BK287" s="19">
        <v>0</v>
      </c>
      <c r="BL287" s="19">
        <v>0</v>
      </c>
      <c r="BM287" s="19">
        <v>0</v>
      </c>
      <c r="BN287" s="19">
        <v>0</v>
      </c>
      <c r="BO287" s="19">
        <v>0</v>
      </c>
      <c r="BP287" s="19">
        <v>0</v>
      </c>
      <c r="BQ287" s="19">
        <v>0</v>
      </c>
      <c r="BR287" s="19">
        <v>0</v>
      </c>
      <c r="BS287" s="19">
        <v>0</v>
      </c>
      <c r="BT287" s="19">
        <v>0</v>
      </c>
      <c r="BU287" s="19">
        <v>0</v>
      </c>
      <c r="BV287" s="19">
        <v>0</v>
      </c>
      <c r="BW287" s="19">
        <v>0</v>
      </c>
      <c r="BX287" s="19">
        <v>0</v>
      </c>
      <c r="BY287" s="19">
        <v>0</v>
      </c>
      <c r="BZ287" s="19">
        <v>0</v>
      </c>
      <c r="CA287" s="19">
        <v>0</v>
      </c>
      <c r="CB287" s="19">
        <v>0</v>
      </c>
      <c r="CC287" s="19">
        <v>0</v>
      </c>
      <c r="CD287" s="19">
        <v>0</v>
      </c>
      <c r="CE287" s="19">
        <v>0</v>
      </c>
      <c r="CF287" s="19">
        <v>0</v>
      </c>
      <c r="CG287" s="19">
        <v>0</v>
      </c>
      <c r="CH287" s="19">
        <v>0</v>
      </c>
      <c r="CI287" s="19">
        <v>0</v>
      </c>
      <c r="CJ287" s="19">
        <v>0</v>
      </c>
      <c r="CK287" s="19">
        <v>0</v>
      </c>
      <c r="CL287" s="19">
        <v>0</v>
      </c>
      <c r="CM287" s="19">
        <v>0</v>
      </c>
      <c r="CN287" s="19">
        <v>0</v>
      </c>
      <c r="CO287" s="19">
        <v>0</v>
      </c>
      <c r="CP287" s="19">
        <v>0</v>
      </c>
      <c r="CQ287" s="19">
        <v>0</v>
      </c>
      <c r="CR287" s="19">
        <v>0</v>
      </c>
      <c r="CS287" s="19">
        <v>0</v>
      </c>
      <c r="CT287" s="19">
        <v>0</v>
      </c>
      <c r="CU287" s="19">
        <v>0</v>
      </c>
      <c r="CV287" s="19">
        <v>0</v>
      </c>
      <c r="CW287" s="19">
        <v>0</v>
      </c>
      <c r="CX287" s="19">
        <v>0</v>
      </c>
      <c r="CY287" s="19">
        <v>0</v>
      </c>
      <c r="CZ287" s="19">
        <v>0</v>
      </c>
      <c r="DA287" s="19">
        <v>0</v>
      </c>
      <c r="DB287" s="19">
        <v>0</v>
      </c>
      <c r="DC287" s="19">
        <v>0</v>
      </c>
      <c r="DD287" s="19">
        <v>0</v>
      </c>
      <c r="DE287" s="19">
        <v>0</v>
      </c>
      <c r="DF287" s="19">
        <v>0</v>
      </c>
      <c r="DG287" s="19">
        <v>0</v>
      </c>
    </row>
    <row r="288" spans="2:111" x14ac:dyDescent="0.15">
      <c r="B288" s="19" t="str">
        <f t="shared" si="4"/>
        <v>3_女_36</v>
      </c>
      <c r="C288" s="18">
        <v>3</v>
      </c>
      <c r="D288" s="18" t="s">
        <v>2</v>
      </c>
      <c r="E288" s="18">
        <v>36</v>
      </c>
      <c r="F288" s="19">
        <v>6087.1</v>
      </c>
      <c r="G288" s="19">
        <v>13822.8</v>
      </c>
      <c r="H288" s="19">
        <v>22929.4</v>
      </c>
      <c r="I288" s="19">
        <v>24068.1</v>
      </c>
      <c r="J288" s="19">
        <v>24263.7</v>
      </c>
      <c r="K288" s="19">
        <v>24468.400000000001</v>
      </c>
      <c r="L288" s="19">
        <v>24682.7</v>
      </c>
      <c r="M288" s="19">
        <v>24907</v>
      </c>
      <c r="N288" s="19">
        <v>25141.8</v>
      </c>
      <c r="O288" s="19">
        <v>25387.5</v>
      </c>
      <c r="P288" s="19">
        <v>25644.7</v>
      </c>
      <c r="Q288" s="19">
        <v>25913.9</v>
      </c>
      <c r="R288" s="19">
        <v>26195.7</v>
      </c>
      <c r="S288" s="19">
        <v>26490.7</v>
      </c>
      <c r="T288" s="19">
        <v>26799.599999999999</v>
      </c>
      <c r="U288" s="19">
        <v>27122.9</v>
      </c>
      <c r="V288" s="19">
        <v>27461.5</v>
      </c>
      <c r="W288" s="19">
        <v>27816</v>
      </c>
      <c r="X288" s="19">
        <v>28187.3</v>
      </c>
      <c r="Y288" s="19">
        <v>28576.1</v>
      </c>
      <c r="Z288" s="19">
        <v>28983.5</v>
      </c>
      <c r="AA288" s="19">
        <v>29410.5</v>
      </c>
      <c r="AB288" s="19">
        <v>29857.9</v>
      </c>
      <c r="AC288" s="19">
        <v>29327.1</v>
      </c>
      <c r="AD288" s="19">
        <v>0</v>
      </c>
      <c r="AE288" s="19">
        <v>0</v>
      </c>
      <c r="AF288" s="19">
        <v>0</v>
      </c>
      <c r="AG288" s="19">
        <v>0</v>
      </c>
      <c r="AH288" s="19">
        <v>0</v>
      </c>
      <c r="AI288" s="19">
        <v>0</v>
      </c>
      <c r="AJ288" s="19">
        <v>0</v>
      </c>
      <c r="AK288" s="19">
        <v>0</v>
      </c>
      <c r="AL288" s="19">
        <v>0</v>
      </c>
      <c r="AM288" s="19">
        <v>0</v>
      </c>
      <c r="AN288" s="19">
        <v>0</v>
      </c>
      <c r="AO288" s="19">
        <v>0</v>
      </c>
      <c r="AP288" s="19">
        <v>0</v>
      </c>
      <c r="AQ288" s="19">
        <v>0</v>
      </c>
      <c r="AR288" s="19">
        <v>0</v>
      </c>
      <c r="AS288" s="19">
        <v>0</v>
      </c>
      <c r="AT288" s="19">
        <v>0</v>
      </c>
      <c r="AU288" s="19">
        <v>0</v>
      </c>
      <c r="AV288" s="19">
        <v>0</v>
      </c>
      <c r="AW288" s="19">
        <v>0</v>
      </c>
      <c r="AX288" s="19">
        <v>0</v>
      </c>
      <c r="AY288" s="19">
        <v>0</v>
      </c>
      <c r="AZ288" s="19">
        <v>0</v>
      </c>
      <c r="BA288" s="19">
        <v>0</v>
      </c>
      <c r="BB288" s="19">
        <v>0</v>
      </c>
      <c r="BC288" s="19">
        <v>0</v>
      </c>
      <c r="BD288" s="19">
        <v>0</v>
      </c>
      <c r="BE288" s="19">
        <v>0</v>
      </c>
      <c r="BF288" s="19">
        <v>0</v>
      </c>
      <c r="BG288" s="19">
        <v>0</v>
      </c>
      <c r="BH288" s="19">
        <v>0</v>
      </c>
      <c r="BI288" s="19">
        <v>0</v>
      </c>
      <c r="BJ288" s="19">
        <v>0</v>
      </c>
      <c r="BK288" s="19">
        <v>0</v>
      </c>
      <c r="BL288" s="19">
        <v>0</v>
      </c>
      <c r="BM288" s="19">
        <v>0</v>
      </c>
      <c r="BN288" s="19">
        <v>0</v>
      </c>
      <c r="BO288" s="19">
        <v>0</v>
      </c>
      <c r="BP288" s="19">
        <v>0</v>
      </c>
      <c r="BQ288" s="19">
        <v>0</v>
      </c>
      <c r="BR288" s="19">
        <v>0</v>
      </c>
      <c r="BS288" s="19">
        <v>0</v>
      </c>
      <c r="BT288" s="19">
        <v>0</v>
      </c>
      <c r="BU288" s="19">
        <v>0</v>
      </c>
      <c r="BV288" s="19">
        <v>0</v>
      </c>
      <c r="BW288" s="19">
        <v>0</v>
      </c>
      <c r="BX288" s="19">
        <v>0</v>
      </c>
      <c r="BY288" s="19">
        <v>0</v>
      </c>
      <c r="BZ288" s="19">
        <v>0</v>
      </c>
      <c r="CA288" s="19">
        <v>0</v>
      </c>
      <c r="CB288" s="19">
        <v>0</v>
      </c>
      <c r="CC288" s="19">
        <v>0</v>
      </c>
      <c r="CD288" s="19">
        <v>0</v>
      </c>
      <c r="CE288" s="19">
        <v>0</v>
      </c>
      <c r="CF288" s="19">
        <v>0</v>
      </c>
      <c r="CG288" s="19">
        <v>0</v>
      </c>
      <c r="CH288" s="19">
        <v>0</v>
      </c>
      <c r="CI288" s="19">
        <v>0</v>
      </c>
      <c r="CJ288" s="19">
        <v>0</v>
      </c>
      <c r="CK288" s="19">
        <v>0</v>
      </c>
      <c r="CL288" s="19">
        <v>0</v>
      </c>
      <c r="CM288" s="19">
        <v>0</v>
      </c>
      <c r="CN288" s="19">
        <v>0</v>
      </c>
      <c r="CO288" s="19">
        <v>0</v>
      </c>
      <c r="CP288" s="19">
        <v>0</v>
      </c>
      <c r="CQ288" s="19">
        <v>0</v>
      </c>
      <c r="CR288" s="19">
        <v>0</v>
      </c>
      <c r="CS288" s="19">
        <v>0</v>
      </c>
      <c r="CT288" s="19">
        <v>0</v>
      </c>
      <c r="CU288" s="19">
        <v>0</v>
      </c>
      <c r="CV288" s="19">
        <v>0</v>
      </c>
      <c r="CW288" s="19">
        <v>0</v>
      </c>
      <c r="CX288" s="19">
        <v>0</v>
      </c>
      <c r="CY288" s="19">
        <v>0</v>
      </c>
      <c r="CZ288" s="19">
        <v>0</v>
      </c>
      <c r="DA288" s="19">
        <v>0</v>
      </c>
      <c r="DB288" s="19">
        <v>0</v>
      </c>
      <c r="DC288" s="19">
        <v>0</v>
      </c>
      <c r="DD288" s="19">
        <v>0</v>
      </c>
      <c r="DE288" s="19">
        <v>0</v>
      </c>
      <c r="DF288" s="19">
        <v>0</v>
      </c>
      <c r="DG288" s="19">
        <v>0</v>
      </c>
    </row>
    <row r="289" spans="2:111" x14ac:dyDescent="0.15">
      <c r="B289" s="19" t="str">
        <f t="shared" si="4"/>
        <v>3_女_37</v>
      </c>
      <c r="C289" s="18">
        <v>3</v>
      </c>
      <c r="D289" s="18" t="s">
        <v>2</v>
      </c>
      <c r="E289" s="18">
        <v>37</v>
      </c>
      <c r="F289" s="19">
        <v>6137.2</v>
      </c>
      <c r="G289" s="19">
        <v>13936.4</v>
      </c>
      <c r="H289" s="19">
        <v>23117.5</v>
      </c>
      <c r="I289" s="19">
        <v>24265</v>
      </c>
      <c r="J289" s="19">
        <v>24469.7</v>
      </c>
      <c r="K289" s="19">
        <v>24684</v>
      </c>
      <c r="L289" s="19">
        <v>24908.3</v>
      </c>
      <c r="M289" s="19">
        <v>25143.1</v>
      </c>
      <c r="N289" s="19">
        <v>25388.799999999999</v>
      </c>
      <c r="O289" s="19">
        <v>25646</v>
      </c>
      <c r="P289" s="19">
        <v>25915.200000000001</v>
      </c>
      <c r="Q289" s="19">
        <v>26197</v>
      </c>
      <c r="R289" s="19">
        <v>26491.9</v>
      </c>
      <c r="S289" s="19">
        <v>26800.7</v>
      </c>
      <c r="T289" s="19">
        <v>27124</v>
      </c>
      <c r="U289" s="19">
        <v>27462.5</v>
      </c>
      <c r="V289" s="19">
        <v>27816.9</v>
      </c>
      <c r="W289" s="19">
        <v>28188.1</v>
      </c>
      <c r="X289" s="19">
        <v>28576.9</v>
      </c>
      <c r="Y289" s="19">
        <v>28984.1</v>
      </c>
      <c r="Z289" s="19">
        <v>29410.9</v>
      </c>
      <c r="AA289" s="19">
        <v>29858.2</v>
      </c>
      <c r="AB289" s="19">
        <v>29327.1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19">
        <v>0</v>
      </c>
      <c r="AM289" s="19">
        <v>0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0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0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0</v>
      </c>
      <c r="BN289" s="19">
        <v>0</v>
      </c>
      <c r="BO289" s="19">
        <v>0</v>
      </c>
      <c r="BP289" s="19">
        <v>0</v>
      </c>
      <c r="BQ289" s="19">
        <v>0</v>
      </c>
      <c r="BR289" s="19">
        <v>0</v>
      </c>
      <c r="BS289" s="19">
        <v>0</v>
      </c>
      <c r="BT289" s="19">
        <v>0</v>
      </c>
      <c r="BU289" s="19">
        <v>0</v>
      </c>
      <c r="BV289" s="19">
        <v>0</v>
      </c>
      <c r="BW289" s="19">
        <v>0</v>
      </c>
      <c r="BX289" s="19">
        <v>0</v>
      </c>
      <c r="BY289" s="19">
        <v>0</v>
      </c>
      <c r="BZ289" s="19">
        <v>0</v>
      </c>
      <c r="CA289" s="19">
        <v>0</v>
      </c>
      <c r="CB289" s="19">
        <v>0</v>
      </c>
      <c r="CC289" s="19">
        <v>0</v>
      </c>
      <c r="CD289" s="19">
        <v>0</v>
      </c>
      <c r="CE289" s="19">
        <v>0</v>
      </c>
      <c r="CF289" s="19">
        <v>0</v>
      </c>
      <c r="CG289" s="19">
        <v>0</v>
      </c>
      <c r="CH289" s="19">
        <v>0</v>
      </c>
      <c r="CI289" s="19">
        <v>0</v>
      </c>
      <c r="CJ289" s="19">
        <v>0</v>
      </c>
      <c r="CK289" s="19">
        <v>0</v>
      </c>
      <c r="CL289" s="19">
        <v>0</v>
      </c>
      <c r="CM289" s="19">
        <v>0</v>
      </c>
      <c r="CN289" s="19">
        <v>0</v>
      </c>
      <c r="CO289" s="19">
        <v>0</v>
      </c>
      <c r="CP289" s="19">
        <v>0</v>
      </c>
      <c r="CQ289" s="19">
        <v>0</v>
      </c>
      <c r="CR289" s="19">
        <v>0</v>
      </c>
      <c r="CS289" s="19">
        <v>0</v>
      </c>
      <c r="CT289" s="19">
        <v>0</v>
      </c>
      <c r="CU289" s="19">
        <v>0</v>
      </c>
      <c r="CV289" s="19">
        <v>0</v>
      </c>
      <c r="CW289" s="19">
        <v>0</v>
      </c>
      <c r="CX289" s="19">
        <v>0</v>
      </c>
      <c r="CY289" s="19">
        <v>0</v>
      </c>
      <c r="CZ289" s="19">
        <v>0</v>
      </c>
      <c r="DA289" s="19">
        <v>0</v>
      </c>
      <c r="DB289" s="19">
        <v>0</v>
      </c>
      <c r="DC289" s="19">
        <v>0</v>
      </c>
      <c r="DD289" s="19">
        <v>0</v>
      </c>
      <c r="DE289" s="19">
        <v>0</v>
      </c>
      <c r="DF289" s="19">
        <v>0</v>
      </c>
      <c r="DG289" s="19">
        <v>0</v>
      </c>
    </row>
    <row r="290" spans="2:111" x14ac:dyDescent="0.15">
      <c r="B290" s="19" t="str">
        <f t="shared" si="4"/>
        <v>3_女_38</v>
      </c>
      <c r="C290" s="18">
        <v>3</v>
      </c>
      <c r="D290" s="18" t="s">
        <v>2</v>
      </c>
      <c r="E290" s="18">
        <v>38</v>
      </c>
      <c r="F290" s="19">
        <v>6189.6</v>
      </c>
      <c r="G290" s="19">
        <v>14055.3</v>
      </c>
      <c r="H290" s="19">
        <v>23314.5</v>
      </c>
      <c r="I290" s="19">
        <v>24471.1</v>
      </c>
      <c r="J290" s="19">
        <v>24685.4</v>
      </c>
      <c r="K290" s="19">
        <v>24909.7</v>
      </c>
      <c r="L290" s="19">
        <v>25144.5</v>
      </c>
      <c r="M290" s="19">
        <v>25390.2</v>
      </c>
      <c r="N290" s="19">
        <v>25647.3</v>
      </c>
      <c r="O290" s="19">
        <v>25916.5</v>
      </c>
      <c r="P290" s="19">
        <v>26198.3</v>
      </c>
      <c r="Q290" s="19">
        <v>26493.200000000001</v>
      </c>
      <c r="R290" s="19">
        <v>26802</v>
      </c>
      <c r="S290" s="19">
        <v>27125.200000000001</v>
      </c>
      <c r="T290" s="19">
        <v>27463.599999999999</v>
      </c>
      <c r="U290" s="19">
        <v>27817.9</v>
      </c>
      <c r="V290" s="19">
        <v>28189</v>
      </c>
      <c r="W290" s="19">
        <v>28577.599999999999</v>
      </c>
      <c r="X290" s="19">
        <v>28984.7</v>
      </c>
      <c r="Y290" s="19">
        <v>29411.3</v>
      </c>
      <c r="Z290" s="19">
        <v>29858.400000000001</v>
      </c>
      <c r="AA290" s="19">
        <v>29327.1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0</v>
      </c>
      <c r="AN290" s="19">
        <v>0</v>
      </c>
      <c r="AO290" s="19">
        <v>0</v>
      </c>
      <c r="AP290" s="19">
        <v>0</v>
      </c>
      <c r="AQ290" s="19">
        <v>0</v>
      </c>
      <c r="AR290" s="19">
        <v>0</v>
      </c>
      <c r="AS290" s="19">
        <v>0</v>
      </c>
      <c r="AT290" s="19">
        <v>0</v>
      </c>
      <c r="AU290" s="19">
        <v>0</v>
      </c>
      <c r="AV290" s="19">
        <v>0</v>
      </c>
      <c r="AW290" s="19">
        <v>0</v>
      </c>
      <c r="AX290" s="19">
        <v>0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0</v>
      </c>
      <c r="BG290" s="19">
        <v>0</v>
      </c>
      <c r="BH290" s="19">
        <v>0</v>
      </c>
      <c r="BI290" s="19">
        <v>0</v>
      </c>
      <c r="BJ290" s="19">
        <v>0</v>
      </c>
      <c r="BK290" s="19">
        <v>0</v>
      </c>
      <c r="BL290" s="19">
        <v>0</v>
      </c>
      <c r="BM290" s="19">
        <v>0</v>
      </c>
      <c r="BN290" s="19">
        <v>0</v>
      </c>
      <c r="BO290" s="19">
        <v>0</v>
      </c>
      <c r="BP290" s="19">
        <v>0</v>
      </c>
      <c r="BQ290" s="19">
        <v>0</v>
      </c>
      <c r="BR290" s="19">
        <v>0</v>
      </c>
      <c r="BS290" s="19">
        <v>0</v>
      </c>
      <c r="BT290" s="19">
        <v>0</v>
      </c>
      <c r="BU290" s="19">
        <v>0</v>
      </c>
      <c r="BV290" s="19">
        <v>0</v>
      </c>
      <c r="BW290" s="19">
        <v>0</v>
      </c>
      <c r="BX290" s="19">
        <v>0</v>
      </c>
      <c r="BY290" s="19">
        <v>0</v>
      </c>
      <c r="BZ290" s="19">
        <v>0</v>
      </c>
      <c r="CA290" s="19">
        <v>0</v>
      </c>
      <c r="CB290" s="19">
        <v>0</v>
      </c>
      <c r="CC290" s="19">
        <v>0</v>
      </c>
      <c r="CD290" s="19">
        <v>0</v>
      </c>
      <c r="CE290" s="19">
        <v>0</v>
      </c>
      <c r="CF290" s="19">
        <v>0</v>
      </c>
      <c r="CG290" s="19">
        <v>0</v>
      </c>
      <c r="CH290" s="19">
        <v>0</v>
      </c>
      <c r="CI290" s="19">
        <v>0</v>
      </c>
      <c r="CJ290" s="19">
        <v>0</v>
      </c>
      <c r="CK290" s="19">
        <v>0</v>
      </c>
      <c r="CL290" s="19">
        <v>0</v>
      </c>
      <c r="CM290" s="19">
        <v>0</v>
      </c>
      <c r="CN290" s="19">
        <v>0</v>
      </c>
      <c r="CO290" s="19">
        <v>0</v>
      </c>
      <c r="CP290" s="19">
        <v>0</v>
      </c>
      <c r="CQ290" s="19">
        <v>0</v>
      </c>
      <c r="CR290" s="19">
        <v>0</v>
      </c>
      <c r="CS290" s="19">
        <v>0</v>
      </c>
      <c r="CT290" s="19">
        <v>0</v>
      </c>
      <c r="CU290" s="19">
        <v>0</v>
      </c>
      <c r="CV290" s="19">
        <v>0</v>
      </c>
      <c r="CW290" s="19">
        <v>0</v>
      </c>
      <c r="CX290" s="19">
        <v>0</v>
      </c>
      <c r="CY290" s="19">
        <v>0</v>
      </c>
      <c r="CZ290" s="19">
        <v>0</v>
      </c>
      <c r="DA290" s="19">
        <v>0</v>
      </c>
      <c r="DB290" s="19">
        <v>0</v>
      </c>
      <c r="DC290" s="19">
        <v>0</v>
      </c>
      <c r="DD290" s="19">
        <v>0</v>
      </c>
      <c r="DE290" s="19">
        <v>0</v>
      </c>
      <c r="DF290" s="19">
        <v>0</v>
      </c>
      <c r="DG290" s="19">
        <v>0</v>
      </c>
    </row>
    <row r="291" spans="2:111" x14ac:dyDescent="0.15">
      <c r="B291" s="19" t="str">
        <f t="shared" si="4"/>
        <v>3_女_39</v>
      </c>
      <c r="C291" s="18">
        <v>3</v>
      </c>
      <c r="D291" s="18" t="s">
        <v>2</v>
      </c>
      <c r="E291" s="18">
        <v>39</v>
      </c>
      <c r="F291" s="19">
        <v>6244.6</v>
      </c>
      <c r="G291" s="19">
        <v>14179.8</v>
      </c>
      <c r="H291" s="19">
        <v>23520.7</v>
      </c>
      <c r="I291" s="19">
        <v>24686.799999999999</v>
      </c>
      <c r="J291" s="19">
        <v>24911.1</v>
      </c>
      <c r="K291" s="19">
        <v>25145.9</v>
      </c>
      <c r="L291" s="19">
        <v>25391.599999999999</v>
      </c>
      <c r="M291" s="19">
        <v>25648.7</v>
      </c>
      <c r="N291" s="19">
        <v>25917.9</v>
      </c>
      <c r="O291" s="19">
        <v>26199.599999999999</v>
      </c>
      <c r="P291" s="19">
        <v>26494.5</v>
      </c>
      <c r="Q291" s="19">
        <v>26803.200000000001</v>
      </c>
      <c r="R291" s="19">
        <v>27126.400000000001</v>
      </c>
      <c r="S291" s="19">
        <v>27464.7</v>
      </c>
      <c r="T291" s="19">
        <v>27819</v>
      </c>
      <c r="U291" s="19">
        <v>28189.9</v>
      </c>
      <c r="V291" s="19">
        <v>28578.400000000001</v>
      </c>
      <c r="W291" s="19">
        <v>28985.4</v>
      </c>
      <c r="X291" s="19">
        <v>29411.8</v>
      </c>
      <c r="Y291" s="19">
        <v>29858.6</v>
      </c>
      <c r="Z291" s="19">
        <v>29327.1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0</v>
      </c>
      <c r="AI291" s="19">
        <v>0</v>
      </c>
      <c r="AJ291" s="19">
        <v>0</v>
      </c>
      <c r="AK291" s="19">
        <v>0</v>
      </c>
      <c r="AL291" s="19">
        <v>0</v>
      </c>
      <c r="AM291" s="19">
        <v>0</v>
      </c>
      <c r="AN291" s="19">
        <v>0</v>
      </c>
      <c r="AO291" s="19">
        <v>0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0</v>
      </c>
      <c r="AV291" s="19">
        <v>0</v>
      </c>
      <c r="AW291" s="19">
        <v>0</v>
      </c>
      <c r="AX291" s="19">
        <v>0</v>
      </c>
      <c r="AY291" s="19">
        <v>0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0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0</v>
      </c>
      <c r="BN291" s="19">
        <v>0</v>
      </c>
      <c r="BO291" s="19">
        <v>0</v>
      </c>
      <c r="BP291" s="19">
        <v>0</v>
      </c>
      <c r="BQ291" s="19">
        <v>0</v>
      </c>
      <c r="BR291" s="19">
        <v>0</v>
      </c>
      <c r="BS291" s="19">
        <v>0</v>
      </c>
      <c r="BT291" s="19">
        <v>0</v>
      </c>
      <c r="BU291" s="19">
        <v>0</v>
      </c>
      <c r="BV291" s="19">
        <v>0</v>
      </c>
      <c r="BW291" s="19">
        <v>0</v>
      </c>
      <c r="BX291" s="19">
        <v>0</v>
      </c>
      <c r="BY291" s="19">
        <v>0</v>
      </c>
      <c r="BZ291" s="19">
        <v>0</v>
      </c>
      <c r="CA291" s="19">
        <v>0</v>
      </c>
      <c r="CB291" s="19">
        <v>0</v>
      </c>
      <c r="CC291" s="19">
        <v>0</v>
      </c>
      <c r="CD291" s="19">
        <v>0</v>
      </c>
      <c r="CE291" s="19">
        <v>0</v>
      </c>
      <c r="CF291" s="19">
        <v>0</v>
      </c>
      <c r="CG291" s="19">
        <v>0</v>
      </c>
      <c r="CH291" s="19">
        <v>0</v>
      </c>
      <c r="CI291" s="19">
        <v>0</v>
      </c>
      <c r="CJ291" s="19">
        <v>0</v>
      </c>
      <c r="CK291" s="19">
        <v>0</v>
      </c>
      <c r="CL291" s="19">
        <v>0</v>
      </c>
      <c r="CM291" s="19">
        <v>0</v>
      </c>
      <c r="CN291" s="19">
        <v>0</v>
      </c>
      <c r="CO291" s="19">
        <v>0</v>
      </c>
      <c r="CP291" s="19">
        <v>0</v>
      </c>
      <c r="CQ291" s="19">
        <v>0</v>
      </c>
      <c r="CR291" s="19">
        <v>0</v>
      </c>
      <c r="CS291" s="19">
        <v>0</v>
      </c>
      <c r="CT291" s="19">
        <v>0</v>
      </c>
      <c r="CU291" s="19">
        <v>0</v>
      </c>
      <c r="CV291" s="19">
        <v>0</v>
      </c>
      <c r="CW291" s="19">
        <v>0</v>
      </c>
      <c r="CX291" s="19">
        <v>0</v>
      </c>
      <c r="CY291" s="19">
        <v>0</v>
      </c>
      <c r="CZ291" s="19">
        <v>0</v>
      </c>
      <c r="DA291" s="19">
        <v>0</v>
      </c>
      <c r="DB291" s="19">
        <v>0</v>
      </c>
      <c r="DC291" s="19">
        <v>0</v>
      </c>
      <c r="DD291" s="19">
        <v>0</v>
      </c>
      <c r="DE291" s="19">
        <v>0</v>
      </c>
      <c r="DF291" s="19">
        <v>0</v>
      </c>
      <c r="DG291" s="19">
        <v>0</v>
      </c>
    </row>
    <row r="292" spans="2:111" x14ac:dyDescent="0.15">
      <c r="B292" s="19" t="str">
        <f t="shared" si="4"/>
        <v>3_女_40</v>
      </c>
      <c r="C292" s="18">
        <v>3</v>
      </c>
      <c r="D292" s="18" t="s">
        <v>2</v>
      </c>
      <c r="E292" s="18">
        <v>40</v>
      </c>
      <c r="F292" s="19">
        <v>6302</v>
      </c>
      <c r="G292" s="19">
        <v>14310.1</v>
      </c>
      <c r="H292" s="19">
        <v>23736.5</v>
      </c>
      <c r="I292" s="19">
        <v>24912.6</v>
      </c>
      <c r="J292" s="19">
        <v>25147.3</v>
      </c>
      <c r="K292" s="19">
        <v>25393</v>
      </c>
      <c r="L292" s="19">
        <v>25650.1</v>
      </c>
      <c r="M292" s="19">
        <v>25919.3</v>
      </c>
      <c r="N292" s="19">
        <v>26201</v>
      </c>
      <c r="O292" s="19">
        <v>26495.9</v>
      </c>
      <c r="P292" s="19">
        <v>26804.5</v>
      </c>
      <c r="Q292" s="19">
        <v>27127.599999999999</v>
      </c>
      <c r="R292" s="19">
        <v>27465.9</v>
      </c>
      <c r="S292" s="19">
        <v>27820</v>
      </c>
      <c r="T292" s="19">
        <v>28190.799999999999</v>
      </c>
      <c r="U292" s="19">
        <v>28579.200000000001</v>
      </c>
      <c r="V292" s="19">
        <v>28986</v>
      </c>
      <c r="W292" s="19">
        <v>29412.2</v>
      </c>
      <c r="X292" s="19">
        <v>29858.9</v>
      </c>
      <c r="Y292" s="19">
        <v>29327.1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0</v>
      </c>
      <c r="AH292" s="19">
        <v>0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v>0</v>
      </c>
      <c r="AO292" s="19">
        <v>0</v>
      </c>
      <c r="AP292" s="19">
        <v>0</v>
      </c>
      <c r="AQ292" s="19">
        <v>0</v>
      </c>
      <c r="AR292" s="19">
        <v>0</v>
      </c>
      <c r="AS292" s="19">
        <v>0</v>
      </c>
      <c r="AT292" s="19">
        <v>0</v>
      </c>
      <c r="AU292" s="19">
        <v>0</v>
      </c>
      <c r="AV292" s="19">
        <v>0</v>
      </c>
      <c r="AW292" s="19">
        <v>0</v>
      </c>
      <c r="AX292" s="19">
        <v>0</v>
      </c>
      <c r="AY292" s="19">
        <v>0</v>
      </c>
      <c r="AZ292" s="19">
        <v>0</v>
      </c>
      <c r="BA292" s="19">
        <v>0</v>
      </c>
      <c r="BB292" s="19">
        <v>0</v>
      </c>
      <c r="BC292" s="19">
        <v>0</v>
      </c>
      <c r="BD292" s="19">
        <v>0</v>
      </c>
      <c r="BE292" s="19">
        <v>0</v>
      </c>
      <c r="BF292" s="19">
        <v>0</v>
      </c>
      <c r="BG292" s="19">
        <v>0</v>
      </c>
      <c r="BH292" s="19">
        <v>0</v>
      </c>
      <c r="BI292" s="19">
        <v>0</v>
      </c>
      <c r="BJ292" s="19">
        <v>0</v>
      </c>
      <c r="BK292" s="19">
        <v>0</v>
      </c>
      <c r="BL292" s="19">
        <v>0</v>
      </c>
      <c r="BM292" s="19">
        <v>0</v>
      </c>
      <c r="BN292" s="19">
        <v>0</v>
      </c>
      <c r="BO292" s="19">
        <v>0</v>
      </c>
      <c r="BP292" s="19">
        <v>0</v>
      </c>
      <c r="BQ292" s="19">
        <v>0</v>
      </c>
      <c r="BR292" s="19">
        <v>0</v>
      </c>
      <c r="BS292" s="19">
        <v>0</v>
      </c>
      <c r="BT292" s="19">
        <v>0</v>
      </c>
      <c r="BU292" s="19">
        <v>0</v>
      </c>
      <c r="BV292" s="19">
        <v>0</v>
      </c>
      <c r="BW292" s="19">
        <v>0</v>
      </c>
      <c r="BX292" s="19">
        <v>0</v>
      </c>
      <c r="BY292" s="19">
        <v>0</v>
      </c>
      <c r="BZ292" s="19">
        <v>0</v>
      </c>
      <c r="CA292" s="19">
        <v>0</v>
      </c>
      <c r="CB292" s="19">
        <v>0</v>
      </c>
      <c r="CC292" s="19">
        <v>0</v>
      </c>
      <c r="CD292" s="19">
        <v>0</v>
      </c>
      <c r="CE292" s="19">
        <v>0</v>
      </c>
      <c r="CF292" s="19">
        <v>0</v>
      </c>
      <c r="CG292" s="19">
        <v>0</v>
      </c>
      <c r="CH292" s="19">
        <v>0</v>
      </c>
      <c r="CI292" s="19">
        <v>0</v>
      </c>
      <c r="CJ292" s="19">
        <v>0</v>
      </c>
      <c r="CK292" s="19">
        <v>0</v>
      </c>
      <c r="CL292" s="19">
        <v>0</v>
      </c>
      <c r="CM292" s="19">
        <v>0</v>
      </c>
      <c r="CN292" s="19">
        <v>0</v>
      </c>
      <c r="CO292" s="19">
        <v>0</v>
      </c>
      <c r="CP292" s="19">
        <v>0</v>
      </c>
      <c r="CQ292" s="19">
        <v>0</v>
      </c>
      <c r="CR292" s="19">
        <v>0</v>
      </c>
      <c r="CS292" s="19">
        <v>0</v>
      </c>
      <c r="CT292" s="19">
        <v>0</v>
      </c>
      <c r="CU292" s="19">
        <v>0</v>
      </c>
      <c r="CV292" s="19">
        <v>0</v>
      </c>
      <c r="CW292" s="19">
        <v>0</v>
      </c>
      <c r="CX292" s="19">
        <v>0</v>
      </c>
      <c r="CY292" s="19">
        <v>0</v>
      </c>
      <c r="CZ292" s="19">
        <v>0</v>
      </c>
      <c r="DA292" s="19">
        <v>0</v>
      </c>
      <c r="DB292" s="19">
        <v>0</v>
      </c>
      <c r="DC292" s="19">
        <v>0</v>
      </c>
      <c r="DD292" s="19">
        <v>0</v>
      </c>
      <c r="DE292" s="19">
        <v>0</v>
      </c>
      <c r="DF292" s="19">
        <v>0</v>
      </c>
      <c r="DG292" s="19">
        <v>0</v>
      </c>
    </row>
    <row r="293" spans="2:111" x14ac:dyDescent="0.15">
      <c r="B293" s="19" t="str">
        <f t="shared" si="4"/>
        <v>3_女_41</v>
      </c>
      <c r="C293" s="18">
        <v>3</v>
      </c>
      <c r="D293" s="18" t="s">
        <v>2</v>
      </c>
      <c r="E293" s="18">
        <v>41</v>
      </c>
      <c r="F293" s="19">
        <v>6362.2</v>
      </c>
      <c r="G293" s="19">
        <v>14446.5</v>
      </c>
      <c r="H293" s="19">
        <v>23962.400000000001</v>
      </c>
      <c r="I293" s="19">
        <v>25148.799999999999</v>
      </c>
      <c r="J293" s="19">
        <v>25394.5</v>
      </c>
      <c r="K293" s="19">
        <v>25651.599999999999</v>
      </c>
      <c r="L293" s="19">
        <v>25920.7</v>
      </c>
      <c r="M293" s="19">
        <v>26202.400000000001</v>
      </c>
      <c r="N293" s="19">
        <v>26497.200000000001</v>
      </c>
      <c r="O293" s="19">
        <v>26805.8</v>
      </c>
      <c r="P293" s="19">
        <v>27128.9</v>
      </c>
      <c r="Q293" s="19">
        <v>27467</v>
      </c>
      <c r="R293" s="19">
        <v>27821.1</v>
      </c>
      <c r="S293" s="19">
        <v>28191.8</v>
      </c>
      <c r="T293" s="19">
        <v>28580</v>
      </c>
      <c r="U293" s="19">
        <v>28986.7</v>
      </c>
      <c r="V293" s="19">
        <v>29412.7</v>
      </c>
      <c r="W293" s="19">
        <v>29859.1</v>
      </c>
      <c r="X293" s="19">
        <v>29327.1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0</v>
      </c>
      <c r="BH293" s="19">
        <v>0</v>
      </c>
      <c r="BI293" s="19">
        <v>0</v>
      </c>
      <c r="BJ293" s="19">
        <v>0</v>
      </c>
      <c r="BK293" s="19">
        <v>0</v>
      </c>
      <c r="BL293" s="19">
        <v>0</v>
      </c>
      <c r="BM293" s="19">
        <v>0</v>
      </c>
      <c r="BN293" s="19">
        <v>0</v>
      </c>
      <c r="BO293" s="19">
        <v>0</v>
      </c>
      <c r="BP293" s="19">
        <v>0</v>
      </c>
      <c r="BQ293" s="19">
        <v>0</v>
      </c>
      <c r="BR293" s="19">
        <v>0</v>
      </c>
      <c r="BS293" s="19">
        <v>0</v>
      </c>
      <c r="BT293" s="19">
        <v>0</v>
      </c>
      <c r="BU293" s="19">
        <v>0</v>
      </c>
      <c r="BV293" s="19">
        <v>0</v>
      </c>
      <c r="BW293" s="19">
        <v>0</v>
      </c>
      <c r="BX293" s="19">
        <v>0</v>
      </c>
      <c r="BY293" s="19">
        <v>0</v>
      </c>
      <c r="BZ293" s="19">
        <v>0</v>
      </c>
      <c r="CA293" s="19">
        <v>0</v>
      </c>
      <c r="CB293" s="19">
        <v>0</v>
      </c>
      <c r="CC293" s="19">
        <v>0</v>
      </c>
      <c r="CD293" s="19">
        <v>0</v>
      </c>
      <c r="CE293" s="19">
        <v>0</v>
      </c>
      <c r="CF293" s="19">
        <v>0</v>
      </c>
      <c r="CG293" s="19">
        <v>0</v>
      </c>
      <c r="CH293" s="19">
        <v>0</v>
      </c>
      <c r="CI293" s="19">
        <v>0</v>
      </c>
      <c r="CJ293" s="19">
        <v>0</v>
      </c>
      <c r="CK293" s="19">
        <v>0</v>
      </c>
      <c r="CL293" s="19">
        <v>0</v>
      </c>
      <c r="CM293" s="19">
        <v>0</v>
      </c>
      <c r="CN293" s="19">
        <v>0</v>
      </c>
      <c r="CO293" s="19">
        <v>0</v>
      </c>
      <c r="CP293" s="19">
        <v>0</v>
      </c>
      <c r="CQ293" s="19">
        <v>0</v>
      </c>
      <c r="CR293" s="19">
        <v>0</v>
      </c>
      <c r="CS293" s="19">
        <v>0</v>
      </c>
      <c r="CT293" s="19">
        <v>0</v>
      </c>
      <c r="CU293" s="19">
        <v>0</v>
      </c>
      <c r="CV293" s="19">
        <v>0</v>
      </c>
      <c r="CW293" s="19">
        <v>0</v>
      </c>
      <c r="CX293" s="19">
        <v>0</v>
      </c>
      <c r="CY293" s="19">
        <v>0</v>
      </c>
      <c r="CZ293" s="19">
        <v>0</v>
      </c>
      <c r="DA293" s="19">
        <v>0</v>
      </c>
      <c r="DB293" s="19">
        <v>0</v>
      </c>
      <c r="DC293" s="19">
        <v>0</v>
      </c>
      <c r="DD293" s="19">
        <v>0</v>
      </c>
      <c r="DE293" s="19">
        <v>0</v>
      </c>
      <c r="DF293" s="19">
        <v>0</v>
      </c>
      <c r="DG293" s="19">
        <v>0</v>
      </c>
    </row>
    <row r="294" spans="2:111" x14ac:dyDescent="0.15">
      <c r="B294" s="19" t="str">
        <f t="shared" si="4"/>
        <v>3_女_42</v>
      </c>
      <c r="C294" s="18">
        <v>3</v>
      </c>
      <c r="D294" s="18" t="s">
        <v>2</v>
      </c>
      <c r="E294" s="18">
        <v>42</v>
      </c>
      <c r="F294" s="19">
        <v>6425.1</v>
      </c>
      <c r="G294" s="19">
        <v>14589.2</v>
      </c>
      <c r="H294" s="19">
        <v>24198.799999999999</v>
      </c>
      <c r="I294" s="19">
        <v>25396</v>
      </c>
      <c r="J294" s="19">
        <v>25653.1</v>
      </c>
      <c r="K294" s="19">
        <v>25922.2</v>
      </c>
      <c r="L294" s="19">
        <v>26203.9</v>
      </c>
      <c r="M294" s="19">
        <v>26498.7</v>
      </c>
      <c r="N294" s="19">
        <v>26807.200000000001</v>
      </c>
      <c r="O294" s="19">
        <v>27130.2</v>
      </c>
      <c r="P294" s="19">
        <v>27468.3</v>
      </c>
      <c r="Q294" s="19">
        <v>27822.2</v>
      </c>
      <c r="R294" s="19">
        <v>28192.799999999999</v>
      </c>
      <c r="S294" s="19">
        <v>28580.9</v>
      </c>
      <c r="T294" s="19">
        <v>28987.4</v>
      </c>
      <c r="U294" s="19">
        <v>29413.200000000001</v>
      </c>
      <c r="V294" s="19">
        <v>29859.4</v>
      </c>
      <c r="W294" s="19">
        <v>29327.1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0</v>
      </c>
      <c r="AD294" s="19">
        <v>0</v>
      </c>
      <c r="AE294" s="19">
        <v>0</v>
      </c>
      <c r="AF294" s="19">
        <v>0</v>
      </c>
      <c r="AG294" s="19">
        <v>0</v>
      </c>
      <c r="AH294" s="19">
        <v>0</v>
      </c>
      <c r="AI294" s="19">
        <v>0</v>
      </c>
      <c r="AJ294" s="19">
        <v>0</v>
      </c>
      <c r="AK294" s="19">
        <v>0</v>
      </c>
      <c r="AL294" s="19">
        <v>0</v>
      </c>
      <c r="AM294" s="19">
        <v>0</v>
      </c>
      <c r="AN294" s="19">
        <v>0</v>
      </c>
      <c r="AO294" s="19">
        <v>0</v>
      </c>
      <c r="AP294" s="19">
        <v>0</v>
      </c>
      <c r="AQ294" s="19">
        <v>0</v>
      </c>
      <c r="AR294" s="19">
        <v>0</v>
      </c>
      <c r="AS294" s="19">
        <v>0</v>
      </c>
      <c r="AT294" s="19">
        <v>0</v>
      </c>
      <c r="AU294" s="19">
        <v>0</v>
      </c>
      <c r="AV294" s="19">
        <v>0</v>
      </c>
      <c r="AW294" s="19">
        <v>0</v>
      </c>
      <c r="AX294" s="19">
        <v>0</v>
      </c>
      <c r="AY294" s="19">
        <v>0</v>
      </c>
      <c r="AZ294" s="19">
        <v>0</v>
      </c>
      <c r="BA294" s="19">
        <v>0</v>
      </c>
      <c r="BB294" s="19">
        <v>0</v>
      </c>
      <c r="BC294" s="19">
        <v>0</v>
      </c>
      <c r="BD294" s="19">
        <v>0</v>
      </c>
      <c r="BE294" s="19">
        <v>0</v>
      </c>
      <c r="BF294" s="19">
        <v>0</v>
      </c>
      <c r="BG294" s="19">
        <v>0</v>
      </c>
      <c r="BH294" s="19">
        <v>0</v>
      </c>
      <c r="BI294" s="19">
        <v>0</v>
      </c>
      <c r="BJ294" s="19">
        <v>0</v>
      </c>
      <c r="BK294" s="19">
        <v>0</v>
      </c>
      <c r="BL294" s="19">
        <v>0</v>
      </c>
      <c r="BM294" s="19">
        <v>0</v>
      </c>
      <c r="BN294" s="19">
        <v>0</v>
      </c>
      <c r="BO294" s="19">
        <v>0</v>
      </c>
      <c r="BP294" s="19">
        <v>0</v>
      </c>
      <c r="BQ294" s="19">
        <v>0</v>
      </c>
      <c r="BR294" s="19">
        <v>0</v>
      </c>
      <c r="BS294" s="19">
        <v>0</v>
      </c>
      <c r="BT294" s="19">
        <v>0</v>
      </c>
      <c r="BU294" s="19">
        <v>0</v>
      </c>
      <c r="BV294" s="19">
        <v>0</v>
      </c>
      <c r="BW294" s="19">
        <v>0</v>
      </c>
      <c r="BX294" s="19">
        <v>0</v>
      </c>
      <c r="BY294" s="19">
        <v>0</v>
      </c>
      <c r="BZ294" s="19">
        <v>0</v>
      </c>
      <c r="CA294" s="19">
        <v>0</v>
      </c>
      <c r="CB294" s="19">
        <v>0</v>
      </c>
      <c r="CC294" s="19">
        <v>0</v>
      </c>
      <c r="CD294" s="19">
        <v>0</v>
      </c>
      <c r="CE294" s="19">
        <v>0</v>
      </c>
      <c r="CF294" s="19">
        <v>0</v>
      </c>
      <c r="CG294" s="19">
        <v>0</v>
      </c>
      <c r="CH294" s="19">
        <v>0</v>
      </c>
      <c r="CI294" s="19">
        <v>0</v>
      </c>
      <c r="CJ294" s="19">
        <v>0</v>
      </c>
      <c r="CK294" s="19">
        <v>0</v>
      </c>
      <c r="CL294" s="19">
        <v>0</v>
      </c>
      <c r="CM294" s="19">
        <v>0</v>
      </c>
      <c r="CN294" s="19">
        <v>0</v>
      </c>
      <c r="CO294" s="19">
        <v>0</v>
      </c>
      <c r="CP294" s="19">
        <v>0</v>
      </c>
      <c r="CQ294" s="19">
        <v>0</v>
      </c>
      <c r="CR294" s="19">
        <v>0</v>
      </c>
      <c r="CS294" s="19">
        <v>0</v>
      </c>
      <c r="CT294" s="19">
        <v>0</v>
      </c>
      <c r="CU294" s="19">
        <v>0</v>
      </c>
      <c r="CV294" s="19">
        <v>0</v>
      </c>
      <c r="CW294" s="19">
        <v>0</v>
      </c>
      <c r="CX294" s="19">
        <v>0</v>
      </c>
      <c r="CY294" s="19">
        <v>0</v>
      </c>
      <c r="CZ294" s="19">
        <v>0</v>
      </c>
      <c r="DA294" s="19">
        <v>0</v>
      </c>
      <c r="DB294" s="19">
        <v>0</v>
      </c>
      <c r="DC294" s="19">
        <v>0</v>
      </c>
      <c r="DD294" s="19">
        <v>0</v>
      </c>
      <c r="DE294" s="19">
        <v>0</v>
      </c>
      <c r="DF294" s="19">
        <v>0</v>
      </c>
      <c r="DG294" s="19">
        <v>0</v>
      </c>
    </row>
    <row r="295" spans="2:111" x14ac:dyDescent="0.15">
      <c r="B295" s="19" t="str">
        <f t="shared" si="4"/>
        <v>3_女_43</v>
      </c>
      <c r="C295" s="18">
        <v>3</v>
      </c>
      <c r="D295" s="18" t="s">
        <v>2</v>
      </c>
      <c r="E295" s="18">
        <v>43</v>
      </c>
      <c r="F295" s="19">
        <v>6491</v>
      </c>
      <c r="G295" s="19">
        <v>14738.5</v>
      </c>
      <c r="H295" s="19">
        <v>24446.1</v>
      </c>
      <c r="I295" s="19">
        <v>25654.7</v>
      </c>
      <c r="J295" s="19">
        <v>25923.8</v>
      </c>
      <c r="K295" s="19">
        <v>26205.4</v>
      </c>
      <c r="L295" s="19">
        <v>26500.1</v>
      </c>
      <c r="M295" s="19">
        <v>26808.6</v>
      </c>
      <c r="N295" s="19">
        <v>27131.5</v>
      </c>
      <c r="O295" s="19">
        <v>27469.5</v>
      </c>
      <c r="P295" s="19">
        <v>27823.4</v>
      </c>
      <c r="Q295" s="19">
        <v>28193.8</v>
      </c>
      <c r="R295" s="19">
        <v>28581.8</v>
      </c>
      <c r="S295" s="19">
        <v>28988.1</v>
      </c>
      <c r="T295" s="19">
        <v>29413.7</v>
      </c>
      <c r="U295" s="19">
        <v>29859.7</v>
      </c>
      <c r="V295" s="19">
        <v>29327.1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0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0</v>
      </c>
      <c r="BH295" s="19">
        <v>0</v>
      </c>
      <c r="BI295" s="19">
        <v>0</v>
      </c>
      <c r="BJ295" s="19">
        <v>0</v>
      </c>
      <c r="BK295" s="19">
        <v>0</v>
      </c>
      <c r="BL295" s="19">
        <v>0</v>
      </c>
      <c r="BM295" s="19">
        <v>0</v>
      </c>
      <c r="BN295" s="19">
        <v>0</v>
      </c>
      <c r="BO295" s="19">
        <v>0</v>
      </c>
      <c r="BP295" s="19">
        <v>0</v>
      </c>
      <c r="BQ295" s="19">
        <v>0</v>
      </c>
      <c r="BR295" s="19">
        <v>0</v>
      </c>
      <c r="BS295" s="19">
        <v>0</v>
      </c>
      <c r="BT295" s="19">
        <v>0</v>
      </c>
      <c r="BU295" s="19">
        <v>0</v>
      </c>
      <c r="BV295" s="19">
        <v>0</v>
      </c>
      <c r="BW295" s="19">
        <v>0</v>
      </c>
      <c r="BX295" s="19">
        <v>0</v>
      </c>
      <c r="BY295" s="19">
        <v>0</v>
      </c>
      <c r="BZ295" s="19">
        <v>0</v>
      </c>
      <c r="CA295" s="19">
        <v>0</v>
      </c>
      <c r="CB295" s="19">
        <v>0</v>
      </c>
      <c r="CC295" s="19">
        <v>0</v>
      </c>
      <c r="CD295" s="19">
        <v>0</v>
      </c>
      <c r="CE295" s="19">
        <v>0</v>
      </c>
      <c r="CF295" s="19">
        <v>0</v>
      </c>
      <c r="CG295" s="19">
        <v>0</v>
      </c>
      <c r="CH295" s="19">
        <v>0</v>
      </c>
      <c r="CI295" s="19">
        <v>0</v>
      </c>
      <c r="CJ295" s="19">
        <v>0</v>
      </c>
      <c r="CK295" s="19">
        <v>0</v>
      </c>
      <c r="CL295" s="19">
        <v>0</v>
      </c>
      <c r="CM295" s="19">
        <v>0</v>
      </c>
      <c r="CN295" s="19">
        <v>0</v>
      </c>
      <c r="CO295" s="19">
        <v>0</v>
      </c>
      <c r="CP295" s="19">
        <v>0</v>
      </c>
      <c r="CQ295" s="19">
        <v>0</v>
      </c>
      <c r="CR295" s="19">
        <v>0</v>
      </c>
      <c r="CS295" s="19">
        <v>0</v>
      </c>
      <c r="CT295" s="19">
        <v>0</v>
      </c>
      <c r="CU295" s="19">
        <v>0</v>
      </c>
      <c r="CV295" s="19">
        <v>0</v>
      </c>
      <c r="CW295" s="19">
        <v>0</v>
      </c>
      <c r="CX295" s="19">
        <v>0</v>
      </c>
      <c r="CY295" s="19">
        <v>0</v>
      </c>
      <c r="CZ295" s="19">
        <v>0</v>
      </c>
      <c r="DA295" s="19">
        <v>0</v>
      </c>
      <c r="DB295" s="19">
        <v>0</v>
      </c>
      <c r="DC295" s="19">
        <v>0</v>
      </c>
      <c r="DD295" s="19">
        <v>0</v>
      </c>
      <c r="DE295" s="19">
        <v>0</v>
      </c>
      <c r="DF295" s="19">
        <v>0</v>
      </c>
      <c r="DG295" s="19">
        <v>0</v>
      </c>
    </row>
    <row r="296" spans="2:111" x14ac:dyDescent="0.15">
      <c r="B296" s="19" t="str">
        <f t="shared" si="4"/>
        <v>3_女_44</v>
      </c>
      <c r="C296" s="18">
        <v>3</v>
      </c>
      <c r="D296" s="18" t="s">
        <v>2</v>
      </c>
      <c r="E296" s="18">
        <v>44</v>
      </c>
      <c r="F296" s="19">
        <v>6559.9</v>
      </c>
      <c r="G296" s="19">
        <v>14894.8</v>
      </c>
      <c r="H296" s="19">
        <v>24704.9</v>
      </c>
      <c r="I296" s="19">
        <v>25925.3</v>
      </c>
      <c r="J296" s="19">
        <v>26206.9</v>
      </c>
      <c r="K296" s="19">
        <v>26501.599999999999</v>
      </c>
      <c r="L296" s="19">
        <v>26810.1</v>
      </c>
      <c r="M296" s="19">
        <v>27132.9</v>
      </c>
      <c r="N296" s="19">
        <v>27470.799999999999</v>
      </c>
      <c r="O296" s="19">
        <v>27824.5</v>
      </c>
      <c r="P296" s="19">
        <v>28194.9</v>
      </c>
      <c r="Q296" s="19">
        <v>28582.7</v>
      </c>
      <c r="R296" s="19">
        <v>28988.799999999999</v>
      </c>
      <c r="S296" s="19">
        <v>29414.2</v>
      </c>
      <c r="T296" s="19">
        <v>29859.9</v>
      </c>
      <c r="U296" s="19">
        <v>29327.1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0</v>
      </c>
      <c r="AH296" s="19">
        <v>0</v>
      </c>
      <c r="AI296" s="19">
        <v>0</v>
      </c>
      <c r="AJ296" s="19">
        <v>0</v>
      </c>
      <c r="AK296" s="19">
        <v>0</v>
      </c>
      <c r="AL296" s="19">
        <v>0</v>
      </c>
      <c r="AM296" s="19">
        <v>0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0</v>
      </c>
      <c r="AV296" s="19">
        <v>0</v>
      </c>
      <c r="AW296" s="19">
        <v>0</v>
      </c>
      <c r="AX296" s="19">
        <v>0</v>
      </c>
      <c r="AY296" s="19">
        <v>0</v>
      </c>
      <c r="AZ296" s="19">
        <v>0</v>
      </c>
      <c r="BA296" s="19">
        <v>0</v>
      </c>
      <c r="BB296" s="19">
        <v>0</v>
      </c>
      <c r="BC296" s="19">
        <v>0</v>
      </c>
      <c r="BD296" s="19">
        <v>0</v>
      </c>
      <c r="BE296" s="19">
        <v>0</v>
      </c>
      <c r="BF296" s="19">
        <v>0</v>
      </c>
      <c r="BG296" s="19">
        <v>0</v>
      </c>
      <c r="BH296" s="19">
        <v>0</v>
      </c>
      <c r="BI296" s="19">
        <v>0</v>
      </c>
      <c r="BJ296" s="19">
        <v>0</v>
      </c>
      <c r="BK296" s="19">
        <v>0</v>
      </c>
      <c r="BL296" s="19">
        <v>0</v>
      </c>
      <c r="BM296" s="19">
        <v>0</v>
      </c>
      <c r="BN296" s="19">
        <v>0</v>
      </c>
      <c r="BO296" s="19">
        <v>0</v>
      </c>
      <c r="BP296" s="19">
        <v>0</v>
      </c>
      <c r="BQ296" s="19">
        <v>0</v>
      </c>
      <c r="BR296" s="19">
        <v>0</v>
      </c>
      <c r="BS296" s="19">
        <v>0</v>
      </c>
      <c r="BT296" s="19">
        <v>0</v>
      </c>
      <c r="BU296" s="19">
        <v>0</v>
      </c>
      <c r="BV296" s="19">
        <v>0</v>
      </c>
      <c r="BW296" s="19">
        <v>0</v>
      </c>
      <c r="BX296" s="19">
        <v>0</v>
      </c>
      <c r="BY296" s="19">
        <v>0</v>
      </c>
      <c r="BZ296" s="19">
        <v>0</v>
      </c>
      <c r="CA296" s="19">
        <v>0</v>
      </c>
      <c r="CB296" s="19">
        <v>0</v>
      </c>
      <c r="CC296" s="19">
        <v>0</v>
      </c>
      <c r="CD296" s="19">
        <v>0</v>
      </c>
      <c r="CE296" s="19">
        <v>0</v>
      </c>
      <c r="CF296" s="19">
        <v>0</v>
      </c>
      <c r="CG296" s="19">
        <v>0</v>
      </c>
      <c r="CH296" s="19">
        <v>0</v>
      </c>
      <c r="CI296" s="19">
        <v>0</v>
      </c>
      <c r="CJ296" s="19">
        <v>0</v>
      </c>
      <c r="CK296" s="19">
        <v>0</v>
      </c>
      <c r="CL296" s="19">
        <v>0</v>
      </c>
      <c r="CM296" s="19">
        <v>0</v>
      </c>
      <c r="CN296" s="19">
        <v>0</v>
      </c>
      <c r="CO296" s="19">
        <v>0</v>
      </c>
      <c r="CP296" s="19">
        <v>0</v>
      </c>
      <c r="CQ296" s="19">
        <v>0</v>
      </c>
      <c r="CR296" s="19">
        <v>0</v>
      </c>
      <c r="CS296" s="19">
        <v>0</v>
      </c>
      <c r="CT296" s="19">
        <v>0</v>
      </c>
      <c r="CU296" s="19">
        <v>0</v>
      </c>
      <c r="CV296" s="19">
        <v>0</v>
      </c>
      <c r="CW296" s="19">
        <v>0</v>
      </c>
      <c r="CX296" s="19">
        <v>0</v>
      </c>
      <c r="CY296" s="19">
        <v>0</v>
      </c>
      <c r="CZ296" s="19">
        <v>0</v>
      </c>
      <c r="DA296" s="19">
        <v>0</v>
      </c>
      <c r="DB296" s="19">
        <v>0</v>
      </c>
      <c r="DC296" s="19">
        <v>0</v>
      </c>
      <c r="DD296" s="19">
        <v>0</v>
      </c>
      <c r="DE296" s="19">
        <v>0</v>
      </c>
      <c r="DF296" s="19">
        <v>0</v>
      </c>
      <c r="DG296" s="19">
        <v>0</v>
      </c>
    </row>
    <row r="297" spans="2:111" x14ac:dyDescent="0.15">
      <c r="B297" s="19" t="str">
        <f t="shared" si="4"/>
        <v>3_女_45</v>
      </c>
      <c r="C297" s="18">
        <v>3</v>
      </c>
      <c r="D297" s="18" t="s">
        <v>2</v>
      </c>
      <c r="E297" s="18">
        <v>45</v>
      </c>
      <c r="F297" s="19">
        <v>6632.1</v>
      </c>
      <c r="G297" s="19">
        <v>15058.3</v>
      </c>
      <c r="H297" s="19">
        <v>24975.7</v>
      </c>
      <c r="I297" s="19">
        <v>26208.5</v>
      </c>
      <c r="J297" s="19">
        <v>26503.200000000001</v>
      </c>
      <c r="K297" s="19">
        <v>26811.5</v>
      </c>
      <c r="L297" s="19">
        <v>27134.3</v>
      </c>
      <c r="M297" s="19">
        <v>27472.1</v>
      </c>
      <c r="N297" s="19">
        <v>27825.7</v>
      </c>
      <c r="O297" s="19">
        <v>28196</v>
      </c>
      <c r="P297" s="19">
        <v>28583.599999999999</v>
      </c>
      <c r="Q297" s="19">
        <v>28989.5</v>
      </c>
      <c r="R297" s="19">
        <v>29414.7</v>
      </c>
      <c r="S297" s="19">
        <v>29860.2</v>
      </c>
      <c r="T297" s="19">
        <v>29327.1</v>
      </c>
      <c r="U297" s="19">
        <v>0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0</v>
      </c>
      <c r="AW297" s="19">
        <v>0</v>
      </c>
      <c r="AX297" s="19">
        <v>0</v>
      </c>
      <c r="AY297" s="19">
        <v>0</v>
      </c>
      <c r="AZ297" s="19">
        <v>0</v>
      </c>
      <c r="BA297" s="19">
        <v>0</v>
      </c>
      <c r="BB297" s="19">
        <v>0</v>
      </c>
      <c r="BC297" s="19">
        <v>0</v>
      </c>
      <c r="BD297" s="19">
        <v>0</v>
      </c>
      <c r="BE297" s="19">
        <v>0</v>
      </c>
      <c r="BF297" s="19">
        <v>0</v>
      </c>
      <c r="BG297" s="19">
        <v>0</v>
      </c>
      <c r="BH297" s="19">
        <v>0</v>
      </c>
      <c r="BI297" s="19">
        <v>0</v>
      </c>
      <c r="BJ297" s="19">
        <v>0</v>
      </c>
      <c r="BK297" s="19">
        <v>0</v>
      </c>
      <c r="BL297" s="19">
        <v>0</v>
      </c>
      <c r="BM297" s="19">
        <v>0</v>
      </c>
      <c r="BN297" s="19">
        <v>0</v>
      </c>
      <c r="BO297" s="19">
        <v>0</v>
      </c>
      <c r="BP297" s="19">
        <v>0</v>
      </c>
      <c r="BQ297" s="19">
        <v>0</v>
      </c>
      <c r="BR297" s="19">
        <v>0</v>
      </c>
      <c r="BS297" s="19">
        <v>0</v>
      </c>
      <c r="BT297" s="19">
        <v>0</v>
      </c>
      <c r="BU297" s="19">
        <v>0</v>
      </c>
      <c r="BV297" s="19">
        <v>0</v>
      </c>
      <c r="BW297" s="19">
        <v>0</v>
      </c>
      <c r="BX297" s="19">
        <v>0</v>
      </c>
      <c r="BY297" s="19">
        <v>0</v>
      </c>
      <c r="BZ297" s="19">
        <v>0</v>
      </c>
      <c r="CA297" s="19">
        <v>0</v>
      </c>
      <c r="CB297" s="19">
        <v>0</v>
      </c>
      <c r="CC297" s="19">
        <v>0</v>
      </c>
      <c r="CD297" s="19">
        <v>0</v>
      </c>
      <c r="CE297" s="19">
        <v>0</v>
      </c>
      <c r="CF297" s="19">
        <v>0</v>
      </c>
      <c r="CG297" s="19">
        <v>0</v>
      </c>
      <c r="CH297" s="19">
        <v>0</v>
      </c>
      <c r="CI297" s="19">
        <v>0</v>
      </c>
      <c r="CJ297" s="19">
        <v>0</v>
      </c>
      <c r="CK297" s="19">
        <v>0</v>
      </c>
      <c r="CL297" s="19">
        <v>0</v>
      </c>
      <c r="CM297" s="19">
        <v>0</v>
      </c>
      <c r="CN297" s="19">
        <v>0</v>
      </c>
      <c r="CO297" s="19">
        <v>0</v>
      </c>
      <c r="CP297" s="19">
        <v>0</v>
      </c>
      <c r="CQ297" s="19">
        <v>0</v>
      </c>
      <c r="CR297" s="19">
        <v>0</v>
      </c>
      <c r="CS297" s="19">
        <v>0</v>
      </c>
      <c r="CT297" s="19">
        <v>0</v>
      </c>
      <c r="CU297" s="19">
        <v>0</v>
      </c>
      <c r="CV297" s="19">
        <v>0</v>
      </c>
      <c r="CW297" s="19">
        <v>0</v>
      </c>
      <c r="CX297" s="19">
        <v>0</v>
      </c>
      <c r="CY297" s="19">
        <v>0</v>
      </c>
      <c r="CZ297" s="19">
        <v>0</v>
      </c>
      <c r="DA297" s="19">
        <v>0</v>
      </c>
      <c r="DB297" s="19">
        <v>0</v>
      </c>
      <c r="DC297" s="19">
        <v>0</v>
      </c>
      <c r="DD297" s="19">
        <v>0</v>
      </c>
      <c r="DE297" s="19">
        <v>0</v>
      </c>
      <c r="DF297" s="19">
        <v>0</v>
      </c>
      <c r="DG297" s="19">
        <v>0</v>
      </c>
    </row>
    <row r="298" spans="2:111" x14ac:dyDescent="0.15">
      <c r="B298" s="19" t="str">
        <f t="shared" si="4"/>
        <v>3_女_46</v>
      </c>
      <c r="C298" s="18">
        <v>3</v>
      </c>
      <c r="D298" s="18" t="s">
        <v>2</v>
      </c>
      <c r="E298" s="18">
        <v>46</v>
      </c>
      <c r="F298" s="19">
        <v>6707.5</v>
      </c>
      <c r="G298" s="19">
        <v>15229.3</v>
      </c>
      <c r="H298" s="19">
        <v>25258.9</v>
      </c>
      <c r="I298" s="19">
        <v>26504.799999999999</v>
      </c>
      <c r="J298" s="19">
        <v>26813.1</v>
      </c>
      <c r="K298" s="19">
        <v>27135.8</v>
      </c>
      <c r="L298" s="19">
        <v>27473.5</v>
      </c>
      <c r="M298" s="19">
        <v>27827</v>
      </c>
      <c r="N298" s="19">
        <v>28197.1</v>
      </c>
      <c r="O298" s="19">
        <v>28584.5</v>
      </c>
      <c r="P298" s="19">
        <v>28990.3</v>
      </c>
      <c r="Q298" s="19">
        <v>29415.3</v>
      </c>
      <c r="R298" s="19">
        <v>29860.5</v>
      </c>
      <c r="S298" s="19">
        <v>29327.1</v>
      </c>
      <c r="T298" s="19">
        <v>0</v>
      </c>
      <c r="U298" s="19">
        <v>0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0</v>
      </c>
      <c r="AS298" s="19">
        <v>0</v>
      </c>
      <c r="AT298" s="19">
        <v>0</v>
      </c>
      <c r="AU298" s="19">
        <v>0</v>
      </c>
      <c r="AV298" s="19">
        <v>0</v>
      </c>
      <c r="AW298" s="19">
        <v>0</v>
      </c>
      <c r="AX298" s="19">
        <v>0</v>
      </c>
      <c r="AY298" s="19">
        <v>0</v>
      </c>
      <c r="AZ298" s="19">
        <v>0</v>
      </c>
      <c r="BA298" s="19">
        <v>0</v>
      </c>
      <c r="BB298" s="19">
        <v>0</v>
      </c>
      <c r="BC298" s="19">
        <v>0</v>
      </c>
      <c r="BD298" s="19">
        <v>0</v>
      </c>
      <c r="BE298" s="19">
        <v>0</v>
      </c>
      <c r="BF298" s="19">
        <v>0</v>
      </c>
      <c r="BG298" s="19">
        <v>0</v>
      </c>
      <c r="BH298" s="19">
        <v>0</v>
      </c>
      <c r="BI298" s="19">
        <v>0</v>
      </c>
      <c r="BJ298" s="19">
        <v>0</v>
      </c>
      <c r="BK298" s="19">
        <v>0</v>
      </c>
      <c r="BL298" s="19">
        <v>0</v>
      </c>
      <c r="BM298" s="19">
        <v>0</v>
      </c>
      <c r="BN298" s="19">
        <v>0</v>
      </c>
      <c r="BO298" s="19">
        <v>0</v>
      </c>
      <c r="BP298" s="19">
        <v>0</v>
      </c>
      <c r="BQ298" s="19">
        <v>0</v>
      </c>
      <c r="BR298" s="19">
        <v>0</v>
      </c>
      <c r="BS298" s="19">
        <v>0</v>
      </c>
      <c r="BT298" s="19">
        <v>0</v>
      </c>
      <c r="BU298" s="19">
        <v>0</v>
      </c>
      <c r="BV298" s="19">
        <v>0</v>
      </c>
      <c r="BW298" s="19">
        <v>0</v>
      </c>
      <c r="BX298" s="19">
        <v>0</v>
      </c>
      <c r="BY298" s="19">
        <v>0</v>
      </c>
      <c r="BZ298" s="19">
        <v>0</v>
      </c>
      <c r="CA298" s="19">
        <v>0</v>
      </c>
      <c r="CB298" s="19">
        <v>0</v>
      </c>
      <c r="CC298" s="19">
        <v>0</v>
      </c>
      <c r="CD298" s="19">
        <v>0</v>
      </c>
      <c r="CE298" s="19">
        <v>0</v>
      </c>
      <c r="CF298" s="19">
        <v>0</v>
      </c>
      <c r="CG298" s="19">
        <v>0</v>
      </c>
      <c r="CH298" s="19">
        <v>0</v>
      </c>
      <c r="CI298" s="19">
        <v>0</v>
      </c>
      <c r="CJ298" s="19">
        <v>0</v>
      </c>
      <c r="CK298" s="19">
        <v>0</v>
      </c>
      <c r="CL298" s="19">
        <v>0</v>
      </c>
      <c r="CM298" s="19">
        <v>0</v>
      </c>
      <c r="CN298" s="19">
        <v>0</v>
      </c>
      <c r="CO298" s="19">
        <v>0</v>
      </c>
      <c r="CP298" s="19">
        <v>0</v>
      </c>
      <c r="CQ298" s="19">
        <v>0</v>
      </c>
      <c r="CR298" s="19">
        <v>0</v>
      </c>
      <c r="CS298" s="19">
        <v>0</v>
      </c>
      <c r="CT298" s="19">
        <v>0</v>
      </c>
      <c r="CU298" s="19">
        <v>0</v>
      </c>
      <c r="CV298" s="19">
        <v>0</v>
      </c>
      <c r="CW298" s="19">
        <v>0</v>
      </c>
      <c r="CX298" s="19">
        <v>0</v>
      </c>
      <c r="CY298" s="19">
        <v>0</v>
      </c>
      <c r="CZ298" s="19">
        <v>0</v>
      </c>
      <c r="DA298" s="19">
        <v>0</v>
      </c>
      <c r="DB298" s="19">
        <v>0</v>
      </c>
      <c r="DC298" s="19">
        <v>0</v>
      </c>
      <c r="DD298" s="19">
        <v>0</v>
      </c>
      <c r="DE298" s="19">
        <v>0</v>
      </c>
      <c r="DF298" s="19">
        <v>0</v>
      </c>
      <c r="DG298" s="19">
        <v>0</v>
      </c>
    </row>
    <row r="299" spans="2:111" x14ac:dyDescent="0.15">
      <c r="B299" s="19" t="str">
        <f t="shared" si="4"/>
        <v>3_女_47</v>
      </c>
      <c r="C299" s="18">
        <v>3</v>
      </c>
      <c r="D299" s="18" t="s">
        <v>2</v>
      </c>
      <c r="E299" s="18">
        <v>47</v>
      </c>
      <c r="F299" s="19">
        <v>6786.4</v>
      </c>
      <c r="G299" s="19">
        <v>15408.3</v>
      </c>
      <c r="H299" s="19">
        <v>25555.3</v>
      </c>
      <c r="I299" s="19">
        <v>26814.6</v>
      </c>
      <c r="J299" s="19">
        <v>27137.200000000001</v>
      </c>
      <c r="K299" s="19">
        <v>27474.9</v>
      </c>
      <c r="L299" s="19">
        <v>27828.3</v>
      </c>
      <c r="M299" s="19">
        <v>28198.2</v>
      </c>
      <c r="N299" s="19">
        <v>28585.5</v>
      </c>
      <c r="O299" s="19">
        <v>28991.1</v>
      </c>
      <c r="P299" s="19">
        <v>29415.8</v>
      </c>
      <c r="Q299" s="19">
        <v>29860.799999999999</v>
      </c>
      <c r="R299" s="19">
        <v>29327.1</v>
      </c>
      <c r="S299" s="19">
        <v>0</v>
      </c>
      <c r="T299" s="19">
        <v>0</v>
      </c>
      <c r="U299" s="19">
        <v>0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0</v>
      </c>
      <c r="AT299" s="19">
        <v>0</v>
      </c>
      <c r="AU299" s="19">
        <v>0</v>
      </c>
      <c r="AV299" s="19">
        <v>0</v>
      </c>
      <c r="AW299" s="19">
        <v>0</v>
      </c>
      <c r="AX299" s="19">
        <v>0</v>
      </c>
      <c r="AY299" s="19">
        <v>0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0</v>
      </c>
      <c r="BH299" s="19">
        <v>0</v>
      </c>
      <c r="BI299" s="19">
        <v>0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  <c r="BP299" s="19">
        <v>0</v>
      </c>
      <c r="BQ299" s="19">
        <v>0</v>
      </c>
      <c r="BR299" s="19">
        <v>0</v>
      </c>
      <c r="BS299" s="19">
        <v>0</v>
      </c>
      <c r="BT299" s="19">
        <v>0</v>
      </c>
      <c r="BU299" s="19">
        <v>0</v>
      </c>
      <c r="BV299" s="19">
        <v>0</v>
      </c>
      <c r="BW299" s="19">
        <v>0</v>
      </c>
      <c r="BX299" s="19">
        <v>0</v>
      </c>
      <c r="BY299" s="19">
        <v>0</v>
      </c>
      <c r="BZ299" s="19">
        <v>0</v>
      </c>
      <c r="CA299" s="19">
        <v>0</v>
      </c>
      <c r="CB299" s="19">
        <v>0</v>
      </c>
      <c r="CC299" s="19">
        <v>0</v>
      </c>
      <c r="CD299" s="19">
        <v>0</v>
      </c>
      <c r="CE299" s="19">
        <v>0</v>
      </c>
      <c r="CF299" s="19">
        <v>0</v>
      </c>
      <c r="CG299" s="19">
        <v>0</v>
      </c>
      <c r="CH299" s="19">
        <v>0</v>
      </c>
      <c r="CI299" s="19">
        <v>0</v>
      </c>
      <c r="CJ299" s="19">
        <v>0</v>
      </c>
      <c r="CK299" s="19">
        <v>0</v>
      </c>
      <c r="CL299" s="19">
        <v>0</v>
      </c>
      <c r="CM299" s="19">
        <v>0</v>
      </c>
      <c r="CN299" s="19">
        <v>0</v>
      </c>
      <c r="CO299" s="19">
        <v>0</v>
      </c>
      <c r="CP299" s="19">
        <v>0</v>
      </c>
      <c r="CQ299" s="19">
        <v>0</v>
      </c>
      <c r="CR299" s="19">
        <v>0</v>
      </c>
      <c r="CS299" s="19">
        <v>0</v>
      </c>
      <c r="CT299" s="19">
        <v>0</v>
      </c>
      <c r="CU299" s="19">
        <v>0</v>
      </c>
      <c r="CV299" s="19">
        <v>0</v>
      </c>
      <c r="CW299" s="19">
        <v>0</v>
      </c>
      <c r="CX299" s="19">
        <v>0</v>
      </c>
      <c r="CY299" s="19">
        <v>0</v>
      </c>
      <c r="CZ299" s="19">
        <v>0</v>
      </c>
      <c r="DA299" s="19">
        <v>0</v>
      </c>
      <c r="DB299" s="19">
        <v>0</v>
      </c>
      <c r="DC299" s="19">
        <v>0</v>
      </c>
      <c r="DD299" s="19">
        <v>0</v>
      </c>
      <c r="DE299" s="19">
        <v>0</v>
      </c>
      <c r="DF299" s="19">
        <v>0</v>
      </c>
      <c r="DG299" s="19">
        <v>0</v>
      </c>
    </row>
    <row r="300" spans="2:111" x14ac:dyDescent="0.15">
      <c r="B300" s="19" t="str">
        <f t="shared" si="4"/>
        <v>3_女_48</v>
      </c>
      <c r="C300" s="18">
        <v>3</v>
      </c>
      <c r="D300" s="18" t="s">
        <v>2</v>
      </c>
      <c r="E300" s="18">
        <v>48</v>
      </c>
      <c r="F300" s="19">
        <v>6869</v>
      </c>
      <c r="G300" s="19">
        <v>15595.4</v>
      </c>
      <c r="H300" s="19">
        <v>25865.3</v>
      </c>
      <c r="I300" s="19">
        <v>27138.799999999999</v>
      </c>
      <c r="J300" s="19">
        <v>27476.3</v>
      </c>
      <c r="K300" s="19">
        <v>27829.599999999999</v>
      </c>
      <c r="L300" s="19">
        <v>28199.4</v>
      </c>
      <c r="M300" s="19">
        <v>28586.5</v>
      </c>
      <c r="N300" s="19">
        <v>28991.9</v>
      </c>
      <c r="O300" s="19">
        <v>29416.400000000001</v>
      </c>
      <c r="P300" s="19">
        <v>29861.1</v>
      </c>
      <c r="Q300" s="19">
        <v>29327.1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0</v>
      </c>
      <c r="AU300" s="19">
        <v>0</v>
      </c>
      <c r="AV300" s="19">
        <v>0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0</v>
      </c>
      <c r="BH300" s="19">
        <v>0</v>
      </c>
      <c r="BI300" s="19">
        <v>0</v>
      </c>
      <c r="BJ300" s="19">
        <v>0</v>
      </c>
      <c r="BK300" s="19">
        <v>0</v>
      </c>
      <c r="BL300" s="19">
        <v>0</v>
      </c>
      <c r="BM300" s="19">
        <v>0</v>
      </c>
      <c r="BN300" s="19">
        <v>0</v>
      </c>
      <c r="BO300" s="19">
        <v>0</v>
      </c>
      <c r="BP300" s="19">
        <v>0</v>
      </c>
      <c r="BQ300" s="19">
        <v>0</v>
      </c>
      <c r="BR300" s="19">
        <v>0</v>
      </c>
      <c r="BS300" s="19">
        <v>0</v>
      </c>
      <c r="BT300" s="19">
        <v>0</v>
      </c>
      <c r="BU300" s="19">
        <v>0</v>
      </c>
      <c r="BV300" s="19">
        <v>0</v>
      </c>
      <c r="BW300" s="19">
        <v>0</v>
      </c>
      <c r="BX300" s="19">
        <v>0</v>
      </c>
      <c r="BY300" s="19">
        <v>0</v>
      </c>
      <c r="BZ300" s="19">
        <v>0</v>
      </c>
      <c r="CA300" s="19">
        <v>0</v>
      </c>
      <c r="CB300" s="19">
        <v>0</v>
      </c>
      <c r="CC300" s="19">
        <v>0</v>
      </c>
      <c r="CD300" s="19">
        <v>0</v>
      </c>
      <c r="CE300" s="19">
        <v>0</v>
      </c>
      <c r="CF300" s="19">
        <v>0</v>
      </c>
      <c r="CG300" s="19">
        <v>0</v>
      </c>
      <c r="CH300" s="19">
        <v>0</v>
      </c>
      <c r="CI300" s="19">
        <v>0</v>
      </c>
      <c r="CJ300" s="19">
        <v>0</v>
      </c>
      <c r="CK300" s="19">
        <v>0</v>
      </c>
      <c r="CL300" s="19">
        <v>0</v>
      </c>
      <c r="CM300" s="19">
        <v>0</v>
      </c>
      <c r="CN300" s="19">
        <v>0</v>
      </c>
      <c r="CO300" s="19">
        <v>0</v>
      </c>
      <c r="CP300" s="19">
        <v>0</v>
      </c>
      <c r="CQ300" s="19">
        <v>0</v>
      </c>
      <c r="CR300" s="19">
        <v>0</v>
      </c>
      <c r="CS300" s="19">
        <v>0</v>
      </c>
      <c r="CT300" s="19">
        <v>0</v>
      </c>
      <c r="CU300" s="19">
        <v>0</v>
      </c>
      <c r="CV300" s="19">
        <v>0</v>
      </c>
      <c r="CW300" s="19">
        <v>0</v>
      </c>
      <c r="CX300" s="19">
        <v>0</v>
      </c>
      <c r="CY300" s="19">
        <v>0</v>
      </c>
      <c r="CZ300" s="19">
        <v>0</v>
      </c>
      <c r="DA300" s="19">
        <v>0</v>
      </c>
      <c r="DB300" s="19">
        <v>0</v>
      </c>
      <c r="DC300" s="19">
        <v>0</v>
      </c>
      <c r="DD300" s="19">
        <v>0</v>
      </c>
      <c r="DE300" s="19">
        <v>0</v>
      </c>
      <c r="DF300" s="19">
        <v>0</v>
      </c>
      <c r="DG300" s="19">
        <v>0</v>
      </c>
    </row>
    <row r="301" spans="2:111" x14ac:dyDescent="0.15">
      <c r="B301" s="19" t="str">
        <f t="shared" si="4"/>
        <v>3_女_49</v>
      </c>
      <c r="C301" s="18">
        <v>3</v>
      </c>
      <c r="D301" s="18" t="s">
        <v>2</v>
      </c>
      <c r="E301" s="18">
        <v>49</v>
      </c>
      <c r="F301" s="19">
        <v>6955.4</v>
      </c>
      <c r="G301" s="19">
        <v>15791.2</v>
      </c>
      <c r="H301" s="19">
        <v>26189.5</v>
      </c>
      <c r="I301" s="19">
        <v>27477.8</v>
      </c>
      <c r="J301" s="19">
        <v>27830.9</v>
      </c>
      <c r="K301" s="19">
        <v>28200.6</v>
      </c>
      <c r="L301" s="19">
        <v>28587.599999999999</v>
      </c>
      <c r="M301" s="19">
        <v>28992.7</v>
      </c>
      <c r="N301" s="19">
        <v>29417</v>
      </c>
      <c r="O301" s="19">
        <v>29861.4</v>
      </c>
      <c r="P301" s="19">
        <v>29327.1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0</v>
      </c>
      <c r="Y301" s="19">
        <v>0</v>
      </c>
      <c r="Z301" s="19">
        <v>0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19">
        <v>0</v>
      </c>
      <c r="AM301" s="19">
        <v>0</v>
      </c>
      <c r="AN301" s="19">
        <v>0</v>
      </c>
      <c r="AO301" s="19">
        <v>0</v>
      </c>
      <c r="AP301" s="19">
        <v>0</v>
      </c>
      <c r="AQ301" s="19">
        <v>0</v>
      </c>
      <c r="AR301" s="19">
        <v>0</v>
      </c>
      <c r="AS301" s="19">
        <v>0</v>
      </c>
      <c r="AT301" s="19">
        <v>0</v>
      </c>
      <c r="AU301" s="19">
        <v>0</v>
      </c>
      <c r="AV301" s="19">
        <v>0</v>
      </c>
      <c r="AW301" s="19">
        <v>0</v>
      </c>
      <c r="AX301" s="19">
        <v>0</v>
      </c>
      <c r="AY301" s="19">
        <v>0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0</v>
      </c>
      <c r="BH301" s="19">
        <v>0</v>
      </c>
      <c r="BI301" s="19">
        <v>0</v>
      </c>
      <c r="BJ301" s="19">
        <v>0</v>
      </c>
      <c r="BK301" s="19">
        <v>0</v>
      </c>
      <c r="BL301" s="19">
        <v>0</v>
      </c>
      <c r="BM301" s="19">
        <v>0</v>
      </c>
      <c r="BN301" s="19">
        <v>0</v>
      </c>
      <c r="BO301" s="19">
        <v>0</v>
      </c>
      <c r="BP301" s="19">
        <v>0</v>
      </c>
      <c r="BQ301" s="19">
        <v>0</v>
      </c>
      <c r="BR301" s="19">
        <v>0</v>
      </c>
      <c r="BS301" s="19">
        <v>0</v>
      </c>
      <c r="BT301" s="19">
        <v>0</v>
      </c>
      <c r="BU301" s="19">
        <v>0</v>
      </c>
      <c r="BV301" s="19">
        <v>0</v>
      </c>
      <c r="BW301" s="19">
        <v>0</v>
      </c>
      <c r="BX301" s="19">
        <v>0</v>
      </c>
      <c r="BY301" s="19">
        <v>0</v>
      </c>
      <c r="BZ301" s="19">
        <v>0</v>
      </c>
      <c r="CA301" s="19">
        <v>0</v>
      </c>
      <c r="CB301" s="19">
        <v>0</v>
      </c>
      <c r="CC301" s="19">
        <v>0</v>
      </c>
      <c r="CD301" s="19">
        <v>0</v>
      </c>
      <c r="CE301" s="19">
        <v>0</v>
      </c>
      <c r="CF301" s="19">
        <v>0</v>
      </c>
      <c r="CG301" s="19">
        <v>0</v>
      </c>
      <c r="CH301" s="19">
        <v>0</v>
      </c>
      <c r="CI301" s="19">
        <v>0</v>
      </c>
      <c r="CJ301" s="19">
        <v>0</v>
      </c>
      <c r="CK301" s="19">
        <v>0</v>
      </c>
      <c r="CL301" s="19">
        <v>0</v>
      </c>
      <c r="CM301" s="19">
        <v>0</v>
      </c>
      <c r="CN301" s="19">
        <v>0</v>
      </c>
      <c r="CO301" s="19">
        <v>0</v>
      </c>
      <c r="CP301" s="19">
        <v>0</v>
      </c>
      <c r="CQ301" s="19">
        <v>0</v>
      </c>
      <c r="CR301" s="19">
        <v>0</v>
      </c>
      <c r="CS301" s="19">
        <v>0</v>
      </c>
      <c r="CT301" s="19">
        <v>0</v>
      </c>
      <c r="CU301" s="19">
        <v>0</v>
      </c>
      <c r="CV301" s="19">
        <v>0</v>
      </c>
      <c r="CW301" s="19">
        <v>0</v>
      </c>
      <c r="CX301" s="19">
        <v>0</v>
      </c>
      <c r="CY301" s="19">
        <v>0</v>
      </c>
      <c r="CZ301" s="19">
        <v>0</v>
      </c>
      <c r="DA301" s="19">
        <v>0</v>
      </c>
      <c r="DB301" s="19">
        <v>0</v>
      </c>
      <c r="DC301" s="19">
        <v>0</v>
      </c>
      <c r="DD301" s="19">
        <v>0</v>
      </c>
      <c r="DE301" s="19">
        <v>0</v>
      </c>
      <c r="DF301" s="19">
        <v>0</v>
      </c>
      <c r="DG301" s="19">
        <v>0</v>
      </c>
    </row>
    <row r="302" spans="2:111" x14ac:dyDescent="0.15">
      <c r="B302" s="19" t="str">
        <f t="shared" si="4"/>
        <v>3_女_50</v>
      </c>
      <c r="C302" s="18">
        <v>3</v>
      </c>
      <c r="D302" s="18" t="s">
        <v>2</v>
      </c>
      <c r="E302" s="18">
        <v>50</v>
      </c>
      <c r="F302" s="19">
        <v>7045.7</v>
      </c>
      <c r="G302" s="19">
        <v>15995.9</v>
      </c>
      <c r="H302" s="19">
        <v>26528.6</v>
      </c>
      <c r="I302" s="19">
        <v>27832.3</v>
      </c>
      <c r="J302" s="19">
        <v>28201.8</v>
      </c>
      <c r="K302" s="19">
        <v>28588.6</v>
      </c>
      <c r="L302" s="19">
        <v>28993.599999999999</v>
      </c>
      <c r="M302" s="19">
        <v>29417.599999999999</v>
      </c>
      <c r="N302" s="19">
        <v>29861.8</v>
      </c>
      <c r="O302" s="19">
        <v>29327.1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 s="19">
        <v>0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0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19">
        <v>0</v>
      </c>
      <c r="BC302" s="19">
        <v>0</v>
      </c>
      <c r="BD302" s="19">
        <v>0</v>
      </c>
      <c r="BE302" s="19">
        <v>0</v>
      </c>
      <c r="BF302" s="19">
        <v>0</v>
      </c>
      <c r="BG302" s="19">
        <v>0</v>
      </c>
      <c r="BH302" s="19">
        <v>0</v>
      </c>
      <c r="BI302" s="19">
        <v>0</v>
      </c>
      <c r="BJ302" s="19">
        <v>0</v>
      </c>
      <c r="BK302" s="19">
        <v>0</v>
      </c>
      <c r="BL302" s="19">
        <v>0</v>
      </c>
      <c r="BM302" s="19">
        <v>0</v>
      </c>
      <c r="BN302" s="19">
        <v>0</v>
      </c>
      <c r="BO302" s="19">
        <v>0</v>
      </c>
      <c r="BP302" s="19">
        <v>0</v>
      </c>
      <c r="BQ302" s="19">
        <v>0</v>
      </c>
      <c r="BR302" s="19">
        <v>0</v>
      </c>
      <c r="BS302" s="19">
        <v>0</v>
      </c>
      <c r="BT302" s="19">
        <v>0</v>
      </c>
      <c r="BU302" s="19">
        <v>0</v>
      </c>
      <c r="BV302" s="19">
        <v>0</v>
      </c>
      <c r="BW302" s="19">
        <v>0</v>
      </c>
      <c r="BX302" s="19">
        <v>0</v>
      </c>
      <c r="BY302" s="19">
        <v>0</v>
      </c>
      <c r="BZ302" s="19">
        <v>0</v>
      </c>
      <c r="CA302" s="19">
        <v>0</v>
      </c>
      <c r="CB302" s="19">
        <v>0</v>
      </c>
      <c r="CC302" s="19">
        <v>0</v>
      </c>
      <c r="CD302" s="19">
        <v>0</v>
      </c>
      <c r="CE302" s="19">
        <v>0</v>
      </c>
      <c r="CF302" s="19">
        <v>0</v>
      </c>
      <c r="CG302" s="19">
        <v>0</v>
      </c>
      <c r="CH302" s="19">
        <v>0</v>
      </c>
      <c r="CI302" s="19">
        <v>0</v>
      </c>
      <c r="CJ302" s="19">
        <v>0</v>
      </c>
      <c r="CK302" s="19">
        <v>0</v>
      </c>
      <c r="CL302" s="19">
        <v>0</v>
      </c>
      <c r="CM302" s="19">
        <v>0</v>
      </c>
      <c r="CN302" s="19">
        <v>0</v>
      </c>
      <c r="CO302" s="19">
        <v>0</v>
      </c>
      <c r="CP302" s="19">
        <v>0</v>
      </c>
      <c r="CQ302" s="19">
        <v>0</v>
      </c>
      <c r="CR302" s="19">
        <v>0</v>
      </c>
      <c r="CS302" s="19">
        <v>0</v>
      </c>
      <c r="CT302" s="19">
        <v>0</v>
      </c>
      <c r="CU302" s="19">
        <v>0</v>
      </c>
      <c r="CV302" s="19">
        <v>0</v>
      </c>
      <c r="CW302" s="19">
        <v>0</v>
      </c>
      <c r="CX302" s="19">
        <v>0</v>
      </c>
      <c r="CY302" s="19">
        <v>0</v>
      </c>
      <c r="CZ302" s="19">
        <v>0</v>
      </c>
      <c r="DA302" s="19">
        <v>0</v>
      </c>
      <c r="DB302" s="19">
        <v>0</v>
      </c>
      <c r="DC302" s="19">
        <v>0</v>
      </c>
      <c r="DD302" s="19">
        <v>0</v>
      </c>
      <c r="DE302" s="19">
        <v>0</v>
      </c>
      <c r="DF302" s="19">
        <v>0</v>
      </c>
      <c r="DG302" s="19">
        <v>0</v>
      </c>
    </row>
    <row r="303" spans="2:111" x14ac:dyDescent="0.15">
      <c r="B303" s="19" t="str">
        <f t="shared" si="4"/>
        <v>5_女_0</v>
      </c>
      <c r="C303" s="18">
        <v>5</v>
      </c>
      <c r="D303" s="18" t="s">
        <v>2</v>
      </c>
      <c r="E303" s="18">
        <v>0</v>
      </c>
      <c r="F303" s="19">
        <v>3076.7</v>
      </c>
      <c r="G303" s="19">
        <v>6893</v>
      </c>
      <c r="H303" s="19">
        <v>11289.7</v>
      </c>
      <c r="I303" s="19">
        <v>16314.8</v>
      </c>
      <c r="J303" s="19">
        <v>20779.900000000001</v>
      </c>
      <c r="K303" s="19">
        <v>20816.599999999999</v>
      </c>
      <c r="L303" s="19">
        <v>20855.400000000001</v>
      </c>
      <c r="M303" s="19">
        <v>20896.3</v>
      </c>
      <c r="N303" s="19">
        <v>20939.3</v>
      </c>
      <c r="O303" s="19">
        <v>20984.5</v>
      </c>
      <c r="P303" s="19">
        <v>21031.9</v>
      </c>
      <c r="Q303" s="19">
        <v>21081.7</v>
      </c>
      <c r="R303" s="19">
        <v>21134</v>
      </c>
      <c r="S303" s="19">
        <v>21188.7</v>
      </c>
      <c r="T303" s="19">
        <v>21246.1</v>
      </c>
      <c r="U303" s="19">
        <v>21306.3</v>
      </c>
      <c r="V303" s="19">
        <v>21369.4</v>
      </c>
      <c r="W303" s="19">
        <v>21435.5</v>
      </c>
      <c r="X303" s="19">
        <v>21504.799999999999</v>
      </c>
      <c r="Y303" s="19">
        <v>21577.4</v>
      </c>
      <c r="Z303" s="19">
        <v>21653.599999999999</v>
      </c>
      <c r="AA303" s="19">
        <v>21733.5</v>
      </c>
      <c r="AB303" s="19">
        <v>21817.3</v>
      </c>
      <c r="AC303" s="19">
        <v>21905.200000000001</v>
      </c>
      <c r="AD303" s="19">
        <v>21997.3</v>
      </c>
      <c r="AE303" s="19">
        <v>22094</v>
      </c>
      <c r="AF303" s="19">
        <v>22195.4</v>
      </c>
      <c r="AG303" s="19">
        <v>22301.8</v>
      </c>
      <c r="AH303" s="19">
        <v>22413.3</v>
      </c>
      <c r="AI303" s="19">
        <v>22530.3</v>
      </c>
      <c r="AJ303" s="19">
        <v>22653</v>
      </c>
      <c r="AK303" s="19">
        <v>22781.7</v>
      </c>
      <c r="AL303" s="19">
        <v>22916.6</v>
      </c>
      <c r="AM303" s="19">
        <v>23057.9</v>
      </c>
      <c r="AN303" s="19">
        <v>23206.1</v>
      </c>
      <c r="AO303" s="19">
        <v>23361.3</v>
      </c>
      <c r="AP303" s="19">
        <v>23523.9</v>
      </c>
      <c r="AQ303" s="19">
        <v>23694.2</v>
      </c>
      <c r="AR303" s="19">
        <v>23872.5</v>
      </c>
      <c r="AS303" s="19">
        <v>24059.200000000001</v>
      </c>
      <c r="AT303" s="19">
        <v>24254.6</v>
      </c>
      <c r="AU303" s="19">
        <v>24459.3</v>
      </c>
      <c r="AV303" s="19">
        <v>24673.5</v>
      </c>
      <c r="AW303" s="19">
        <v>24897.7</v>
      </c>
      <c r="AX303" s="19">
        <v>25132.400000000001</v>
      </c>
      <c r="AY303" s="19">
        <v>25378.2</v>
      </c>
      <c r="AZ303" s="19">
        <v>25635.4</v>
      </c>
      <c r="BA303" s="19">
        <v>25904.799999999999</v>
      </c>
      <c r="BB303" s="19">
        <v>26186.799999999999</v>
      </c>
      <c r="BC303" s="19">
        <v>26482</v>
      </c>
      <c r="BD303" s="19">
        <v>26791.200000000001</v>
      </c>
      <c r="BE303" s="19">
        <v>27115</v>
      </c>
      <c r="BF303" s="19">
        <v>27454</v>
      </c>
      <c r="BG303" s="19">
        <v>27809.200000000001</v>
      </c>
      <c r="BH303" s="19">
        <v>28181.200000000001</v>
      </c>
      <c r="BI303" s="19">
        <v>28571</v>
      </c>
      <c r="BJ303" s="19">
        <v>28979.4</v>
      </c>
      <c r="BK303" s="19">
        <v>29407.5</v>
      </c>
      <c r="BL303" s="19">
        <v>29856.400000000001</v>
      </c>
      <c r="BM303" s="19">
        <v>29327.1</v>
      </c>
      <c r="BN303" s="19">
        <v>0</v>
      </c>
      <c r="BO303" s="19">
        <v>0</v>
      </c>
      <c r="BP303" s="19">
        <v>0</v>
      </c>
      <c r="BQ303" s="19">
        <v>0</v>
      </c>
      <c r="BR303" s="19">
        <v>0</v>
      </c>
      <c r="BS303" s="19">
        <v>0</v>
      </c>
      <c r="BT303" s="19">
        <v>0</v>
      </c>
      <c r="BU303" s="19">
        <v>0</v>
      </c>
      <c r="BV303" s="19">
        <v>0</v>
      </c>
      <c r="BW303" s="19">
        <v>0</v>
      </c>
      <c r="BX303" s="19">
        <v>0</v>
      </c>
      <c r="BY303" s="19">
        <v>0</v>
      </c>
      <c r="BZ303" s="19">
        <v>0</v>
      </c>
      <c r="CA303" s="19">
        <v>0</v>
      </c>
      <c r="CB303" s="19">
        <v>0</v>
      </c>
      <c r="CC303" s="19">
        <v>0</v>
      </c>
      <c r="CD303" s="19">
        <v>0</v>
      </c>
      <c r="CE303" s="19">
        <v>0</v>
      </c>
      <c r="CF303" s="19">
        <v>0</v>
      </c>
      <c r="CG303" s="19">
        <v>0</v>
      </c>
      <c r="CH303" s="19">
        <v>0</v>
      </c>
      <c r="CI303" s="19">
        <v>0</v>
      </c>
      <c r="CJ303" s="19">
        <v>0</v>
      </c>
      <c r="CK303" s="19">
        <v>0</v>
      </c>
      <c r="CL303" s="19">
        <v>0</v>
      </c>
      <c r="CM303" s="19">
        <v>0</v>
      </c>
      <c r="CN303" s="19">
        <v>0</v>
      </c>
      <c r="CO303" s="19">
        <v>0</v>
      </c>
      <c r="CP303" s="19">
        <v>0</v>
      </c>
      <c r="CQ303" s="19">
        <v>0</v>
      </c>
      <c r="CR303" s="19">
        <v>0</v>
      </c>
      <c r="CS303" s="19">
        <v>0</v>
      </c>
      <c r="CT303" s="19">
        <v>0</v>
      </c>
      <c r="CU303" s="19">
        <v>0</v>
      </c>
      <c r="CV303" s="19">
        <v>0</v>
      </c>
      <c r="CW303" s="19">
        <v>0</v>
      </c>
      <c r="CX303" s="19">
        <v>0</v>
      </c>
      <c r="CY303" s="19">
        <v>0</v>
      </c>
      <c r="CZ303" s="19">
        <v>0</v>
      </c>
      <c r="DA303" s="19">
        <v>0</v>
      </c>
      <c r="DB303" s="19">
        <v>0</v>
      </c>
      <c r="DC303" s="19">
        <v>0</v>
      </c>
      <c r="DD303" s="19">
        <v>0</v>
      </c>
      <c r="DE303" s="19">
        <v>0</v>
      </c>
      <c r="DF303" s="19">
        <v>0</v>
      </c>
      <c r="DG303" s="19">
        <v>0</v>
      </c>
    </row>
    <row r="304" spans="2:111" x14ac:dyDescent="0.15">
      <c r="B304" s="19" t="str">
        <f t="shared" si="4"/>
        <v>5_女_1</v>
      </c>
      <c r="C304" s="18">
        <v>5</v>
      </c>
      <c r="D304" s="18" t="s">
        <v>2</v>
      </c>
      <c r="E304" s="18">
        <v>1</v>
      </c>
      <c r="F304" s="19">
        <v>3082</v>
      </c>
      <c r="G304" s="19">
        <v>6904.9</v>
      </c>
      <c r="H304" s="19">
        <v>11309.2</v>
      </c>
      <c r="I304" s="19">
        <v>16342.7</v>
      </c>
      <c r="J304" s="19">
        <v>20816.7</v>
      </c>
      <c r="K304" s="19">
        <v>20855.5</v>
      </c>
      <c r="L304" s="19">
        <v>20896.400000000001</v>
      </c>
      <c r="M304" s="19">
        <v>20939.400000000001</v>
      </c>
      <c r="N304" s="19">
        <v>20984.6</v>
      </c>
      <c r="O304" s="19">
        <v>21032.1</v>
      </c>
      <c r="P304" s="19">
        <v>21081.9</v>
      </c>
      <c r="Q304" s="19">
        <v>21134.2</v>
      </c>
      <c r="R304" s="19">
        <v>21188.9</v>
      </c>
      <c r="S304" s="19">
        <v>21246.3</v>
      </c>
      <c r="T304" s="19">
        <v>21306.5</v>
      </c>
      <c r="U304" s="19">
        <v>21369.599999999999</v>
      </c>
      <c r="V304" s="19">
        <v>21435.7</v>
      </c>
      <c r="W304" s="19">
        <v>21505</v>
      </c>
      <c r="X304" s="19">
        <v>21577.7</v>
      </c>
      <c r="Y304" s="19">
        <v>21653.9</v>
      </c>
      <c r="Z304" s="19">
        <v>21733.8</v>
      </c>
      <c r="AA304" s="19">
        <v>21817.599999999999</v>
      </c>
      <c r="AB304" s="19">
        <v>21905.5</v>
      </c>
      <c r="AC304" s="19">
        <v>21997.599999999999</v>
      </c>
      <c r="AD304" s="19">
        <v>22094.3</v>
      </c>
      <c r="AE304" s="19">
        <v>22195.7</v>
      </c>
      <c r="AF304" s="19">
        <v>22302.1</v>
      </c>
      <c r="AG304" s="19">
        <v>22413.599999999999</v>
      </c>
      <c r="AH304" s="19">
        <v>22530.7</v>
      </c>
      <c r="AI304" s="19">
        <v>22653.4</v>
      </c>
      <c r="AJ304" s="19">
        <v>22782</v>
      </c>
      <c r="AK304" s="19">
        <v>22916.9</v>
      </c>
      <c r="AL304" s="19">
        <v>23058.3</v>
      </c>
      <c r="AM304" s="19">
        <v>23206.5</v>
      </c>
      <c r="AN304" s="19">
        <v>23361.7</v>
      </c>
      <c r="AO304" s="19">
        <v>23524.3</v>
      </c>
      <c r="AP304" s="19">
        <v>23694.6</v>
      </c>
      <c r="AQ304" s="19">
        <v>23872.9</v>
      </c>
      <c r="AR304" s="19">
        <v>24059.599999999999</v>
      </c>
      <c r="AS304" s="19">
        <v>24255.1</v>
      </c>
      <c r="AT304" s="19">
        <v>24459.7</v>
      </c>
      <c r="AU304" s="19">
        <v>24673.9</v>
      </c>
      <c r="AV304" s="19">
        <v>24898.1</v>
      </c>
      <c r="AW304" s="19">
        <v>25132.9</v>
      </c>
      <c r="AX304" s="19">
        <v>25378.6</v>
      </c>
      <c r="AY304" s="19">
        <v>25635.9</v>
      </c>
      <c r="AZ304" s="19">
        <v>25905.200000000001</v>
      </c>
      <c r="BA304" s="19">
        <v>26187.200000000001</v>
      </c>
      <c r="BB304" s="19">
        <v>26482.400000000001</v>
      </c>
      <c r="BC304" s="19">
        <v>26791.599999999999</v>
      </c>
      <c r="BD304" s="19">
        <v>27115.3</v>
      </c>
      <c r="BE304" s="19">
        <v>27454.400000000001</v>
      </c>
      <c r="BF304" s="19">
        <v>27809.5</v>
      </c>
      <c r="BG304" s="19">
        <v>28181.5</v>
      </c>
      <c r="BH304" s="19">
        <v>28571.200000000001</v>
      </c>
      <c r="BI304" s="19">
        <v>28979.599999999999</v>
      </c>
      <c r="BJ304" s="19">
        <v>29407.599999999999</v>
      </c>
      <c r="BK304" s="19">
        <v>29856.400000000001</v>
      </c>
      <c r="BL304" s="19">
        <v>29327.1</v>
      </c>
      <c r="BM304" s="19">
        <v>0</v>
      </c>
      <c r="BN304" s="19">
        <v>0</v>
      </c>
      <c r="BO304" s="19">
        <v>0</v>
      </c>
      <c r="BP304" s="19">
        <v>0</v>
      </c>
      <c r="BQ304" s="19">
        <v>0</v>
      </c>
      <c r="BR304" s="19">
        <v>0</v>
      </c>
      <c r="BS304" s="19">
        <v>0</v>
      </c>
      <c r="BT304" s="19">
        <v>0</v>
      </c>
      <c r="BU304" s="19">
        <v>0</v>
      </c>
      <c r="BV304" s="19">
        <v>0</v>
      </c>
      <c r="BW304" s="19">
        <v>0</v>
      </c>
      <c r="BX304" s="19">
        <v>0</v>
      </c>
      <c r="BY304" s="19">
        <v>0</v>
      </c>
      <c r="BZ304" s="19">
        <v>0</v>
      </c>
      <c r="CA304" s="19">
        <v>0</v>
      </c>
      <c r="CB304" s="19">
        <v>0</v>
      </c>
      <c r="CC304" s="19">
        <v>0</v>
      </c>
      <c r="CD304" s="19">
        <v>0</v>
      </c>
      <c r="CE304" s="19">
        <v>0</v>
      </c>
      <c r="CF304" s="19">
        <v>0</v>
      </c>
      <c r="CG304" s="19">
        <v>0</v>
      </c>
      <c r="CH304" s="19">
        <v>0</v>
      </c>
      <c r="CI304" s="19">
        <v>0</v>
      </c>
      <c r="CJ304" s="19">
        <v>0</v>
      </c>
      <c r="CK304" s="19">
        <v>0</v>
      </c>
      <c r="CL304" s="19">
        <v>0</v>
      </c>
      <c r="CM304" s="19">
        <v>0</v>
      </c>
      <c r="CN304" s="19">
        <v>0</v>
      </c>
      <c r="CO304" s="19">
        <v>0</v>
      </c>
      <c r="CP304" s="19">
        <v>0</v>
      </c>
      <c r="CQ304" s="19">
        <v>0</v>
      </c>
      <c r="CR304" s="19">
        <v>0</v>
      </c>
      <c r="CS304" s="19">
        <v>0</v>
      </c>
      <c r="CT304" s="19">
        <v>0</v>
      </c>
      <c r="CU304" s="19">
        <v>0</v>
      </c>
      <c r="CV304" s="19">
        <v>0</v>
      </c>
      <c r="CW304" s="19">
        <v>0</v>
      </c>
      <c r="CX304" s="19">
        <v>0</v>
      </c>
      <c r="CY304" s="19">
        <v>0</v>
      </c>
      <c r="CZ304" s="19">
        <v>0</v>
      </c>
      <c r="DA304" s="19">
        <v>0</v>
      </c>
      <c r="DB304" s="19">
        <v>0</v>
      </c>
      <c r="DC304" s="19">
        <v>0</v>
      </c>
      <c r="DD304" s="19">
        <v>0</v>
      </c>
      <c r="DE304" s="19">
        <v>0</v>
      </c>
      <c r="DF304" s="19">
        <v>0</v>
      </c>
      <c r="DG304" s="19">
        <v>0</v>
      </c>
    </row>
    <row r="305" spans="2:111" x14ac:dyDescent="0.15">
      <c r="B305" s="19" t="str">
        <f t="shared" si="4"/>
        <v>5_女_2</v>
      </c>
      <c r="C305" s="18">
        <v>5</v>
      </c>
      <c r="D305" s="18" t="s">
        <v>2</v>
      </c>
      <c r="E305" s="18">
        <v>2</v>
      </c>
      <c r="F305" s="19">
        <v>3087.6</v>
      </c>
      <c r="G305" s="19">
        <v>6917.5</v>
      </c>
      <c r="H305" s="19">
        <v>11329.7</v>
      </c>
      <c r="I305" s="19">
        <v>16372.1</v>
      </c>
      <c r="J305" s="19">
        <v>20855.7</v>
      </c>
      <c r="K305" s="19">
        <v>20896.599999999999</v>
      </c>
      <c r="L305" s="19">
        <v>20939.599999999999</v>
      </c>
      <c r="M305" s="19">
        <v>20984.799999999999</v>
      </c>
      <c r="N305" s="19">
        <v>21032.3</v>
      </c>
      <c r="O305" s="19">
        <v>21082.1</v>
      </c>
      <c r="P305" s="19">
        <v>21134.400000000001</v>
      </c>
      <c r="Q305" s="19">
        <v>21189.1</v>
      </c>
      <c r="R305" s="19">
        <v>21246.6</v>
      </c>
      <c r="S305" s="19">
        <v>21306.7</v>
      </c>
      <c r="T305" s="19">
        <v>21369.8</v>
      </c>
      <c r="U305" s="19">
        <v>21435.9</v>
      </c>
      <c r="V305" s="19">
        <v>21505.3</v>
      </c>
      <c r="W305" s="19">
        <v>21577.9</v>
      </c>
      <c r="X305" s="19">
        <v>21654.1</v>
      </c>
      <c r="Y305" s="19">
        <v>21734.1</v>
      </c>
      <c r="Z305" s="19">
        <v>21817.9</v>
      </c>
      <c r="AA305" s="19">
        <v>21905.7</v>
      </c>
      <c r="AB305" s="19">
        <v>21997.9</v>
      </c>
      <c r="AC305" s="19">
        <v>22094.6</v>
      </c>
      <c r="AD305" s="19">
        <v>22196</v>
      </c>
      <c r="AE305" s="19">
        <v>22302.400000000001</v>
      </c>
      <c r="AF305" s="19">
        <v>22414</v>
      </c>
      <c r="AG305" s="19">
        <v>22531</v>
      </c>
      <c r="AH305" s="19">
        <v>22653.7</v>
      </c>
      <c r="AI305" s="19">
        <v>22782.400000000001</v>
      </c>
      <c r="AJ305" s="19">
        <v>22917.3</v>
      </c>
      <c r="AK305" s="19">
        <v>23058.7</v>
      </c>
      <c r="AL305" s="19">
        <v>23206.9</v>
      </c>
      <c r="AM305" s="19">
        <v>23362.1</v>
      </c>
      <c r="AN305" s="19">
        <v>23524.7</v>
      </c>
      <c r="AO305" s="19">
        <v>23695</v>
      </c>
      <c r="AP305" s="19">
        <v>23873.3</v>
      </c>
      <c r="AQ305" s="19">
        <v>24060</v>
      </c>
      <c r="AR305" s="19">
        <v>24255.5</v>
      </c>
      <c r="AS305" s="19">
        <v>24460.1</v>
      </c>
      <c r="AT305" s="19">
        <v>24674.3</v>
      </c>
      <c r="AU305" s="19">
        <v>24898.6</v>
      </c>
      <c r="AV305" s="19">
        <v>25133.3</v>
      </c>
      <c r="AW305" s="19">
        <v>25379.1</v>
      </c>
      <c r="AX305" s="19">
        <v>25636.3</v>
      </c>
      <c r="AY305" s="19">
        <v>25905.599999999999</v>
      </c>
      <c r="AZ305" s="19">
        <v>26187.599999999999</v>
      </c>
      <c r="BA305" s="19">
        <v>26482.9</v>
      </c>
      <c r="BB305" s="19">
        <v>26792</v>
      </c>
      <c r="BC305" s="19">
        <v>27115.7</v>
      </c>
      <c r="BD305" s="19">
        <v>27454.799999999999</v>
      </c>
      <c r="BE305" s="19">
        <v>27809.8</v>
      </c>
      <c r="BF305" s="19">
        <v>28181.8</v>
      </c>
      <c r="BG305" s="19">
        <v>28571.5</v>
      </c>
      <c r="BH305" s="19">
        <v>28979.8</v>
      </c>
      <c r="BI305" s="19">
        <v>29407.8</v>
      </c>
      <c r="BJ305" s="19">
        <v>29856.5</v>
      </c>
      <c r="BK305" s="19">
        <v>29327.1</v>
      </c>
      <c r="BL305" s="19">
        <v>0</v>
      </c>
      <c r="BM305" s="19">
        <v>0</v>
      </c>
      <c r="BN305" s="19">
        <v>0</v>
      </c>
      <c r="BO305" s="19">
        <v>0</v>
      </c>
      <c r="BP305" s="19">
        <v>0</v>
      </c>
      <c r="BQ305" s="19">
        <v>0</v>
      </c>
      <c r="BR305" s="19">
        <v>0</v>
      </c>
      <c r="BS305" s="19">
        <v>0</v>
      </c>
      <c r="BT305" s="19">
        <v>0</v>
      </c>
      <c r="BU305" s="19">
        <v>0</v>
      </c>
      <c r="BV305" s="19">
        <v>0</v>
      </c>
      <c r="BW305" s="19">
        <v>0</v>
      </c>
      <c r="BX305" s="19">
        <v>0</v>
      </c>
      <c r="BY305" s="19">
        <v>0</v>
      </c>
      <c r="BZ305" s="19">
        <v>0</v>
      </c>
      <c r="CA305" s="19">
        <v>0</v>
      </c>
      <c r="CB305" s="19">
        <v>0</v>
      </c>
      <c r="CC305" s="19">
        <v>0</v>
      </c>
      <c r="CD305" s="19">
        <v>0</v>
      </c>
      <c r="CE305" s="19">
        <v>0</v>
      </c>
      <c r="CF305" s="19">
        <v>0</v>
      </c>
      <c r="CG305" s="19">
        <v>0</v>
      </c>
      <c r="CH305" s="19">
        <v>0</v>
      </c>
      <c r="CI305" s="19">
        <v>0</v>
      </c>
      <c r="CJ305" s="19">
        <v>0</v>
      </c>
      <c r="CK305" s="19">
        <v>0</v>
      </c>
      <c r="CL305" s="19">
        <v>0</v>
      </c>
      <c r="CM305" s="19">
        <v>0</v>
      </c>
      <c r="CN305" s="19">
        <v>0</v>
      </c>
      <c r="CO305" s="19">
        <v>0</v>
      </c>
      <c r="CP305" s="19">
        <v>0</v>
      </c>
      <c r="CQ305" s="19">
        <v>0</v>
      </c>
      <c r="CR305" s="19">
        <v>0</v>
      </c>
      <c r="CS305" s="19">
        <v>0</v>
      </c>
      <c r="CT305" s="19">
        <v>0</v>
      </c>
      <c r="CU305" s="19">
        <v>0</v>
      </c>
      <c r="CV305" s="19">
        <v>0</v>
      </c>
      <c r="CW305" s="19">
        <v>0</v>
      </c>
      <c r="CX305" s="19">
        <v>0</v>
      </c>
      <c r="CY305" s="19">
        <v>0</v>
      </c>
      <c r="CZ305" s="19">
        <v>0</v>
      </c>
      <c r="DA305" s="19">
        <v>0</v>
      </c>
      <c r="DB305" s="19">
        <v>0</v>
      </c>
      <c r="DC305" s="19">
        <v>0</v>
      </c>
      <c r="DD305" s="19">
        <v>0</v>
      </c>
      <c r="DE305" s="19">
        <v>0</v>
      </c>
      <c r="DF305" s="19">
        <v>0</v>
      </c>
      <c r="DG305" s="19">
        <v>0</v>
      </c>
    </row>
    <row r="306" spans="2:111" x14ac:dyDescent="0.15">
      <c r="B306" s="19" t="str">
        <f t="shared" si="4"/>
        <v>5_女_3</v>
      </c>
      <c r="C306" s="18">
        <v>5</v>
      </c>
      <c r="D306" s="18" t="s">
        <v>2</v>
      </c>
      <c r="E306" s="18">
        <v>3</v>
      </c>
      <c r="F306" s="19">
        <v>3093.4</v>
      </c>
      <c r="G306" s="19">
        <v>6930.6</v>
      </c>
      <c r="H306" s="19">
        <v>11351.1</v>
      </c>
      <c r="I306" s="19">
        <v>16402.900000000001</v>
      </c>
      <c r="J306" s="19">
        <v>20896.8</v>
      </c>
      <c r="K306" s="19">
        <v>20939.8</v>
      </c>
      <c r="L306" s="19">
        <v>20985</v>
      </c>
      <c r="M306" s="19">
        <v>21032.5</v>
      </c>
      <c r="N306" s="19">
        <v>21082.3</v>
      </c>
      <c r="O306" s="19">
        <v>21134.6</v>
      </c>
      <c r="P306" s="19">
        <v>21189.4</v>
      </c>
      <c r="Q306" s="19">
        <v>21246.799999999999</v>
      </c>
      <c r="R306" s="19">
        <v>21307</v>
      </c>
      <c r="S306" s="19">
        <v>21370</v>
      </c>
      <c r="T306" s="19">
        <v>21436.2</v>
      </c>
      <c r="U306" s="19">
        <v>21505.5</v>
      </c>
      <c r="V306" s="19">
        <v>21578.2</v>
      </c>
      <c r="W306" s="19">
        <v>21654.400000000001</v>
      </c>
      <c r="X306" s="19">
        <v>21734.3</v>
      </c>
      <c r="Y306" s="19">
        <v>21818.1</v>
      </c>
      <c r="Z306" s="19">
        <v>21906</v>
      </c>
      <c r="AA306" s="19">
        <v>21998.2</v>
      </c>
      <c r="AB306" s="19">
        <v>22094.9</v>
      </c>
      <c r="AC306" s="19">
        <v>22196.400000000001</v>
      </c>
      <c r="AD306" s="19">
        <v>22302.7</v>
      </c>
      <c r="AE306" s="19">
        <v>22414.3</v>
      </c>
      <c r="AF306" s="19">
        <v>22531.4</v>
      </c>
      <c r="AG306" s="19">
        <v>22654.1</v>
      </c>
      <c r="AH306" s="19">
        <v>22782.799999999999</v>
      </c>
      <c r="AI306" s="19">
        <v>22917.7</v>
      </c>
      <c r="AJ306" s="19">
        <v>23059.1</v>
      </c>
      <c r="AK306" s="19">
        <v>23207.3</v>
      </c>
      <c r="AL306" s="19">
        <v>23362.5</v>
      </c>
      <c r="AM306" s="19">
        <v>23525.1</v>
      </c>
      <c r="AN306" s="19">
        <v>23695.4</v>
      </c>
      <c r="AO306" s="19">
        <v>23873.8</v>
      </c>
      <c r="AP306" s="19">
        <v>24060.5</v>
      </c>
      <c r="AQ306" s="19">
        <v>24256</v>
      </c>
      <c r="AR306" s="19">
        <v>24460.6</v>
      </c>
      <c r="AS306" s="19">
        <v>24674.799999999999</v>
      </c>
      <c r="AT306" s="19">
        <v>24899.1</v>
      </c>
      <c r="AU306" s="19">
        <v>25133.8</v>
      </c>
      <c r="AV306" s="19">
        <v>25379.5</v>
      </c>
      <c r="AW306" s="19">
        <v>25636.799999999999</v>
      </c>
      <c r="AX306" s="19">
        <v>25906.1</v>
      </c>
      <c r="AY306" s="19">
        <v>26188.1</v>
      </c>
      <c r="AZ306" s="19">
        <v>26483.3</v>
      </c>
      <c r="BA306" s="19">
        <v>26792.400000000001</v>
      </c>
      <c r="BB306" s="19">
        <v>27116.2</v>
      </c>
      <c r="BC306" s="19">
        <v>27455.1</v>
      </c>
      <c r="BD306" s="19">
        <v>27810.2</v>
      </c>
      <c r="BE306" s="19">
        <v>28182.1</v>
      </c>
      <c r="BF306" s="19">
        <v>28571.7</v>
      </c>
      <c r="BG306" s="19">
        <v>28980</v>
      </c>
      <c r="BH306" s="19">
        <v>29407.9</v>
      </c>
      <c r="BI306" s="19">
        <v>29856.6</v>
      </c>
      <c r="BJ306" s="19">
        <v>29327.1</v>
      </c>
      <c r="BK306" s="19">
        <v>0</v>
      </c>
      <c r="BL306" s="19">
        <v>0</v>
      </c>
      <c r="BM306" s="19">
        <v>0</v>
      </c>
      <c r="BN306" s="19">
        <v>0</v>
      </c>
      <c r="BO306" s="19">
        <v>0</v>
      </c>
      <c r="BP306" s="19">
        <v>0</v>
      </c>
      <c r="BQ306" s="19">
        <v>0</v>
      </c>
      <c r="BR306" s="19">
        <v>0</v>
      </c>
      <c r="BS306" s="19">
        <v>0</v>
      </c>
      <c r="BT306" s="19">
        <v>0</v>
      </c>
      <c r="BU306" s="19">
        <v>0</v>
      </c>
      <c r="BV306" s="19">
        <v>0</v>
      </c>
      <c r="BW306" s="19">
        <v>0</v>
      </c>
      <c r="BX306" s="19">
        <v>0</v>
      </c>
      <c r="BY306" s="19">
        <v>0</v>
      </c>
      <c r="BZ306" s="19">
        <v>0</v>
      </c>
      <c r="CA306" s="19">
        <v>0</v>
      </c>
      <c r="CB306" s="19">
        <v>0</v>
      </c>
      <c r="CC306" s="19">
        <v>0</v>
      </c>
      <c r="CD306" s="19">
        <v>0</v>
      </c>
      <c r="CE306" s="19">
        <v>0</v>
      </c>
      <c r="CF306" s="19">
        <v>0</v>
      </c>
      <c r="CG306" s="19">
        <v>0</v>
      </c>
      <c r="CH306" s="19">
        <v>0</v>
      </c>
      <c r="CI306" s="19">
        <v>0</v>
      </c>
      <c r="CJ306" s="19">
        <v>0</v>
      </c>
      <c r="CK306" s="19">
        <v>0</v>
      </c>
      <c r="CL306" s="19">
        <v>0</v>
      </c>
      <c r="CM306" s="19">
        <v>0</v>
      </c>
      <c r="CN306" s="19">
        <v>0</v>
      </c>
      <c r="CO306" s="19">
        <v>0</v>
      </c>
      <c r="CP306" s="19">
        <v>0</v>
      </c>
      <c r="CQ306" s="19">
        <v>0</v>
      </c>
      <c r="CR306" s="19">
        <v>0</v>
      </c>
      <c r="CS306" s="19">
        <v>0</v>
      </c>
      <c r="CT306" s="19">
        <v>0</v>
      </c>
      <c r="CU306" s="19">
        <v>0</v>
      </c>
      <c r="CV306" s="19">
        <v>0</v>
      </c>
      <c r="CW306" s="19">
        <v>0</v>
      </c>
      <c r="CX306" s="19">
        <v>0</v>
      </c>
      <c r="CY306" s="19">
        <v>0</v>
      </c>
      <c r="CZ306" s="19">
        <v>0</v>
      </c>
      <c r="DA306" s="19">
        <v>0</v>
      </c>
      <c r="DB306" s="19">
        <v>0</v>
      </c>
      <c r="DC306" s="19">
        <v>0</v>
      </c>
      <c r="DD306" s="19">
        <v>0</v>
      </c>
      <c r="DE306" s="19">
        <v>0</v>
      </c>
      <c r="DF306" s="19">
        <v>0</v>
      </c>
      <c r="DG306" s="19">
        <v>0</v>
      </c>
    </row>
    <row r="307" spans="2:111" x14ac:dyDescent="0.15">
      <c r="B307" s="19" t="str">
        <f t="shared" si="4"/>
        <v>5_女_4</v>
      </c>
      <c r="C307" s="18">
        <v>5</v>
      </c>
      <c r="D307" s="18" t="s">
        <v>2</v>
      </c>
      <c r="E307" s="18">
        <v>4</v>
      </c>
      <c r="F307" s="19">
        <v>3099.6</v>
      </c>
      <c r="G307" s="19">
        <v>6944.3</v>
      </c>
      <c r="H307" s="19">
        <v>11373.5</v>
      </c>
      <c r="I307" s="19">
        <v>16435.3</v>
      </c>
      <c r="J307" s="19">
        <v>20940</v>
      </c>
      <c r="K307" s="19">
        <v>20985.200000000001</v>
      </c>
      <c r="L307" s="19">
        <v>21032.7</v>
      </c>
      <c r="M307" s="19">
        <v>21082.5</v>
      </c>
      <c r="N307" s="19">
        <v>21134.799999999999</v>
      </c>
      <c r="O307" s="19">
        <v>21189.599999999999</v>
      </c>
      <c r="P307" s="19">
        <v>21247</v>
      </c>
      <c r="Q307" s="19">
        <v>21307.200000000001</v>
      </c>
      <c r="R307" s="19">
        <v>21370.3</v>
      </c>
      <c r="S307" s="19">
        <v>21436.400000000001</v>
      </c>
      <c r="T307" s="19">
        <v>21505.8</v>
      </c>
      <c r="U307" s="19">
        <v>21578.5</v>
      </c>
      <c r="V307" s="19">
        <v>21654.7</v>
      </c>
      <c r="W307" s="19">
        <v>21734.6</v>
      </c>
      <c r="X307" s="19">
        <v>21818.5</v>
      </c>
      <c r="Y307" s="19">
        <v>21906.400000000001</v>
      </c>
      <c r="Z307" s="19">
        <v>21998.6</v>
      </c>
      <c r="AA307" s="19">
        <v>22095.3</v>
      </c>
      <c r="AB307" s="19">
        <v>22196.7</v>
      </c>
      <c r="AC307" s="19">
        <v>22303.1</v>
      </c>
      <c r="AD307" s="19">
        <v>22414.7</v>
      </c>
      <c r="AE307" s="19">
        <v>22531.8</v>
      </c>
      <c r="AF307" s="19">
        <v>22654.5</v>
      </c>
      <c r="AG307" s="19">
        <v>22783.200000000001</v>
      </c>
      <c r="AH307" s="19">
        <v>22918.1</v>
      </c>
      <c r="AI307" s="19">
        <v>23059.5</v>
      </c>
      <c r="AJ307" s="19">
        <v>23207.7</v>
      </c>
      <c r="AK307" s="19">
        <v>23363</v>
      </c>
      <c r="AL307" s="19">
        <v>23525.599999999999</v>
      </c>
      <c r="AM307" s="19">
        <v>23695.9</v>
      </c>
      <c r="AN307" s="19">
        <v>23874.3</v>
      </c>
      <c r="AO307" s="19">
        <v>24061</v>
      </c>
      <c r="AP307" s="19">
        <v>24256.5</v>
      </c>
      <c r="AQ307" s="19">
        <v>24461.1</v>
      </c>
      <c r="AR307" s="19">
        <v>24675.3</v>
      </c>
      <c r="AS307" s="19">
        <v>24899.599999999999</v>
      </c>
      <c r="AT307" s="19">
        <v>25134.3</v>
      </c>
      <c r="AU307" s="19">
        <v>25380</v>
      </c>
      <c r="AV307" s="19">
        <v>25637.3</v>
      </c>
      <c r="AW307" s="19">
        <v>25906.6</v>
      </c>
      <c r="AX307" s="19">
        <v>26188.6</v>
      </c>
      <c r="AY307" s="19">
        <v>26483.8</v>
      </c>
      <c r="AZ307" s="19">
        <v>26792.9</v>
      </c>
      <c r="BA307" s="19">
        <v>27116.6</v>
      </c>
      <c r="BB307" s="19">
        <v>27455.5</v>
      </c>
      <c r="BC307" s="19">
        <v>27810.6</v>
      </c>
      <c r="BD307" s="19">
        <v>28182.400000000001</v>
      </c>
      <c r="BE307" s="19">
        <v>28572</v>
      </c>
      <c r="BF307" s="19">
        <v>28980.2</v>
      </c>
      <c r="BG307" s="19">
        <v>29408.1</v>
      </c>
      <c r="BH307" s="19">
        <v>29856.7</v>
      </c>
      <c r="BI307" s="19">
        <v>29327.1</v>
      </c>
      <c r="BJ307" s="19">
        <v>0</v>
      </c>
      <c r="BK307" s="19">
        <v>0</v>
      </c>
      <c r="BL307" s="19">
        <v>0</v>
      </c>
      <c r="BM307" s="19">
        <v>0</v>
      </c>
      <c r="BN307" s="19">
        <v>0</v>
      </c>
      <c r="BO307" s="19">
        <v>0</v>
      </c>
      <c r="BP307" s="19">
        <v>0</v>
      </c>
      <c r="BQ307" s="19">
        <v>0</v>
      </c>
      <c r="BR307" s="19">
        <v>0</v>
      </c>
      <c r="BS307" s="19">
        <v>0</v>
      </c>
      <c r="BT307" s="19">
        <v>0</v>
      </c>
      <c r="BU307" s="19">
        <v>0</v>
      </c>
      <c r="BV307" s="19">
        <v>0</v>
      </c>
      <c r="BW307" s="19">
        <v>0</v>
      </c>
      <c r="BX307" s="19">
        <v>0</v>
      </c>
      <c r="BY307" s="19">
        <v>0</v>
      </c>
      <c r="BZ307" s="19">
        <v>0</v>
      </c>
      <c r="CA307" s="19">
        <v>0</v>
      </c>
      <c r="CB307" s="19">
        <v>0</v>
      </c>
      <c r="CC307" s="19">
        <v>0</v>
      </c>
      <c r="CD307" s="19">
        <v>0</v>
      </c>
      <c r="CE307" s="19">
        <v>0</v>
      </c>
      <c r="CF307" s="19">
        <v>0</v>
      </c>
      <c r="CG307" s="19">
        <v>0</v>
      </c>
      <c r="CH307" s="19">
        <v>0</v>
      </c>
      <c r="CI307" s="19">
        <v>0</v>
      </c>
      <c r="CJ307" s="19">
        <v>0</v>
      </c>
      <c r="CK307" s="19">
        <v>0</v>
      </c>
      <c r="CL307" s="19">
        <v>0</v>
      </c>
      <c r="CM307" s="19">
        <v>0</v>
      </c>
      <c r="CN307" s="19">
        <v>0</v>
      </c>
      <c r="CO307" s="19">
        <v>0</v>
      </c>
      <c r="CP307" s="19">
        <v>0</v>
      </c>
      <c r="CQ307" s="19">
        <v>0</v>
      </c>
      <c r="CR307" s="19">
        <v>0</v>
      </c>
      <c r="CS307" s="19">
        <v>0</v>
      </c>
      <c r="CT307" s="19">
        <v>0</v>
      </c>
      <c r="CU307" s="19">
        <v>0</v>
      </c>
      <c r="CV307" s="19">
        <v>0</v>
      </c>
      <c r="CW307" s="19">
        <v>0</v>
      </c>
      <c r="CX307" s="19">
        <v>0</v>
      </c>
      <c r="CY307" s="19">
        <v>0</v>
      </c>
      <c r="CZ307" s="19">
        <v>0</v>
      </c>
      <c r="DA307" s="19">
        <v>0</v>
      </c>
      <c r="DB307" s="19">
        <v>0</v>
      </c>
      <c r="DC307" s="19">
        <v>0</v>
      </c>
      <c r="DD307" s="19">
        <v>0</v>
      </c>
      <c r="DE307" s="19">
        <v>0</v>
      </c>
      <c r="DF307" s="19">
        <v>0</v>
      </c>
      <c r="DG307" s="19">
        <v>0</v>
      </c>
    </row>
    <row r="308" spans="2:111" x14ac:dyDescent="0.15">
      <c r="B308" s="19" t="str">
        <f t="shared" si="4"/>
        <v>5_女_5</v>
      </c>
      <c r="C308" s="18">
        <v>5</v>
      </c>
      <c r="D308" s="18" t="s">
        <v>2</v>
      </c>
      <c r="E308" s="18">
        <v>5</v>
      </c>
      <c r="F308" s="19">
        <v>3106</v>
      </c>
      <c r="G308" s="19">
        <v>6958.8</v>
      </c>
      <c r="H308" s="19">
        <v>11397.1</v>
      </c>
      <c r="I308" s="19">
        <v>16469.400000000001</v>
      </c>
      <c r="J308" s="19">
        <v>20985.4</v>
      </c>
      <c r="K308" s="19">
        <v>21032.9</v>
      </c>
      <c r="L308" s="19">
        <v>21082.799999999999</v>
      </c>
      <c r="M308" s="19">
        <v>21135</v>
      </c>
      <c r="N308" s="19">
        <v>21189.8</v>
      </c>
      <c r="O308" s="19">
        <v>21247.3</v>
      </c>
      <c r="P308" s="19">
        <v>21307.5</v>
      </c>
      <c r="Q308" s="19">
        <v>21370.6</v>
      </c>
      <c r="R308" s="19">
        <v>21436.7</v>
      </c>
      <c r="S308" s="19">
        <v>21506.1</v>
      </c>
      <c r="T308" s="19">
        <v>21578.799999999999</v>
      </c>
      <c r="U308" s="19">
        <v>21655</v>
      </c>
      <c r="V308" s="19">
        <v>21734.9</v>
      </c>
      <c r="W308" s="19">
        <v>21818.799999999999</v>
      </c>
      <c r="X308" s="19">
        <v>21906.7</v>
      </c>
      <c r="Y308" s="19">
        <v>21998.9</v>
      </c>
      <c r="Z308" s="19">
        <v>22095.599999999999</v>
      </c>
      <c r="AA308" s="19">
        <v>22197.1</v>
      </c>
      <c r="AB308" s="19">
        <v>22303.5</v>
      </c>
      <c r="AC308" s="19">
        <v>22415.1</v>
      </c>
      <c r="AD308" s="19">
        <v>22532.1</v>
      </c>
      <c r="AE308" s="19">
        <v>22654.9</v>
      </c>
      <c r="AF308" s="19">
        <v>22783.599999999999</v>
      </c>
      <c r="AG308" s="19">
        <v>22918.6</v>
      </c>
      <c r="AH308" s="19">
        <v>23060</v>
      </c>
      <c r="AI308" s="19">
        <v>23208.2</v>
      </c>
      <c r="AJ308" s="19">
        <v>23363.4</v>
      </c>
      <c r="AK308" s="19">
        <v>23526.1</v>
      </c>
      <c r="AL308" s="19">
        <v>23696.400000000001</v>
      </c>
      <c r="AM308" s="19">
        <v>23874.799999999999</v>
      </c>
      <c r="AN308" s="19">
        <v>24061.5</v>
      </c>
      <c r="AO308" s="19">
        <v>24257</v>
      </c>
      <c r="AP308" s="19">
        <v>24461.599999999999</v>
      </c>
      <c r="AQ308" s="19">
        <v>24675.8</v>
      </c>
      <c r="AR308" s="19">
        <v>24900.1</v>
      </c>
      <c r="AS308" s="19">
        <v>25134.799999999999</v>
      </c>
      <c r="AT308" s="19">
        <v>25380.6</v>
      </c>
      <c r="AU308" s="19">
        <v>25637.8</v>
      </c>
      <c r="AV308" s="19">
        <v>25907.1</v>
      </c>
      <c r="AW308" s="19">
        <v>26189.1</v>
      </c>
      <c r="AX308" s="19">
        <v>26484.3</v>
      </c>
      <c r="AY308" s="19">
        <v>26793.4</v>
      </c>
      <c r="AZ308" s="19">
        <v>27117</v>
      </c>
      <c r="BA308" s="19">
        <v>27456</v>
      </c>
      <c r="BB308" s="19">
        <v>27810.9</v>
      </c>
      <c r="BC308" s="19">
        <v>28182.799999999999</v>
      </c>
      <c r="BD308" s="19">
        <v>28572.3</v>
      </c>
      <c r="BE308" s="19">
        <v>28980.5</v>
      </c>
      <c r="BF308" s="19">
        <v>29408.3</v>
      </c>
      <c r="BG308" s="19">
        <v>29856.799999999999</v>
      </c>
      <c r="BH308" s="19">
        <v>29327.1</v>
      </c>
      <c r="BI308" s="19">
        <v>0</v>
      </c>
      <c r="BJ308" s="19">
        <v>0</v>
      </c>
      <c r="BK308" s="19">
        <v>0</v>
      </c>
      <c r="BL308" s="19">
        <v>0</v>
      </c>
      <c r="BM308" s="19">
        <v>0</v>
      </c>
      <c r="BN308" s="19">
        <v>0</v>
      </c>
      <c r="BO308" s="19">
        <v>0</v>
      </c>
      <c r="BP308" s="19">
        <v>0</v>
      </c>
      <c r="BQ308" s="19">
        <v>0</v>
      </c>
      <c r="BR308" s="19">
        <v>0</v>
      </c>
      <c r="BS308" s="19">
        <v>0</v>
      </c>
      <c r="BT308" s="19">
        <v>0</v>
      </c>
      <c r="BU308" s="19">
        <v>0</v>
      </c>
      <c r="BV308" s="19">
        <v>0</v>
      </c>
      <c r="BW308" s="19">
        <v>0</v>
      </c>
      <c r="BX308" s="19">
        <v>0</v>
      </c>
      <c r="BY308" s="19">
        <v>0</v>
      </c>
      <c r="BZ308" s="19">
        <v>0</v>
      </c>
      <c r="CA308" s="19">
        <v>0</v>
      </c>
      <c r="CB308" s="19">
        <v>0</v>
      </c>
      <c r="CC308" s="19">
        <v>0</v>
      </c>
      <c r="CD308" s="19">
        <v>0</v>
      </c>
      <c r="CE308" s="19">
        <v>0</v>
      </c>
      <c r="CF308" s="19">
        <v>0</v>
      </c>
      <c r="CG308" s="19">
        <v>0</v>
      </c>
      <c r="CH308" s="19">
        <v>0</v>
      </c>
      <c r="CI308" s="19">
        <v>0</v>
      </c>
      <c r="CJ308" s="19">
        <v>0</v>
      </c>
      <c r="CK308" s="19">
        <v>0</v>
      </c>
      <c r="CL308" s="19">
        <v>0</v>
      </c>
      <c r="CM308" s="19">
        <v>0</v>
      </c>
      <c r="CN308" s="19">
        <v>0</v>
      </c>
      <c r="CO308" s="19">
        <v>0</v>
      </c>
      <c r="CP308" s="19">
        <v>0</v>
      </c>
      <c r="CQ308" s="19">
        <v>0</v>
      </c>
      <c r="CR308" s="19">
        <v>0</v>
      </c>
      <c r="CS308" s="19">
        <v>0</v>
      </c>
      <c r="CT308" s="19">
        <v>0</v>
      </c>
      <c r="CU308" s="19">
        <v>0</v>
      </c>
      <c r="CV308" s="19">
        <v>0</v>
      </c>
      <c r="CW308" s="19">
        <v>0</v>
      </c>
      <c r="CX308" s="19">
        <v>0</v>
      </c>
      <c r="CY308" s="19">
        <v>0</v>
      </c>
      <c r="CZ308" s="19">
        <v>0</v>
      </c>
      <c r="DA308" s="19">
        <v>0</v>
      </c>
      <c r="DB308" s="19">
        <v>0</v>
      </c>
      <c r="DC308" s="19">
        <v>0</v>
      </c>
      <c r="DD308" s="19">
        <v>0</v>
      </c>
      <c r="DE308" s="19">
        <v>0</v>
      </c>
      <c r="DF308" s="19">
        <v>0</v>
      </c>
      <c r="DG308" s="19">
        <v>0</v>
      </c>
    </row>
    <row r="309" spans="2:111" x14ac:dyDescent="0.15">
      <c r="B309" s="19" t="str">
        <f t="shared" si="4"/>
        <v>5_女_6</v>
      </c>
      <c r="C309" s="18">
        <v>5</v>
      </c>
      <c r="D309" s="18" t="s">
        <v>2</v>
      </c>
      <c r="E309" s="18">
        <v>6</v>
      </c>
      <c r="F309" s="19">
        <v>3112.7</v>
      </c>
      <c r="G309" s="19">
        <v>6973.9</v>
      </c>
      <c r="H309" s="19">
        <v>11421.9</v>
      </c>
      <c r="I309" s="19">
        <v>16505.2</v>
      </c>
      <c r="J309" s="19">
        <v>21033.1</v>
      </c>
      <c r="K309" s="19">
        <v>21083</v>
      </c>
      <c r="L309" s="19">
        <v>21135.3</v>
      </c>
      <c r="M309" s="19">
        <v>21190.1</v>
      </c>
      <c r="N309" s="19">
        <v>21247.5</v>
      </c>
      <c r="O309" s="19">
        <v>21307.7</v>
      </c>
      <c r="P309" s="19">
        <v>21370.799999999999</v>
      </c>
      <c r="Q309" s="19">
        <v>21437</v>
      </c>
      <c r="R309" s="19">
        <v>21506.400000000001</v>
      </c>
      <c r="S309" s="19">
        <v>21579.1</v>
      </c>
      <c r="T309" s="19">
        <v>21655.3</v>
      </c>
      <c r="U309" s="19">
        <v>21735.3</v>
      </c>
      <c r="V309" s="19">
        <v>21819.1</v>
      </c>
      <c r="W309" s="19">
        <v>21907</v>
      </c>
      <c r="X309" s="19">
        <v>21999.3</v>
      </c>
      <c r="Y309" s="19">
        <v>22096</v>
      </c>
      <c r="Z309" s="19">
        <v>22197.4</v>
      </c>
      <c r="AA309" s="19">
        <v>22303.9</v>
      </c>
      <c r="AB309" s="19">
        <v>22415.5</v>
      </c>
      <c r="AC309" s="19">
        <v>22532.6</v>
      </c>
      <c r="AD309" s="19">
        <v>22655.3</v>
      </c>
      <c r="AE309" s="19">
        <v>22784</v>
      </c>
      <c r="AF309" s="19">
        <v>22919</v>
      </c>
      <c r="AG309" s="19">
        <v>23060.400000000001</v>
      </c>
      <c r="AH309" s="19">
        <v>23208.6</v>
      </c>
      <c r="AI309" s="19">
        <v>23363.9</v>
      </c>
      <c r="AJ309" s="19">
        <v>23526.6</v>
      </c>
      <c r="AK309" s="19">
        <v>23696.9</v>
      </c>
      <c r="AL309" s="19">
        <v>23875.3</v>
      </c>
      <c r="AM309" s="19">
        <v>24062</v>
      </c>
      <c r="AN309" s="19">
        <v>24257.5</v>
      </c>
      <c r="AO309" s="19">
        <v>24462.2</v>
      </c>
      <c r="AP309" s="19">
        <v>24676.400000000001</v>
      </c>
      <c r="AQ309" s="19">
        <v>24900.6</v>
      </c>
      <c r="AR309" s="19">
        <v>25135.4</v>
      </c>
      <c r="AS309" s="19">
        <v>25381.1</v>
      </c>
      <c r="AT309" s="19">
        <v>25638.3</v>
      </c>
      <c r="AU309" s="19">
        <v>25907.599999999999</v>
      </c>
      <c r="AV309" s="19">
        <v>26189.599999999999</v>
      </c>
      <c r="AW309" s="19">
        <v>26484.799999999999</v>
      </c>
      <c r="AX309" s="19">
        <v>26793.8</v>
      </c>
      <c r="AY309" s="19">
        <v>27117.5</v>
      </c>
      <c r="AZ309" s="19">
        <v>27456.400000000001</v>
      </c>
      <c r="BA309" s="19">
        <v>27811.3</v>
      </c>
      <c r="BB309" s="19">
        <v>28183.1</v>
      </c>
      <c r="BC309" s="19">
        <v>28572.6</v>
      </c>
      <c r="BD309" s="19">
        <v>28980.7</v>
      </c>
      <c r="BE309" s="19">
        <v>29408.400000000001</v>
      </c>
      <c r="BF309" s="19">
        <v>29856.9</v>
      </c>
      <c r="BG309" s="19">
        <v>29327.1</v>
      </c>
      <c r="BH309" s="19">
        <v>0</v>
      </c>
      <c r="BI309" s="19">
        <v>0</v>
      </c>
      <c r="BJ309" s="19">
        <v>0</v>
      </c>
      <c r="BK309" s="19">
        <v>0</v>
      </c>
      <c r="BL309" s="19">
        <v>0</v>
      </c>
      <c r="BM309" s="19">
        <v>0</v>
      </c>
      <c r="BN309" s="19">
        <v>0</v>
      </c>
      <c r="BO309" s="19">
        <v>0</v>
      </c>
      <c r="BP309" s="19">
        <v>0</v>
      </c>
      <c r="BQ309" s="19">
        <v>0</v>
      </c>
      <c r="BR309" s="19">
        <v>0</v>
      </c>
      <c r="BS309" s="19">
        <v>0</v>
      </c>
      <c r="BT309" s="19">
        <v>0</v>
      </c>
      <c r="BU309" s="19">
        <v>0</v>
      </c>
      <c r="BV309" s="19">
        <v>0</v>
      </c>
      <c r="BW309" s="19">
        <v>0</v>
      </c>
      <c r="BX309" s="19">
        <v>0</v>
      </c>
      <c r="BY309" s="19">
        <v>0</v>
      </c>
      <c r="BZ309" s="19">
        <v>0</v>
      </c>
      <c r="CA309" s="19">
        <v>0</v>
      </c>
      <c r="CB309" s="19">
        <v>0</v>
      </c>
      <c r="CC309" s="19">
        <v>0</v>
      </c>
      <c r="CD309" s="19">
        <v>0</v>
      </c>
      <c r="CE309" s="19">
        <v>0</v>
      </c>
      <c r="CF309" s="19">
        <v>0</v>
      </c>
      <c r="CG309" s="19">
        <v>0</v>
      </c>
      <c r="CH309" s="19">
        <v>0</v>
      </c>
      <c r="CI309" s="19">
        <v>0</v>
      </c>
      <c r="CJ309" s="19">
        <v>0</v>
      </c>
      <c r="CK309" s="19">
        <v>0</v>
      </c>
      <c r="CL309" s="19">
        <v>0</v>
      </c>
      <c r="CM309" s="19">
        <v>0</v>
      </c>
      <c r="CN309" s="19">
        <v>0</v>
      </c>
      <c r="CO309" s="19">
        <v>0</v>
      </c>
      <c r="CP309" s="19">
        <v>0</v>
      </c>
      <c r="CQ309" s="19">
        <v>0</v>
      </c>
      <c r="CR309" s="19">
        <v>0</v>
      </c>
      <c r="CS309" s="19">
        <v>0</v>
      </c>
      <c r="CT309" s="19">
        <v>0</v>
      </c>
      <c r="CU309" s="19">
        <v>0</v>
      </c>
      <c r="CV309" s="19">
        <v>0</v>
      </c>
      <c r="CW309" s="19">
        <v>0</v>
      </c>
      <c r="CX309" s="19">
        <v>0</v>
      </c>
      <c r="CY309" s="19">
        <v>0</v>
      </c>
      <c r="CZ309" s="19">
        <v>0</v>
      </c>
      <c r="DA309" s="19">
        <v>0</v>
      </c>
      <c r="DB309" s="19">
        <v>0</v>
      </c>
      <c r="DC309" s="19">
        <v>0</v>
      </c>
      <c r="DD309" s="19">
        <v>0</v>
      </c>
      <c r="DE309" s="19">
        <v>0</v>
      </c>
      <c r="DF309" s="19">
        <v>0</v>
      </c>
      <c r="DG309" s="19">
        <v>0</v>
      </c>
    </row>
    <row r="310" spans="2:111" x14ac:dyDescent="0.15">
      <c r="B310" s="19" t="str">
        <f t="shared" si="4"/>
        <v>5_女_7</v>
      </c>
      <c r="C310" s="18">
        <v>5</v>
      </c>
      <c r="D310" s="18" t="s">
        <v>2</v>
      </c>
      <c r="E310" s="18">
        <v>7</v>
      </c>
      <c r="F310" s="19">
        <v>3119.8</v>
      </c>
      <c r="G310" s="19">
        <v>6989.8</v>
      </c>
      <c r="H310" s="19">
        <v>11448</v>
      </c>
      <c r="I310" s="19">
        <v>16542.8</v>
      </c>
      <c r="J310" s="19">
        <v>21083.200000000001</v>
      </c>
      <c r="K310" s="19">
        <v>21135.5</v>
      </c>
      <c r="L310" s="19">
        <v>21190.3</v>
      </c>
      <c r="M310" s="19">
        <v>21247.8</v>
      </c>
      <c r="N310" s="19">
        <v>21308</v>
      </c>
      <c r="O310" s="19">
        <v>21371.1</v>
      </c>
      <c r="P310" s="19">
        <v>21437.3</v>
      </c>
      <c r="Q310" s="19">
        <v>21506.7</v>
      </c>
      <c r="R310" s="19">
        <v>21579.4</v>
      </c>
      <c r="S310" s="19">
        <v>21655.599999999999</v>
      </c>
      <c r="T310" s="19">
        <v>21735.599999999999</v>
      </c>
      <c r="U310" s="19">
        <v>21819.4</v>
      </c>
      <c r="V310" s="19">
        <v>21907.4</v>
      </c>
      <c r="W310" s="19">
        <v>21999.599999999999</v>
      </c>
      <c r="X310" s="19">
        <v>22096.3</v>
      </c>
      <c r="Y310" s="19">
        <v>22197.8</v>
      </c>
      <c r="Z310" s="19">
        <v>22304.2</v>
      </c>
      <c r="AA310" s="19">
        <v>22415.9</v>
      </c>
      <c r="AB310" s="19">
        <v>22533</v>
      </c>
      <c r="AC310" s="19">
        <v>22655.8</v>
      </c>
      <c r="AD310" s="19">
        <v>22784.5</v>
      </c>
      <c r="AE310" s="19">
        <v>22919.4</v>
      </c>
      <c r="AF310" s="19">
        <v>23060.9</v>
      </c>
      <c r="AG310" s="19">
        <v>23209.1</v>
      </c>
      <c r="AH310" s="19">
        <v>23364.400000000001</v>
      </c>
      <c r="AI310" s="19">
        <v>23527.1</v>
      </c>
      <c r="AJ310" s="19">
        <v>23697.4</v>
      </c>
      <c r="AK310" s="19">
        <v>23875.8</v>
      </c>
      <c r="AL310" s="19">
        <v>24062.5</v>
      </c>
      <c r="AM310" s="19">
        <v>24258</v>
      </c>
      <c r="AN310" s="19">
        <v>24462.7</v>
      </c>
      <c r="AO310" s="19">
        <v>24676.9</v>
      </c>
      <c r="AP310" s="19">
        <v>24901.200000000001</v>
      </c>
      <c r="AQ310" s="19">
        <v>25135.9</v>
      </c>
      <c r="AR310" s="19">
        <v>25381.7</v>
      </c>
      <c r="AS310" s="19">
        <v>25638.9</v>
      </c>
      <c r="AT310" s="19">
        <v>25908.2</v>
      </c>
      <c r="AU310" s="19">
        <v>26190.1</v>
      </c>
      <c r="AV310" s="19">
        <v>26485.3</v>
      </c>
      <c r="AW310" s="19">
        <v>26794.3</v>
      </c>
      <c r="AX310" s="19">
        <v>27118</v>
      </c>
      <c r="AY310" s="19">
        <v>27456.799999999999</v>
      </c>
      <c r="AZ310" s="19">
        <v>27811.7</v>
      </c>
      <c r="BA310" s="19">
        <v>28183.5</v>
      </c>
      <c r="BB310" s="19">
        <v>28572.9</v>
      </c>
      <c r="BC310" s="19">
        <v>28981</v>
      </c>
      <c r="BD310" s="19">
        <v>29408.6</v>
      </c>
      <c r="BE310" s="19">
        <v>29857</v>
      </c>
      <c r="BF310" s="19">
        <v>29327.1</v>
      </c>
      <c r="BG310" s="19">
        <v>0</v>
      </c>
      <c r="BH310" s="19">
        <v>0</v>
      </c>
      <c r="BI310" s="19">
        <v>0</v>
      </c>
      <c r="BJ310" s="19">
        <v>0</v>
      </c>
      <c r="BK310" s="19">
        <v>0</v>
      </c>
      <c r="BL310" s="19">
        <v>0</v>
      </c>
      <c r="BM310" s="19">
        <v>0</v>
      </c>
      <c r="BN310" s="19">
        <v>0</v>
      </c>
      <c r="BO310" s="19">
        <v>0</v>
      </c>
      <c r="BP310" s="19">
        <v>0</v>
      </c>
      <c r="BQ310" s="19">
        <v>0</v>
      </c>
      <c r="BR310" s="19">
        <v>0</v>
      </c>
      <c r="BS310" s="19">
        <v>0</v>
      </c>
      <c r="BT310" s="19">
        <v>0</v>
      </c>
      <c r="BU310" s="19">
        <v>0</v>
      </c>
      <c r="BV310" s="19">
        <v>0</v>
      </c>
      <c r="BW310" s="19">
        <v>0</v>
      </c>
      <c r="BX310" s="19">
        <v>0</v>
      </c>
      <c r="BY310" s="19">
        <v>0</v>
      </c>
      <c r="BZ310" s="19">
        <v>0</v>
      </c>
      <c r="CA310" s="19">
        <v>0</v>
      </c>
      <c r="CB310" s="19">
        <v>0</v>
      </c>
      <c r="CC310" s="19">
        <v>0</v>
      </c>
      <c r="CD310" s="19">
        <v>0</v>
      </c>
      <c r="CE310" s="19">
        <v>0</v>
      </c>
      <c r="CF310" s="19">
        <v>0</v>
      </c>
      <c r="CG310" s="19">
        <v>0</v>
      </c>
      <c r="CH310" s="19">
        <v>0</v>
      </c>
      <c r="CI310" s="19">
        <v>0</v>
      </c>
      <c r="CJ310" s="19">
        <v>0</v>
      </c>
      <c r="CK310" s="19">
        <v>0</v>
      </c>
      <c r="CL310" s="19">
        <v>0</v>
      </c>
      <c r="CM310" s="19">
        <v>0</v>
      </c>
      <c r="CN310" s="19">
        <v>0</v>
      </c>
      <c r="CO310" s="19">
        <v>0</v>
      </c>
      <c r="CP310" s="19">
        <v>0</v>
      </c>
      <c r="CQ310" s="19">
        <v>0</v>
      </c>
      <c r="CR310" s="19">
        <v>0</v>
      </c>
      <c r="CS310" s="19">
        <v>0</v>
      </c>
      <c r="CT310" s="19">
        <v>0</v>
      </c>
      <c r="CU310" s="19">
        <v>0</v>
      </c>
      <c r="CV310" s="19">
        <v>0</v>
      </c>
      <c r="CW310" s="19">
        <v>0</v>
      </c>
      <c r="CX310" s="19">
        <v>0</v>
      </c>
      <c r="CY310" s="19">
        <v>0</v>
      </c>
      <c r="CZ310" s="19">
        <v>0</v>
      </c>
      <c r="DA310" s="19">
        <v>0</v>
      </c>
      <c r="DB310" s="19">
        <v>0</v>
      </c>
      <c r="DC310" s="19">
        <v>0</v>
      </c>
      <c r="DD310" s="19">
        <v>0</v>
      </c>
      <c r="DE310" s="19">
        <v>0</v>
      </c>
      <c r="DF310" s="19">
        <v>0</v>
      </c>
      <c r="DG310" s="19">
        <v>0</v>
      </c>
    </row>
    <row r="311" spans="2:111" x14ac:dyDescent="0.15">
      <c r="B311" s="19" t="str">
        <f t="shared" si="4"/>
        <v>5_女_8</v>
      </c>
      <c r="C311" s="18">
        <v>5</v>
      </c>
      <c r="D311" s="18" t="s">
        <v>2</v>
      </c>
      <c r="E311" s="18">
        <v>8</v>
      </c>
      <c r="F311" s="19">
        <v>3127.3</v>
      </c>
      <c r="G311" s="19">
        <v>7006.5</v>
      </c>
      <c r="H311" s="19">
        <v>11475.3</v>
      </c>
      <c r="I311" s="19">
        <v>16582.2</v>
      </c>
      <c r="J311" s="19">
        <v>21135.8</v>
      </c>
      <c r="K311" s="19">
        <v>21190.6</v>
      </c>
      <c r="L311" s="19">
        <v>21248.1</v>
      </c>
      <c r="M311" s="19">
        <v>21308.3</v>
      </c>
      <c r="N311" s="19">
        <v>21371.4</v>
      </c>
      <c r="O311" s="19">
        <v>21437.599999999999</v>
      </c>
      <c r="P311" s="19">
        <v>21507</v>
      </c>
      <c r="Q311" s="19">
        <v>21579.7</v>
      </c>
      <c r="R311" s="19">
        <v>21656</v>
      </c>
      <c r="S311" s="19">
        <v>21735.9</v>
      </c>
      <c r="T311" s="19">
        <v>21819.8</v>
      </c>
      <c r="U311" s="19">
        <v>21907.7</v>
      </c>
      <c r="V311" s="19">
        <v>22000</v>
      </c>
      <c r="W311" s="19">
        <v>22096.7</v>
      </c>
      <c r="X311" s="19">
        <v>22198.2</v>
      </c>
      <c r="Y311" s="19">
        <v>22304.7</v>
      </c>
      <c r="Z311" s="19">
        <v>22416.3</v>
      </c>
      <c r="AA311" s="19">
        <v>22533.4</v>
      </c>
      <c r="AB311" s="19">
        <v>22656.2</v>
      </c>
      <c r="AC311" s="19">
        <v>22784.9</v>
      </c>
      <c r="AD311" s="19">
        <v>22919.9</v>
      </c>
      <c r="AE311" s="19">
        <v>23061.4</v>
      </c>
      <c r="AF311" s="19">
        <v>23209.599999999999</v>
      </c>
      <c r="AG311" s="19">
        <v>23364.9</v>
      </c>
      <c r="AH311" s="19">
        <v>23527.599999999999</v>
      </c>
      <c r="AI311" s="19">
        <v>23697.9</v>
      </c>
      <c r="AJ311" s="19">
        <v>23876.3</v>
      </c>
      <c r="AK311" s="19">
        <v>24063.1</v>
      </c>
      <c r="AL311" s="19">
        <v>24258.6</v>
      </c>
      <c r="AM311" s="19">
        <v>24463.3</v>
      </c>
      <c r="AN311" s="19">
        <v>24677.5</v>
      </c>
      <c r="AO311" s="19">
        <v>24901.8</v>
      </c>
      <c r="AP311" s="19">
        <v>25136.5</v>
      </c>
      <c r="AQ311" s="19">
        <v>25382.2</v>
      </c>
      <c r="AR311" s="19">
        <v>25639.5</v>
      </c>
      <c r="AS311" s="19">
        <v>25908.799999999999</v>
      </c>
      <c r="AT311" s="19">
        <v>26190.7</v>
      </c>
      <c r="AU311" s="19">
        <v>26485.8</v>
      </c>
      <c r="AV311" s="19">
        <v>26794.9</v>
      </c>
      <c r="AW311" s="19">
        <v>27118.400000000001</v>
      </c>
      <c r="AX311" s="19">
        <v>27457.3</v>
      </c>
      <c r="AY311" s="19">
        <v>27812.2</v>
      </c>
      <c r="AZ311" s="19">
        <v>28183.8</v>
      </c>
      <c r="BA311" s="19">
        <v>28573.200000000001</v>
      </c>
      <c r="BB311" s="19">
        <v>28981.200000000001</v>
      </c>
      <c r="BC311" s="19">
        <v>29408.799999999999</v>
      </c>
      <c r="BD311" s="19">
        <v>29857</v>
      </c>
      <c r="BE311" s="19">
        <v>29327.1</v>
      </c>
      <c r="BF311" s="19">
        <v>0</v>
      </c>
      <c r="BG311" s="19">
        <v>0</v>
      </c>
      <c r="BH311" s="19">
        <v>0</v>
      </c>
      <c r="BI311" s="19">
        <v>0</v>
      </c>
      <c r="BJ311" s="19">
        <v>0</v>
      </c>
      <c r="BK311" s="19">
        <v>0</v>
      </c>
      <c r="BL311" s="19">
        <v>0</v>
      </c>
      <c r="BM311" s="19">
        <v>0</v>
      </c>
      <c r="BN311" s="19">
        <v>0</v>
      </c>
      <c r="BO311" s="19">
        <v>0</v>
      </c>
      <c r="BP311" s="19">
        <v>0</v>
      </c>
      <c r="BQ311" s="19">
        <v>0</v>
      </c>
      <c r="BR311" s="19">
        <v>0</v>
      </c>
      <c r="BS311" s="19">
        <v>0</v>
      </c>
      <c r="BT311" s="19">
        <v>0</v>
      </c>
      <c r="BU311" s="19">
        <v>0</v>
      </c>
      <c r="BV311" s="19">
        <v>0</v>
      </c>
      <c r="BW311" s="19">
        <v>0</v>
      </c>
      <c r="BX311" s="19">
        <v>0</v>
      </c>
      <c r="BY311" s="19">
        <v>0</v>
      </c>
      <c r="BZ311" s="19">
        <v>0</v>
      </c>
      <c r="CA311" s="19">
        <v>0</v>
      </c>
      <c r="CB311" s="19">
        <v>0</v>
      </c>
      <c r="CC311" s="19">
        <v>0</v>
      </c>
      <c r="CD311" s="19">
        <v>0</v>
      </c>
      <c r="CE311" s="19">
        <v>0</v>
      </c>
      <c r="CF311" s="19">
        <v>0</v>
      </c>
      <c r="CG311" s="19">
        <v>0</v>
      </c>
      <c r="CH311" s="19">
        <v>0</v>
      </c>
      <c r="CI311" s="19">
        <v>0</v>
      </c>
      <c r="CJ311" s="19">
        <v>0</v>
      </c>
      <c r="CK311" s="19">
        <v>0</v>
      </c>
      <c r="CL311" s="19">
        <v>0</v>
      </c>
      <c r="CM311" s="19">
        <v>0</v>
      </c>
      <c r="CN311" s="19">
        <v>0</v>
      </c>
      <c r="CO311" s="19">
        <v>0</v>
      </c>
      <c r="CP311" s="19">
        <v>0</v>
      </c>
      <c r="CQ311" s="19">
        <v>0</v>
      </c>
      <c r="CR311" s="19">
        <v>0</v>
      </c>
      <c r="CS311" s="19">
        <v>0</v>
      </c>
      <c r="CT311" s="19">
        <v>0</v>
      </c>
      <c r="CU311" s="19">
        <v>0</v>
      </c>
      <c r="CV311" s="19">
        <v>0</v>
      </c>
      <c r="CW311" s="19">
        <v>0</v>
      </c>
      <c r="CX311" s="19">
        <v>0</v>
      </c>
      <c r="CY311" s="19">
        <v>0</v>
      </c>
      <c r="CZ311" s="19">
        <v>0</v>
      </c>
      <c r="DA311" s="19">
        <v>0</v>
      </c>
      <c r="DB311" s="19">
        <v>0</v>
      </c>
      <c r="DC311" s="19">
        <v>0</v>
      </c>
      <c r="DD311" s="19">
        <v>0</v>
      </c>
      <c r="DE311" s="19">
        <v>0</v>
      </c>
      <c r="DF311" s="19">
        <v>0</v>
      </c>
      <c r="DG311" s="19">
        <v>0</v>
      </c>
    </row>
    <row r="312" spans="2:111" x14ac:dyDescent="0.15">
      <c r="B312" s="19" t="str">
        <f t="shared" si="4"/>
        <v>5_女_9</v>
      </c>
      <c r="C312" s="18">
        <v>5</v>
      </c>
      <c r="D312" s="18" t="s">
        <v>2</v>
      </c>
      <c r="E312" s="18">
        <v>9</v>
      </c>
      <c r="F312" s="19">
        <v>3135.1</v>
      </c>
      <c r="G312" s="19">
        <v>7024</v>
      </c>
      <c r="H312" s="19">
        <v>11503.9</v>
      </c>
      <c r="I312" s="19">
        <v>16623.5</v>
      </c>
      <c r="J312" s="19">
        <v>21190.9</v>
      </c>
      <c r="K312" s="19">
        <v>21248.3</v>
      </c>
      <c r="L312" s="19">
        <v>21308.6</v>
      </c>
      <c r="M312" s="19">
        <v>21371.7</v>
      </c>
      <c r="N312" s="19">
        <v>21437.9</v>
      </c>
      <c r="O312" s="19">
        <v>21507.3</v>
      </c>
      <c r="P312" s="19">
        <v>21580</v>
      </c>
      <c r="Q312" s="19">
        <v>21656.3</v>
      </c>
      <c r="R312" s="19">
        <v>21736.3</v>
      </c>
      <c r="S312" s="19">
        <v>21820.1</v>
      </c>
      <c r="T312" s="19">
        <v>21908.1</v>
      </c>
      <c r="U312" s="19">
        <v>22000.400000000001</v>
      </c>
      <c r="V312" s="19">
        <v>22097.1</v>
      </c>
      <c r="W312" s="19">
        <v>22198.6</v>
      </c>
      <c r="X312" s="19">
        <v>22305.1</v>
      </c>
      <c r="Y312" s="19">
        <v>22416.7</v>
      </c>
      <c r="Z312" s="19">
        <v>22533.8</v>
      </c>
      <c r="AA312" s="19">
        <v>22656.7</v>
      </c>
      <c r="AB312" s="19">
        <v>22785.4</v>
      </c>
      <c r="AC312" s="19">
        <v>22920.400000000001</v>
      </c>
      <c r="AD312" s="19">
        <v>23061.9</v>
      </c>
      <c r="AE312" s="19">
        <v>23210.1</v>
      </c>
      <c r="AF312" s="19">
        <v>23365.4</v>
      </c>
      <c r="AG312" s="19">
        <v>23528.1</v>
      </c>
      <c r="AH312" s="19">
        <v>23698.5</v>
      </c>
      <c r="AI312" s="19">
        <v>23876.9</v>
      </c>
      <c r="AJ312" s="19">
        <v>24063.7</v>
      </c>
      <c r="AK312" s="19">
        <v>24259.200000000001</v>
      </c>
      <c r="AL312" s="19">
        <v>24463.9</v>
      </c>
      <c r="AM312" s="19">
        <v>24678.1</v>
      </c>
      <c r="AN312" s="19">
        <v>24902.400000000001</v>
      </c>
      <c r="AO312" s="19">
        <v>25137.1</v>
      </c>
      <c r="AP312" s="19">
        <v>25382.799999999999</v>
      </c>
      <c r="AQ312" s="19">
        <v>25640.1</v>
      </c>
      <c r="AR312" s="19">
        <v>25909.3</v>
      </c>
      <c r="AS312" s="19">
        <v>26191.200000000001</v>
      </c>
      <c r="AT312" s="19">
        <v>26486.400000000001</v>
      </c>
      <c r="AU312" s="19">
        <v>26795.4</v>
      </c>
      <c r="AV312" s="19">
        <v>27119</v>
      </c>
      <c r="AW312" s="19">
        <v>27457.8</v>
      </c>
      <c r="AX312" s="19">
        <v>27812.6</v>
      </c>
      <c r="AY312" s="19">
        <v>28184.2</v>
      </c>
      <c r="AZ312" s="19">
        <v>28573.599999999999</v>
      </c>
      <c r="BA312" s="19">
        <v>28981.5</v>
      </c>
      <c r="BB312" s="19">
        <v>29409</v>
      </c>
      <c r="BC312" s="19">
        <v>29857.200000000001</v>
      </c>
      <c r="BD312" s="19">
        <v>29327.1</v>
      </c>
      <c r="BE312" s="19">
        <v>0</v>
      </c>
      <c r="BF312" s="19">
        <v>0</v>
      </c>
      <c r="BG312" s="19">
        <v>0</v>
      </c>
      <c r="BH312" s="19">
        <v>0</v>
      </c>
      <c r="BI312" s="19">
        <v>0</v>
      </c>
      <c r="BJ312" s="19">
        <v>0</v>
      </c>
      <c r="BK312" s="19">
        <v>0</v>
      </c>
      <c r="BL312" s="19">
        <v>0</v>
      </c>
      <c r="BM312" s="19">
        <v>0</v>
      </c>
      <c r="BN312" s="19">
        <v>0</v>
      </c>
      <c r="BO312" s="19">
        <v>0</v>
      </c>
      <c r="BP312" s="19">
        <v>0</v>
      </c>
      <c r="BQ312" s="19">
        <v>0</v>
      </c>
      <c r="BR312" s="19">
        <v>0</v>
      </c>
      <c r="BS312" s="19">
        <v>0</v>
      </c>
      <c r="BT312" s="19">
        <v>0</v>
      </c>
      <c r="BU312" s="19">
        <v>0</v>
      </c>
      <c r="BV312" s="19">
        <v>0</v>
      </c>
      <c r="BW312" s="19">
        <v>0</v>
      </c>
      <c r="BX312" s="19">
        <v>0</v>
      </c>
      <c r="BY312" s="19">
        <v>0</v>
      </c>
      <c r="BZ312" s="19">
        <v>0</v>
      </c>
      <c r="CA312" s="19">
        <v>0</v>
      </c>
      <c r="CB312" s="19">
        <v>0</v>
      </c>
      <c r="CC312" s="19">
        <v>0</v>
      </c>
      <c r="CD312" s="19">
        <v>0</v>
      </c>
      <c r="CE312" s="19">
        <v>0</v>
      </c>
      <c r="CF312" s="19">
        <v>0</v>
      </c>
      <c r="CG312" s="19">
        <v>0</v>
      </c>
      <c r="CH312" s="19">
        <v>0</v>
      </c>
      <c r="CI312" s="19">
        <v>0</v>
      </c>
      <c r="CJ312" s="19">
        <v>0</v>
      </c>
      <c r="CK312" s="19">
        <v>0</v>
      </c>
      <c r="CL312" s="19">
        <v>0</v>
      </c>
      <c r="CM312" s="19">
        <v>0</v>
      </c>
      <c r="CN312" s="19">
        <v>0</v>
      </c>
      <c r="CO312" s="19">
        <v>0</v>
      </c>
      <c r="CP312" s="19">
        <v>0</v>
      </c>
      <c r="CQ312" s="19">
        <v>0</v>
      </c>
      <c r="CR312" s="19">
        <v>0</v>
      </c>
      <c r="CS312" s="19">
        <v>0</v>
      </c>
      <c r="CT312" s="19">
        <v>0</v>
      </c>
      <c r="CU312" s="19">
        <v>0</v>
      </c>
      <c r="CV312" s="19">
        <v>0</v>
      </c>
      <c r="CW312" s="19">
        <v>0</v>
      </c>
      <c r="CX312" s="19">
        <v>0</v>
      </c>
      <c r="CY312" s="19">
        <v>0</v>
      </c>
      <c r="CZ312" s="19">
        <v>0</v>
      </c>
      <c r="DA312" s="19">
        <v>0</v>
      </c>
      <c r="DB312" s="19">
        <v>0</v>
      </c>
      <c r="DC312" s="19">
        <v>0</v>
      </c>
      <c r="DD312" s="19">
        <v>0</v>
      </c>
      <c r="DE312" s="19">
        <v>0</v>
      </c>
      <c r="DF312" s="19">
        <v>0</v>
      </c>
      <c r="DG312" s="19">
        <v>0</v>
      </c>
    </row>
    <row r="313" spans="2:111" x14ac:dyDescent="0.15">
      <c r="B313" s="19" t="str">
        <f t="shared" si="4"/>
        <v>5_女_10</v>
      </c>
      <c r="C313" s="18">
        <v>5</v>
      </c>
      <c r="D313" s="18" t="s">
        <v>2</v>
      </c>
      <c r="E313" s="18">
        <v>10</v>
      </c>
      <c r="F313" s="19">
        <v>3143.3</v>
      </c>
      <c r="G313" s="19">
        <v>7042.3</v>
      </c>
      <c r="H313" s="19">
        <v>11533.9</v>
      </c>
      <c r="I313" s="19">
        <v>16666.8</v>
      </c>
      <c r="J313" s="19">
        <v>21248.6</v>
      </c>
      <c r="K313" s="19">
        <v>21308.9</v>
      </c>
      <c r="L313" s="19">
        <v>21372</v>
      </c>
      <c r="M313" s="19">
        <v>21438.2</v>
      </c>
      <c r="N313" s="19">
        <v>21507.599999999999</v>
      </c>
      <c r="O313" s="19">
        <v>21580.400000000001</v>
      </c>
      <c r="P313" s="19">
        <v>21656.6</v>
      </c>
      <c r="Q313" s="19">
        <v>21736.6</v>
      </c>
      <c r="R313" s="19">
        <v>21820.5</v>
      </c>
      <c r="S313" s="19">
        <v>21908.5</v>
      </c>
      <c r="T313" s="19">
        <v>22000.799999999999</v>
      </c>
      <c r="U313" s="19">
        <v>22097.5</v>
      </c>
      <c r="V313" s="19">
        <v>22199</v>
      </c>
      <c r="W313" s="19">
        <v>22305.5</v>
      </c>
      <c r="X313" s="19">
        <v>22417.200000000001</v>
      </c>
      <c r="Y313" s="19">
        <v>22534.3</v>
      </c>
      <c r="Z313" s="19">
        <v>22657.1</v>
      </c>
      <c r="AA313" s="19">
        <v>22785.9</v>
      </c>
      <c r="AB313" s="19">
        <v>22920.9</v>
      </c>
      <c r="AC313" s="19">
        <v>23062.400000000001</v>
      </c>
      <c r="AD313" s="19">
        <v>23210.7</v>
      </c>
      <c r="AE313" s="19">
        <v>23366</v>
      </c>
      <c r="AF313" s="19">
        <v>23528.7</v>
      </c>
      <c r="AG313" s="19">
        <v>23699.1</v>
      </c>
      <c r="AH313" s="19">
        <v>23877.5</v>
      </c>
      <c r="AI313" s="19">
        <v>24064.2</v>
      </c>
      <c r="AJ313" s="19">
        <v>24259.8</v>
      </c>
      <c r="AK313" s="19">
        <v>24464.5</v>
      </c>
      <c r="AL313" s="19">
        <v>24678.7</v>
      </c>
      <c r="AM313" s="19">
        <v>24903</v>
      </c>
      <c r="AN313" s="19">
        <v>25137.7</v>
      </c>
      <c r="AO313" s="19">
        <v>25383.4</v>
      </c>
      <c r="AP313" s="19">
        <v>25640.7</v>
      </c>
      <c r="AQ313" s="19">
        <v>25909.9</v>
      </c>
      <c r="AR313" s="19">
        <v>26191.8</v>
      </c>
      <c r="AS313" s="19">
        <v>26487</v>
      </c>
      <c r="AT313" s="19">
        <v>26795.9</v>
      </c>
      <c r="AU313" s="19">
        <v>27119.5</v>
      </c>
      <c r="AV313" s="19">
        <v>27458.3</v>
      </c>
      <c r="AW313" s="19">
        <v>27813</v>
      </c>
      <c r="AX313" s="19">
        <v>28184.6</v>
      </c>
      <c r="AY313" s="19">
        <v>28573.9</v>
      </c>
      <c r="AZ313" s="19">
        <v>28981.8</v>
      </c>
      <c r="BA313" s="19">
        <v>29409.200000000001</v>
      </c>
      <c r="BB313" s="19">
        <v>29857.3</v>
      </c>
      <c r="BC313" s="19">
        <v>29327.1</v>
      </c>
      <c r="BD313" s="19">
        <v>0</v>
      </c>
      <c r="BE313" s="19">
        <v>0</v>
      </c>
      <c r="BF313" s="19">
        <v>0</v>
      </c>
      <c r="BG313" s="19">
        <v>0</v>
      </c>
      <c r="BH313" s="19">
        <v>0</v>
      </c>
      <c r="BI313" s="19">
        <v>0</v>
      </c>
      <c r="BJ313" s="19">
        <v>0</v>
      </c>
      <c r="BK313" s="19">
        <v>0</v>
      </c>
      <c r="BL313" s="19">
        <v>0</v>
      </c>
      <c r="BM313" s="19">
        <v>0</v>
      </c>
      <c r="BN313" s="19">
        <v>0</v>
      </c>
      <c r="BO313" s="19">
        <v>0</v>
      </c>
      <c r="BP313" s="19">
        <v>0</v>
      </c>
      <c r="BQ313" s="19">
        <v>0</v>
      </c>
      <c r="BR313" s="19">
        <v>0</v>
      </c>
      <c r="BS313" s="19">
        <v>0</v>
      </c>
      <c r="BT313" s="19">
        <v>0</v>
      </c>
      <c r="BU313" s="19">
        <v>0</v>
      </c>
      <c r="BV313" s="19">
        <v>0</v>
      </c>
      <c r="BW313" s="19">
        <v>0</v>
      </c>
      <c r="BX313" s="19">
        <v>0</v>
      </c>
      <c r="BY313" s="19">
        <v>0</v>
      </c>
      <c r="BZ313" s="19">
        <v>0</v>
      </c>
      <c r="CA313" s="19">
        <v>0</v>
      </c>
      <c r="CB313" s="19">
        <v>0</v>
      </c>
      <c r="CC313" s="19">
        <v>0</v>
      </c>
      <c r="CD313" s="19">
        <v>0</v>
      </c>
      <c r="CE313" s="19">
        <v>0</v>
      </c>
      <c r="CF313" s="19">
        <v>0</v>
      </c>
      <c r="CG313" s="19">
        <v>0</v>
      </c>
      <c r="CH313" s="19">
        <v>0</v>
      </c>
      <c r="CI313" s="19">
        <v>0</v>
      </c>
      <c r="CJ313" s="19">
        <v>0</v>
      </c>
      <c r="CK313" s="19">
        <v>0</v>
      </c>
      <c r="CL313" s="19">
        <v>0</v>
      </c>
      <c r="CM313" s="19">
        <v>0</v>
      </c>
      <c r="CN313" s="19">
        <v>0</v>
      </c>
      <c r="CO313" s="19">
        <v>0</v>
      </c>
      <c r="CP313" s="19">
        <v>0</v>
      </c>
      <c r="CQ313" s="19">
        <v>0</v>
      </c>
      <c r="CR313" s="19">
        <v>0</v>
      </c>
      <c r="CS313" s="19">
        <v>0</v>
      </c>
      <c r="CT313" s="19">
        <v>0</v>
      </c>
      <c r="CU313" s="19">
        <v>0</v>
      </c>
      <c r="CV313" s="19">
        <v>0</v>
      </c>
      <c r="CW313" s="19">
        <v>0</v>
      </c>
      <c r="CX313" s="19">
        <v>0</v>
      </c>
      <c r="CY313" s="19">
        <v>0</v>
      </c>
      <c r="CZ313" s="19">
        <v>0</v>
      </c>
      <c r="DA313" s="19">
        <v>0</v>
      </c>
      <c r="DB313" s="19">
        <v>0</v>
      </c>
      <c r="DC313" s="19">
        <v>0</v>
      </c>
      <c r="DD313" s="19">
        <v>0</v>
      </c>
      <c r="DE313" s="19">
        <v>0</v>
      </c>
      <c r="DF313" s="19">
        <v>0</v>
      </c>
      <c r="DG313" s="19">
        <v>0</v>
      </c>
    </row>
    <row r="314" spans="2:111" x14ac:dyDescent="0.15">
      <c r="B314" s="19" t="str">
        <f t="shared" si="4"/>
        <v>5_女_11</v>
      </c>
      <c r="C314" s="18">
        <v>5</v>
      </c>
      <c r="D314" s="18" t="s">
        <v>2</v>
      </c>
      <c r="E314" s="18">
        <v>11</v>
      </c>
      <c r="F314" s="19">
        <v>3151.9</v>
      </c>
      <c r="G314" s="19">
        <v>7061.6</v>
      </c>
      <c r="H314" s="19">
        <v>11565.4</v>
      </c>
      <c r="I314" s="19">
        <v>16712.2</v>
      </c>
      <c r="J314" s="19">
        <v>21309.200000000001</v>
      </c>
      <c r="K314" s="19">
        <v>21372.3</v>
      </c>
      <c r="L314" s="19">
        <v>21438.5</v>
      </c>
      <c r="M314" s="19">
        <v>21507.9</v>
      </c>
      <c r="N314" s="19">
        <v>21580.7</v>
      </c>
      <c r="O314" s="19">
        <v>21657</v>
      </c>
      <c r="P314" s="19">
        <v>21737</v>
      </c>
      <c r="Q314" s="19">
        <v>21820.9</v>
      </c>
      <c r="R314" s="19">
        <v>21908.9</v>
      </c>
      <c r="S314" s="19">
        <v>22001.200000000001</v>
      </c>
      <c r="T314" s="19">
        <v>22098</v>
      </c>
      <c r="U314" s="19">
        <v>22199.5</v>
      </c>
      <c r="V314" s="19">
        <v>22306</v>
      </c>
      <c r="W314" s="19">
        <v>22417.599999999999</v>
      </c>
      <c r="X314" s="19">
        <v>22534.799999999999</v>
      </c>
      <c r="Y314" s="19">
        <v>22657.599999999999</v>
      </c>
      <c r="Z314" s="19">
        <v>22786.400000000001</v>
      </c>
      <c r="AA314" s="19">
        <v>22921.4</v>
      </c>
      <c r="AB314" s="19">
        <v>23062.9</v>
      </c>
      <c r="AC314" s="19">
        <v>23211.200000000001</v>
      </c>
      <c r="AD314" s="19">
        <v>23366.5</v>
      </c>
      <c r="AE314" s="19">
        <v>23529.200000000001</v>
      </c>
      <c r="AF314" s="19">
        <v>23699.599999999999</v>
      </c>
      <c r="AG314" s="19">
        <v>23878.1</v>
      </c>
      <c r="AH314" s="19">
        <v>24064.9</v>
      </c>
      <c r="AI314" s="19">
        <v>24260.400000000001</v>
      </c>
      <c r="AJ314" s="19">
        <v>24465.1</v>
      </c>
      <c r="AK314" s="19">
        <v>24679.3</v>
      </c>
      <c r="AL314" s="19">
        <v>24903.599999999999</v>
      </c>
      <c r="AM314" s="19">
        <v>25138.400000000001</v>
      </c>
      <c r="AN314" s="19">
        <v>25384.1</v>
      </c>
      <c r="AO314" s="19">
        <v>25641.3</v>
      </c>
      <c r="AP314" s="19">
        <v>25910.6</v>
      </c>
      <c r="AQ314" s="19">
        <v>26192.400000000001</v>
      </c>
      <c r="AR314" s="19">
        <v>26487.5</v>
      </c>
      <c r="AS314" s="19">
        <v>26796.5</v>
      </c>
      <c r="AT314" s="19">
        <v>27120</v>
      </c>
      <c r="AU314" s="19">
        <v>27458.799999999999</v>
      </c>
      <c r="AV314" s="19">
        <v>27813.5</v>
      </c>
      <c r="AW314" s="19">
        <v>28185</v>
      </c>
      <c r="AX314" s="19">
        <v>28574.3</v>
      </c>
      <c r="AY314" s="19">
        <v>28982</v>
      </c>
      <c r="AZ314" s="19">
        <v>29409.4</v>
      </c>
      <c r="BA314" s="19">
        <v>29857.4</v>
      </c>
      <c r="BB314" s="19">
        <v>29327.1</v>
      </c>
      <c r="BC314" s="19">
        <v>0</v>
      </c>
      <c r="BD314" s="19">
        <v>0</v>
      </c>
      <c r="BE314" s="19">
        <v>0</v>
      </c>
      <c r="BF314" s="19">
        <v>0</v>
      </c>
      <c r="BG314" s="19">
        <v>0</v>
      </c>
      <c r="BH314" s="19">
        <v>0</v>
      </c>
      <c r="BI314" s="19">
        <v>0</v>
      </c>
      <c r="BJ314" s="19">
        <v>0</v>
      </c>
      <c r="BK314" s="19">
        <v>0</v>
      </c>
      <c r="BL314" s="19">
        <v>0</v>
      </c>
      <c r="BM314" s="19">
        <v>0</v>
      </c>
      <c r="BN314" s="19">
        <v>0</v>
      </c>
      <c r="BO314" s="19">
        <v>0</v>
      </c>
      <c r="BP314" s="19">
        <v>0</v>
      </c>
      <c r="BQ314" s="19">
        <v>0</v>
      </c>
      <c r="BR314" s="19">
        <v>0</v>
      </c>
      <c r="BS314" s="19">
        <v>0</v>
      </c>
      <c r="BT314" s="19">
        <v>0</v>
      </c>
      <c r="BU314" s="19">
        <v>0</v>
      </c>
      <c r="BV314" s="19">
        <v>0</v>
      </c>
      <c r="BW314" s="19">
        <v>0</v>
      </c>
      <c r="BX314" s="19">
        <v>0</v>
      </c>
      <c r="BY314" s="19">
        <v>0</v>
      </c>
      <c r="BZ314" s="19">
        <v>0</v>
      </c>
      <c r="CA314" s="19">
        <v>0</v>
      </c>
      <c r="CB314" s="19">
        <v>0</v>
      </c>
      <c r="CC314" s="19">
        <v>0</v>
      </c>
      <c r="CD314" s="19">
        <v>0</v>
      </c>
      <c r="CE314" s="19">
        <v>0</v>
      </c>
      <c r="CF314" s="19">
        <v>0</v>
      </c>
      <c r="CG314" s="19">
        <v>0</v>
      </c>
      <c r="CH314" s="19">
        <v>0</v>
      </c>
      <c r="CI314" s="19">
        <v>0</v>
      </c>
      <c r="CJ314" s="19">
        <v>0</v>
      </c>
      <c r="CK314" s="19">
        <v>0</v>
      </c>
      <c r="CL314" s="19">
        <v>0</v>
      </c>
      <c r="CM314" s="19">
        <v>0</v>
      </c>
      <c r="CN314" s="19">
        <v>0</v>
      </c>
      <c r="CO314" s="19">
        <v>0</v>
      </c>
      <c r="CP314" s="19">
        <v>0</v>
      </c>
      <c r="CQ314" s="19">
        <v>0</v>
      </c>
      <c r="CR314" s="19">
        <v>0</v>
      </c>
      <c r="CS314" s="19">
        <v>0</v>
      </c>
      <c r="CT314" s="19">
        <v>0</v>
      </c>
      <c r="CU314" s="19">
        <v>0</v>
      </c>
      <c r="CV314" s="19">
        <v>0</v>
      </c>
      <c r="CW314" s="19">
        <v>0</v>
      </c>
      <c r="CX314" s="19">
        <v>0</v>
      </c>
      <c r="CY314" s="19">
        <v>0</v>
      </c>
      <c r="CZ314" s="19">
        <v>0</v>
      </c>
      <c r="DA314" s="19">
        <v>0</v>
      </c>
      <c r="DB314" s="19">
        <v>0</v>
      </c>
      <c r="DC314" s="19">
        <v>0</v>
      </c>
      <c r="DD314" s="19">
        <v>0</v>
      </c>
      <c r="DE314" s="19">
        <v>0</v>
      </c>
      <c r="DF314" s="19">
        <v>0</v>
      </c>
      <c r="DG314" s="19">
        <v>0</v>
      </c>
    </row>
    <row r="315" spans="2:111" x14ac:dyDescent="0.15">
      <c r="B315" s="19" t="str">
        <f t="shared" si="4"/>
        <v>5_女_12</v>
      </c>
      <c r="C315" s="18">
        <v>5</v>
      </c>
      <c r="D315" s="18" t="s">
        <v>2</v>
      </c>
      <c r="E315" s="18">
        <v>12</v>
      </c>
      <c r="F315" s="19">
        <v>3160.9</v>
      </c>
      <c r="G315" s="19">
        <v>7081.7</v>
      </c>
      <c r="H315" s="19">
        <v>11598.3</v>
      </c>
      <c r="I315" s="19">
        <v>16759.8</v>
      </c>
      <c r="J315" s="19">
        <v>21372.7</v>
      </c>
      <c r="K315" s="19">
        <v>21438.9</v>
      </c>
      <c r="L315" s="19">
        <v>21508.3</v>
      </c>
      <c r="M315" s="19">
        <v>21581.1</v>
      </c>
      <c r="N315" s="19">
        <v>21657.4</v>
      </c>
      <c r="O315" s="19">
        <v>21737.4</v>
      </c>
      <c r="P315" s="19">
        <v>21821.3</v>
      </c>
      <c r="Q315" s="19">
        <v>21909.3</v>
      </c>
      <c r="R315" s="19">
        <v>22001.599999999999</v>
      </c>
      <c r="S315" s="19">
        <v>22098.400000000001</v>
      </c>
      <c r="T315" s="19">
        <v>22199.9</v>
      </c>
      <c r="U315" s="19">
        <v>22306.400000000001</v>
      </c>
      <c r="V315" s="19">
        <v>22418.1</v>
      </c>
      <c r="W315" s="19">
        <v>22535.3</v>
      </c>
      <c r="X315" s="19">
        <v>22658.1</v>
      </c>
      <c r="Y315" s="19">
        <v>22786.9</v>
      </c>
      <c r="Z315" s="19">
        <v>22922</v>
      </c>
      <c r="AA315" s="19">
        <v>23063.5</v>
      </c>
      <c r="AB315" s="19">
        <v>23211.8</v>
      </c>
      <c r="AC315" s="19">
        <v>23367.1</v>
      </c>
      <c r="AD315" s="19">
        <v>23529.8</v>
      </c>
      <c r="AE315" s="19">
        <v>23700.2</v>
      </c>
      <c r="AF315" s="19">
        <v>23878.7</v>
      </c>
      <c r="AG315" s="19">
        <v>24065.5</v>
      </c>
      <c r="AH315" s="19">
        <v>24261</v>
      </c>
      <c r="AI315" s="19">
        <v>24465.7</v>
      </c>
      <c r="AJ315" s="19">
        <v>24680</v>
      </c>
      <c r="AK315" s="19">
        <v>24904.3</v>
      </c>
      <c r="AL315" s="19">
        <v>25139</v>
      </c>
      <c r="AM315" s="19">
        <v>25384.7</v>
      </c>
      <c r="AN315" s="19">
        <v>25641.9</v>
      </c>
      <c r="AO315" s="19">
        <v>25911.200000000001</v>
      </c>
      <c r="AP315" s="19">
        <v>26193.1</v>
      </c>
      <c r="AQ315" s="19">
        <v>26488.1</v>
      </c>
      <c r="AR315" s="19">
        <v>26797.1</v>
      </c>
      <c r="AS315" s="19">
        <v>27120.6</v>
      </c>
      <c r="AT315" s="19">
        <v>27459.3</v>
      </c>
      <c r="AU315" s="19">
        <v>27814</v>
      </c>
      <c r="AV315" s="19">
        <v>28185.5</v>
      </c>
      <c r="AW315" s="19">
        <v>28574.6</v>
      </c>
      <c r="AX315" s="19">
        <v>28982.3</v>
      </c>
      <c r="AY315" s="19">
        <v>29409.599999999999</v>
      </c>
      <c r="AZ315" s="19">
        <v>29857.5</v>
      </c>
      <c r="BA315" s="19">
        <v>29327.1</v>
      </c>
      <c r="BB315" s="19">
        <v>0</v>
      </c>
      <c r="BC315" s="19">
        <v>0</v>
      </c>
      <c r="BD315" s="19">
        <v>0</v>
      </c>
      <c r="BE315" s="19">
        <v>0</v>
      </c>
      <c r="BF315" s="19">
        <v>0</v>
      </c>
      <c r="BG315" s="19">
        <v>0</v>
      </c>
      <c r="BH315" s="19">
        <v>0</v>
      </c>
      <c r="BI315" s="19">
        <v>0</v>
      </c>
      <c r="BJ315" s="19">
        <v>0</v>
      </c>
      <c r="BK315" s="19">
        <v>0</v>
      </c>
      <c r="BL315" s="19">
        <v>0</v>
      </c>
      <c r="BM315" s="19">
        <v>0</v>
      </c>
      <c r="BN315" s="19">
        <v>0</v>
      </c>
      <c r="BO315" s="19">
        <v>0</v>
      </c>
      <c r="BP315" s="19">
        <v>0</v>
      </c>
      <c r="BQ315" s="19">
        <v>0</v>
      </c>
      <c r="BR315" s="19">
        <v>0</v>
      </c>
      <c r="BS315" s="19">
        <v>0</v>
      </c>
      <c r="BT315" s="19">
        <v>0</v>
      </c>
      <c r="BU315" s="19">
        <v>0</v>
      </c>
      <c r="BV315" s="19">
        <v>0</v>
      </c>
      <c r="BW315" s="19">
        <v>0</v>
      </c>
      <c r="BX315" s="19">
        <v>0</v>
      </c>
      <c r="BY315" s="19">
        <v>0</v>
      </c>
      <c r="BZ315" s="19">
        <v>0</v>
      </c>
      <c r="CA315" s="19">
        <v>0</v>
      </c>
      <c r="CB315" s="19">
        <v>0</v>
      </c>
      <c r="CC315" s="19">
        <v>0</v>
      </c>
      <c r="CD315" s="19">
        <v>0</v>
      </c>
      <c r="CE315" s="19">
        <v>0</v>
      </c>
      <c r="CF315" s="19">
        <v>0</v>
      </c>
      <c r="CG315" s="19">
        <v>0</v>
      </c>
      <c r="CH315" s="19">
        <v>0</v>
      </c>
      <c r="CI315" s="19">
        <v>0</v>
      </c>
      <c r="CJ315" s="19">
        <v>0</v>
      </c>
      <c r="CK315" s="19">
        <v>0</v>
      </c>
      <c r="CL315" s="19">
        <v>0</v>
      </c>
      <c r="CM315" s="19">
        <v>0</v>
      </c>
      <c r="CN315" s="19">
        <v>0</v>
      </c>
      <c r="CO315" s="19">
        <v>0</v>
      </c>
      <c r="CP315" s="19">
        <v>0</v>
      </c>
      <c r="CQ315" s="19">
        <v>0</v>
      </c>
      <c r="CR315" s="19">
        <v>0</v>
      </c>
      <c r="CS315" s="19">
        <v>0</v>
      </c>
      <c r="CT315" s="19">
        <v>0</v>
      </c>
      <c r="CU315" s="19">
        <v>0</v>
      </c>
      <c r="CV315" s="19">
        <v>0</v>
      </c>
      <c r="CW315" s="19">
        <v>0</v>
      </c>
      <c r="CX315" s="19">
        <v>0</v>
      </c>
      <c r="CY315" s="19">
        <v>0</v>
      </c>
      <c r="CZ315" s="19">
        <v>0</v>
      </c>
      <c r="DA315" s="19">
        <v>0</v>
      </c>
      <c r="DB315" s="19">
        <v>0</v>
      </c>
      <c r="DC315" s="19">
        <v>0</v>
      </c>
      <c r="DD315" s="19">
        <v>0</v>
      </c>
      <c r="DE315" s="19">
        <v>0</v>
      </c>
      <c r="DF315" s="19">
        <v>0</v>
      </c>
      <c r="DG315" s="19">
        <v>0</v>
      </c>
    </row>
    <row r="316" spans="2:111" x14ac:dyDescent="0.15">
      <c r="B316" s="19" t="str">
        <f t="shared" si="4"/>
        <v>5_女_13</v>
      </c>
      <c r="C316" s="18">
        <v>5</v>
      </c>
      <c r="D316" s="18" t="s">
        <v>2</v>
      </c>
      <c r="E316" s="18">
        <v>13</v>
      </c>
      <c r="F316" s="19">
        <v>3170.3</v>
      </c>
      <c r="G316" s="19">
        <v>7102.8</v>
      </c>
      <c r="H316" s="19">
        <v>11632.9</v>
      </c>
      <c r="I316" s="19">
        <v>16809.7</v>
      </c>
      <c r="J316" s="19">
        <v>21439.200000000001</v>
      </c>
      <c r="K316" s="19">
        <v>21508.7</v>
      </c>
      <c r="L316" s="19">
        <v>21581.4</v>
      </c>
      <c r="M316" s="19">
        <v>21657.8</v>
      </c>
      <c r="N316" s="19">
        <v>21737.8</v>
      </c>
      <c r="O316" s="19">
        <v>21821.7</v>
      </c>
      <c r="P316" s="19">
        <v>21909.7</v>
      </c>
      <c r="Q316" s="19">
        <v>22002</v>
      </c>
      <c r="R316" s="19">
        <v>22098.799999999999</v>
      </c>
      <c r="S316" s="19">
        <v>22200.400000000001</v>
      </c>
      <c r="T316" s="19">
        <v>22306.9</v>
      </c>
      <c r="U316" s="19">
        <v>22418.6</v>
      </c>
      <c r="V316" s="19">
        <v>22535.8</v>
      </c>
      <c r="W316" s="19">
        <v>22658.6</v>
      </c>
      <c r="X316" s="19">
        <v>22787.5</v>
      </c>
      <c r="Y316" s="19">
        <v>22922.5</v>
      </c>
      <c r="Z316" s="19">
        <v>23064</v>
      </c>
      <c r="AA316" s="19">
        <v>23212.3</v>
      </c>
      <c r="AB316" s="19">
        <v>23367.7</v>
      </c>
      <c r="AC316" s="19">
        <v>23530.400000000001</v>
      </c>
      <c r="AD316" s="19">
        <v>23700.9</v>
      </c>
      <c r="AE316" s="19">
        <v>23879.3</v>
      </c>
      <c r="AF316" s="19">
        <v>24066.1</v>
      </c>
      <c r="AG316" s="19">
        <v>24261.7</v>
      </c>
      <c r="AH316" s="19">
        <v>24466.400000000001</v>
      </c>
      <c r="AI316" s="19">
        <v>24680.7</v>
      </c>
      <c r="AJ316" s="19">
        <v>24904.9</v>
      </c>
      <c r="AK316" s="19">
        <v>25139.7</v>
      </c>
      <c r="AL316" s="19">
        <v>25385.4</v>
      </c>
      <c r="AM316" s="19">
        <v>25642.6</v>
      </c>
      <c r="AN316" s="19">
        <v>25911.8</v>
      </c>
      <c r="AO316" s="19">
        <v>26193.7</v>
      </c>
      <c r="AP316" s="19">
        <v>26488.799999999999</v>
      </c>
      <c r="AQ316" s="19">
        <v>26797.7</v>
      </c>
      <c r="AR316" s="19">
        <v>27121.1</v>
      </c>
      <c r="AS316" s="19">
        <v>27459.8</v>
      </c>
      <c r="AT316" s="19">
        <v>27814.5</v>
      </c>
      <c r="AU316" s="19">
        <v>28185.9</v>
      </c>
      <c r="AV316" s="19">
        <v>28575</v>
      </c>
      <c r="AW316" s="19">
        <v>28982.6</v>
      </c>
      <c r="AX316" s="19">
        <v>29409.8</v>
      </c>
      <c r="AY316" s="19">
        <v>29857.599999999999</v>
      </c>
      <c r="AZ316" s="19">
        <v>29327.1</v>
      </c>
      <c r="BA316" s="19">
        <v>0</v>
      </c>
      <c r="BB316" s="19">
        <v>0</v>
      </c>
      <c r="BC316" s="19">
        <v>0</v>
      </c>
      <c r="BD316" s="19">
        <v>0</v>
      </c>
      <c r="BE316" s="19">
        <v>0</v>
      </c>
      <c r="BF316" s="19">
        <v>0</v>
      </c>
      <c r="BG316" s="19">
        <v>0</v>
      </c>
      <c r="BH316" s="19">
        <v>0</v>
      </c>
      <c r="BI316" s="19">
        <v>0</v>
      </c>
      <c r="BJ316" s="19">
        <v>0</v>
      </c>
      <c r="BK316" s="19">
        <v>0</v>
      </c>
      <c r="BL316" s="19">
        <v>0</v>
      </c>
      <c r="BM316" s="19">
        <v>0</v>
      </c>
      <c r="BN316" s="19">
        <v>0</v>
      </c>
      <c r="BO316" s="19">
        <v>0</v>
      </c>
      <c r="BP316" s="19">
        <v>0</v>
      </c>
      <c r="BQ316" s="19">
        <v>0</v>
      </c>
      <c r="BR316" s="19">
        <v>0</v>
      </c>
      <c r="BS316" s="19">
        <v>0</v>
      </c>
      <c r="BT316" s="19">
        <v>0</v>
      </c>
      <c r="BU316" s="19">
        <v>0</v>
      </c>
      <c r="BV316" s="19">
        <v>0</v>
      </c>
      <c r="BW316" s="19">
        <v>0</v>
      </c>
      <c r="BX316" s="19">
        <v>0</v>
      </c>
      <c r="BY316" s="19">
        <v>0</v>
      </c>
      <c r="BZ316" s="19">
        <v>0</v>
      </c>
      <c r="CA316" s="19">
        <v>0</v>
      </c>
      <c r="CB316" s="19">
        <v>0</v>
      </c>
      <c r="CC316" s="19">
        <v>0</v>
      </c>
      <c r="CD316" s="19">
        <v>0</v>
      </c>
      <c r="CE316" s="19">
        <v>0</v>
      </c>
      <c r="CF316" s="19">
        <v>0</v>
      </c>
      <c r="CG316" s="19">
        <v>0</v>
      </c>
      <c r="CH316" s="19">
        <v>0</v>
      </c>
      <c r="CI316" s="19">
        <v>0</v>
      </c>
      <c r="CJ316" s="19">
        <v>0</v>
      </c>
      <c r="CK316" s="19">
        <v>0</v>
      </c>
      <c r="CL316" s="19">
        <v>0</v>
      </c>
      <c r="CM316" s="19">
        <v>0</v>
      </c>
      <c r="CN316" s="19">
        <v>0</v>
      </c>
      <c r="CO316" s="19">
        <v>0</v>
      </c>
      <c r="CP316" s="19">
        <v>0</v>
      </c>
      <c r="CQ316" s="19">
        <v>0</v>
      </c>
      <c r="CR316" s="19">
        <v>0</v>
      </c>
      <c r="CS316" s="19">
        <v>0</v>
      </c>
      <c r="CT316" s="19">
        <v>0</v>
      </c>
      <c r="CU316" s="19">
        <v>0</v>
      </c>
      <c r="CV316" s="19">
        <v>0</v>
      </c>
      <c r="CW316" s="19">
        <v>0</v>
      </c>
      <c r="CX316" s="19">
        <v>0</v>
      </c>
      <c r="CY316" s="19">
        <v>0</v>
      </c>
      <c r="CZ316" s="19">
        <v>0</v>
      </c>
      <c r="DA316" s="19">
        <v>0</v>
      </c>
      <c r="DB316" s="19">
        <v>0</v>
      </c>
      <c r="DC316" s="19">
        <v>0</v>
      </c>
      <c r="DD316" s="19">
        <v>0</v>
      </c>
      <c r="DE316" s="19">
        <v>0</v>
      </c>
      <c r="DF316" s="19">
        <v>0</v>
      </c>
      <c r="DG316" s="19">
        <v>0</v>
      </c>
    </row>
    <row r="317" spans="2:111" x14ac:dyDescent="0.15">
      <c r="B317" s="19" t="str">
        <f t="shared" si="4"/>
        <v>5_女_14</v>
      </c>
      <c r="C317" s="18">
        <v>5</v>
      </c>
      <c r="D317" s="18" t="s">
        <v>2</v>
      </c>
      <c r="E317" s="18">
        <v>14</v>
      </c>
      <c r="F317" s="19">
        <v>3180.2</v>
      </c>
      <c r="G317" s="19">
        <v>7125</v>
      </c>
      <c r="H317" s="19">
        <v>11669.1</v>
      </c>
      <c r="I317" s="19">
        <v>16862</v>
      </c>
      <c r="J317" s="19">
        <v>21509</v>
      </c>
      <c r="K317" s="19">
        <v>21581.8</v>
      </c>
      <c r="L317" s="19">
        <v>21658.2</v>
      </c>
      <c r="M317" s="19">
        <v>21738.2</v>
      </c>
      <c r="N317" s="19">
        <v>21822.1</v>
      </c>
      <c r="O317" s="19">
        <v>21910.1</v>
      </c>
      <c r="P317" s="19">
        <v>22002.5</v>
      </c>
      <c r="Q317" s="19">
        <v>22099.3</v>
      </c>
      <c r="R317" s="19">
        <v>22200.9</v>
      </c>
      <c r="S317" s="19">
        <v>22307.4</v>
      </c>
      <c r="T317" s="19">
        <v>22419.1</v>
      </c>
      <c r="U317" s="19">
        <v>22536.3</v>
      </c>
      <c r="V317" s="19">
        <v>22659.200000000001</v>
      </c>
      <c r="W317" s="19">
        <v>22788</v>
      </c>
      <c r="X317" s="19">
        <v>22923.1</v>
      </c>
      <c r="Y317" s="19">
        <v>23064.6</v>
      </c>
      <c r="Z317" s="19">
        <v>23212.9</v>
      </c>
      <c r="AA317" s="19">
        <v>23368.3</v>
      </c>
      <c r="AB317" s="19">
        <v>23531.1</v>
      </c>
      <c r="AC317" s="19">
        <v>23701.5</v>
      </c>
      <c r="AD317" s="19">
        <v>23880</v>
      </c>
      <c r="AE317" s="19">
        <v>24066.799999999999</v>
      </c>
      <c r="AF317" s="19">
        <v>24262.400000000001</v>
      </c>
      <c r="AG317" s="19">
        <v>24467.1</v>
      </c>
      <c r="AH317" s="19">
        <v>24681.3</v>
      </c>
      <c r="AI317" s="19">
        <v>24905.599999999999</v>
      </c>
      <c r="AJ317" s="19">
        <v>25140.400000000001</v>
      </c>
      <c r="AK317" s="19">
        <v>25386.1</v>
      </c>
      <c r="AL317" s="19">
        <v>25643.3</v>
      </c>
      <c r="AM317" s="19">
        <v>25912.5</v>
      </c>
      <c r="AN317" s="19">
        <v>26194.400000000001</v>
      </c>
      <c r="AO317" s="19">
        <v>26489.4</v>
      </c>
      <c r="AP317" s="19">
        <v>26798.3</v>
      </c>
      <c r="AQ317" s="19">
        <v>27121.7</v>
      </c>
      <c r="AR317" s="19">
        <v>27460.400000000001</v>
      </c>
      <c r="AS317" s="19">
        <v>27815</v>
      </c>
      <c r="AT317" s="19">
        <v>28186.400000000001</v>
      </c>
      <c r="AU317" s="19">
        <v>28575.4</v>
      </c>
      <c r="AV317" s="19">
        <v>28982.9</v>
      </c>
      <c r="AW317" s="19">
        <v>29410</v>
      </c>
      <c r="AX317" s="19">
        <v>29857.7</v>
      </c>
      <c r="AY317" s="19">
        <v>29327.1</v>
      </c>
      <c r="AZ317" s="19">
        <v>0</v>
      </c>
      <c r="BA317" s="19">
        <v>0</v>
      </c>
      <c r="BB317" s="19">
        <v>0</v>
      </c>
      <c r="BC317" s="19">
        <v>0</v>
      </c>
      <c r="BD317" s="19">
        <v>0</v>
      </c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>
        <v>0</v>
      </c>
      <c r="BM317" s="19">
        <v>0</v>
      </c>
      <c r="BN317" s="19">
        <v>0</v>
      </c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>
        <v>0</v>
      </c>
      <c r="BV317" s="19">
        <v>0</v>
      </c>
      <c r="BW317" s="19">
        <v>0</v>
      </c>
      <c r="BX317" s="19">
        <v>0</v>
      </c>
      <c r="BY317" s="19">
        <v>0</v>
      </c>
      <c r="BZ317" s="19">
        <v>0</v>
      </c>
      <c r="CA317" s="19">
        <v>0</v>
      </c>
      <c r="CB317" s="19">
        <v>0</v>
      </c>
      <c r="CC317" s="19">
        <v>0</v>
      </c>
      <c r="CD317" s="19">
        <v>0</v>
      </c>
      <c r="CE317" s="19">
        <v>0</v>
      </c>
      <c r="CF317" s="19">
        <v>0</v>
      </c>
      <c r="CG317" s="19">
        <v>0</v>
      </c>
      <c r="CH317" s="19">
        <v>0</v>
      </c>
      <c r="CI317" s="19">
        <v>0</v>
      </c>
      <c r="CJ317" s="19">
        <v>0</v>
      </c>
      <c r="CK317" s="19">
        <v>0</v>
      </c>
      <c r="CL317" s="19">
        <v>0</v>
      </c>
      <c r="CM317" s="19">
        <v>0</v>
      </c>
      <c r="CN317" s="19">
        <v>0</v>
      </c>
      <c r="CO317" s="19">
        <v>0</v>
      </c>
      <c r="CP317" s="19">
        <v>0</v>
      </c>
      <c r="CQ317" s="19">
        <v>0</v>
      </c>
      <c r="CR317" s="19">
        <v>0</v>
      </c>
      <c r="CS317" s="19">
        <v>0</v>
      </c>
      <c r="CT317" s="19">
        <v>0</v>
      </c>
      <c r="CU317" s="19">
        <v>0</v>
      </c>
      <c r="CV317" s="19">
        <v>0</v>
      </c>
      <c r="CW317" s="19">
        <v>0</v>
      </c>
      <c r="CX317" s="19">
        <v>0</v>
      </c>
      <c r="CY317" s="19">
        <v>0</v>
      </c>
      <c r="CZ317" s="19">
        <v>0</v>
      </c>
      <c r="DA317" s="19">
        <v>0</v>
      </c>
      <c r="DB317" s="19">
        <v>0</v>
      </c>
      <c r="DC317" s="19">
        <v>0</v>
      </c>
      <c r="DD317" s="19">
        <v>0</v>
      </c>
      <c r="DE317" s="19">
        <v>0</v>
      </c>
      <c r="DF317" s="19">
        <v>0</v>
      </c>
      <c r="DG317" s="19">
        <v>0</v>
      </c>
    </row>
    <row r="318" spans="2:111" x14ac:dyDescent="0.15">
      <c r="B318" s="19" t="str">
        <f t="shared" si="4"/>
        <v>5_女_15</v>
      </c>
      <c r="C318" s="18">
        <v>5</v>
      </c>
      <c r="D318" s="18" t="s">
        <v>2</v>
      </c>
      <c r="E318" s="18">
        <v>15</v>
      </c>
      <c r="F318" s="19">
        <v>3190.6</v>
      </c>
      <c r="G318" s="19">
        <v>7148.2</v>
      </c>
      <c r="H318" s="19">
        <v>11707.1</v>
      </c>
      <c r="I318" s="19">
        <v>16916.900000000001</v>
      </c>
      <c r="J318" s="19">
        <v>21582.2</v>
      </c>
      <c r="K318" s="19">
        <v>21658.6</v>
      </c>
      <c r="L318" s="19">
        <v>21738.6</v>
      </c>
      <c r="M318" s="19">
        <v>21822.6</v>
      </c>
      <c r="N318" s="19">
        <v>21910.6</v>
      </c>
      <c r="O318" s="19">
        <v>22002.9</v>
      </c>
      <c r="P318" s="19">
        <v>22099.8</v>
      </c>
      <c r="Q318" s="19">
        <v>22201.3</v>
      </c>
      <c r="R318" s="19">
        <v>22307.9</v>
      </c>
      <c r="S318" s="19">
        <v>22419.599999999999</v>
      </c>
      <c r="T318" s="19">
        <v>22536.799999999999</v>
      </c>
      <c r="U318" s="19">
        <v>22659.7</v>
      </c>
      <c r="V318" s="19">
        <v>22788.6</v>
      </c>
      <c r="W318" s="19">
        <v>22923.7</v>
      </c>
      <c r="X318" s="19">
        <v>23065.200000000001</v>
      </c>
      <c r="Y318" s="19">
        <v>23213.599999999999</v>
      </c>
      <c r="Z318" s="19">
        <v>23368.9</v>
      </c>
      <c r="AA318" s="19">
        <v>23531.7</v>
      </c>
      <c r="AB318" s="19">
        <v>23702.2</v>
      </c>
      <c r="AC318" s="19">
        <v>23880.6</v>
      </c>
      <c r="AD318" s="19">
        <v>24067.5</v>
      </c>
      <c r="AE318" s="19">
        <v>24263.1</v>
      </c>
      <c r="AF318" s="19">
        <v>24467.8</v>
      </c>
      <c r="AG318" s="19">
        <v>24682.1</v>
      </c>
      <c r="AH318" s="19">
        <v>24906.3</v>
      </c>
      <c r="AI318" s="19">
        <v>25141.1</v>
      </c>
      <c r="AJ318" s="19">
        <v>25386.799999999999</v>
      </c>
      <c r="AK318" s="19">
        <v>25644</v>
      </c>
      <c r="AL318" s="19">
        <v>25913.200000000001</v>
      </c>
      <c r="AM318" s="19">
        <v>26195</v>
      </c>
      <c r="AN318" s="19">
        <v>26490.1</v>
      </c>
      <c r="AO318" s="19">
        <v>26798.9</v>
      </c>
      <c r="AP318" s="19">
        <v>27122.3</v>
      </c>
      <c r="AQ318" s="19">
        <v>27460.9</v>
      </c>
      <c r="AR318" s="19">
        <v>27815.5</v>
      </c>
      <c r="AS318" s="19">
        <v>28186.799999999999</v>
      </c>
      <c r="AT318" s="19">
        <v>28575.8</v>
      </c>
      <c r="AU318" s="19">
        <v>28983.200000000001</v>
      </c>
      <c r="AV318" s="19">
        <v>29410.2</v>
      </c>
      <c r="AW318" s="19">
        <v>29857.8</v>
      </c>
      <c r="AX318" s="19">
        <v>29327.1</v>
      </c>
      <c r="AY318" s="19">
        <v>0</v>
      </c>
      <c r="AZ318" s="19">
        <v>0</v>
      </c>
      <c r="BA318" s="19">
        <v>0</v>
      </c>
      <c r="BB318" s="19">
        <v>0</v>
      </c>
      <c r="BC318" s="19">
        <v>0</v>
      </c>
      <c r="BD318" s="19">
        <v>0</v>
      </c>
      <c r="BE318" s="19">
        <v>0</v>
      </c>
      <c r="BF318" s="19">
        <v>0</v>
      </c>
      <c r="BG318" s="19">
        <v>0</v>
      </c>
      <c r="BH318" s="19">
        <v>0</v>
      </c>
      <c r="BI318" s="19">
        <v>0</v>
      </c>
      <c r="BJ318" s="19">
        <v>0</v>
      </c>
      <c r="BK318" s="19">
        <v>0</v>
      </c>
      <c r="BL318" s="19">
        <v>0</v>
      </c>
      <c r="BM318" s="19">
        <v>0</v>
      </c>
      <c r="BN318" s="19">
        <v>0</v>
      </c>
      <c r="BO318" s="19">
        <v>0</v>
      </c>
      <c r="BP318" s="19">
        <v>0</v>
      </c>
      <c r="BQ318" s="19">
        <v>0</v>
      </c>
      <c r="BR318" s="19">
        <v>0</v>
      </c>
      <c r="BS318" s="19">
        <v>0</v>
      </c>
      <c r="BT318" s="19">
        <v>0</v>
      </c>
      <c r="BU318" s="19">
        <v>0</v>
      </c>
      <c r="BV318" s="19">
        <v>0</v>
      </c>
      <c r="BW318" s="19">
        <v>0</v>
      </c>
      <c r="BX318" s="19">
        <v>0</v>
      </c>
      <c r="BY318" s="19">
        <v>0</v>
      </c>
      <c r="BZ318" s="19">
        <v>0</v>
      </c>
      <c r="CA318" s="19">
        <v>0</v>
      </c>
      <c r="CB318" s="19">
        <v>0</v>
      </c>
      <c r="CC318" s="19">
        <v>0</v>
      </c>
      <c r="CD318" s="19">
        <v>0</v>
      </c>
      <c r="CE318" s="19">
        <v>0</v>
      </c>
      <c r="CF318" s="19">
        <v>0</v>
      </c>
      <c r="CG318" s="19">
        <v>0</v>
      </c>
      <c r="CH318" s="19">
        <v>0</v>
      </c>
      <c r="CI318" s="19">
        <v>0</v>
      </c>
      <c r="CJ318" s="19">
        <v>0</v>
      </c>
      <c r="CK318" s="19">
        <v>0</v>
      </c>
      <c r="CL318" s="19">
        <v>0</v>
      </c>
      <c r="CM318" s="19">
        <v>0</v>
      </c>
      <c r="CN318" s="19">
        <v>0</v>
      </c>
      <c r="CO318" s="19">
        <v>0</v>
      </c>
      <c r="CP318" s="19">
        <v>0</v>
      </c>
      <c r="CQ318" s="19">
        <v>0</v>
      </c>
      <c r="CR318" s="19">
        <v>0</v>
      </c>
      <c r="CS318" s="19">
        <v>0</v>
      </c>
      <c r="CT318" s="19">
        <v>0</v>
      </c>
      <c r="CU318" s="19">
        <v>0</v>
      </c>
      <c r="CV318" s="19">
        <v>0</v>
      </c>
      <c r="CW318" s="19">
        <v>0</v>
      </c>
      <c r="CX318" s="19">
        <v>0</v>
      </c>
      <c r="CY318" s="19">
        <v>0</v>
      </c>
      <c r="CZ318" s="19">
        <v>0</v>
      </c>
      <c r="DA318" s="19">
        <v>0</v>
      </c>
      <c r="DB318" s="19">
        <v>0</v>
      </c>
      <c r="DC318" s="19">
        <v>0</v>
      </c>
      <c r="DD318" s="19">
        <v>0</v>
      </c>
      <c r="DE318" s="19">
        <v>0</v>
      </c>
      <c r="DF318" s="19">
        <v>0</v>
      </c>
      <c r="DG318" s="19">
        <v>0</v>
      </c>
    </row>
    <row r="319" spans="2:111" x14ac:dyDescent="0.15">
      <c r="B319" s="19" t="str">
        <f t="shared" si="4"/>
        <v>5_女_16</v>
      </c>
      <c r="C319" s="18">
        <v>5</v>
      </c>
      <c r="D319" s="18" t="s">
        <v>2</v>
      </c>
      <c r="E319" s="18">
        <v>16</v>
      </c>
      <c r="F319" s="19">
        <v>3201.5</v>
      </c>
      <c r="G319" s="19">
        <v>7172.5</v>
      </c>
      <c r="H319" s="19">
        <v>11747</v>
      </c>
      <c r="I319" s="19">
        <v>16974.400000000001</v>
      </c>
      <c r="J319" s="19">
        <v>21659</v>
      </c>
      <c r="K319" s="19">
        <v>21739.1</v>
      </c>
      <c r="L319" s="19">
        <v>21823</v>
      </c>
      <c r="M319" s="19">
        <v>21911.1</v>
      </c>
      <c r="N319" s="19">
        <v>22003.4</v>
      </c>
      <c r="O319" s="19">
        <v>22100.3</v>
      </c>
      <c r="P319" s="19">
        <v>22201.8</v>
      </c>
      <c r="Q319" s="19">
        <v>22308.400000000001</v>
      </c>
      <c r="R319" s="19">
        <v>22420.2</v>
      </c>
      <c r="S319" s="19">
        <v>22537.4</v>
      </c>
      <c r="T319" s="19">
        <v>22660.3</v>
      </c>
      <c r="U319" s="19">
        <v>22789.200000000001</v>
      </c>
      <c r="V319" s="19">
        <v>22924.3</v>
      </c>
      <c r="W319" s="19">
        <v>23065.8</v>
      </c>
      <c r="X319" s="19">
        <v>23214.2</v>
      </c>
      <c r="Y319" s="19">
        <v>23369.599999999999</v>
      </c>
      <c r="Z319" s="19">
        <v>23532.400000000001</v>
      </c>
      <c r="AA319" s="19">
        <v>23702.799999999999</v>
      </c>
      <c r="AB319" s="19">
        <v>23881.3</v>
      </c>
      <c r="AC319" s="19">
        <v>24068.2</v>
      </c>
      <c r="AD319" s="19">
        <v>24263.8</v>
      </c>
      <c r="AE319" s="19">
        <v>24468.5</v>
      </c>
      <c r="AF319" s="19">
        <v>24682.799999999999</v>
      </c>
      <c r="AG319" s="19">
        <v>24907.1</v>
      </c>
      <c r="AH319" s="19">
        <v>25141.8</v>
      </c>
      <c r="AI319" s="19">
        <v>25387.5</v>
      </c>
      <c r="AJ319" s="19">
        <v>25644.7</v>
      </c>
      <c r="AK319" s="19">
        <v>25913.9</v>
      </c>
      <c r="AL319" s="19">
        <v>26195.7</v>
      </c>
      <c r="AM319" s="19">
        <v>26490.799999999999</v>
      </c>
      <c r="AN319" s="19">
        <v>26799.599999999999</v>
      </c>
      <c r="AO319" s="19">
        <v>27123</v>
      </c>
      <c r="AP319" s="19">
        <v>27461.5</v>
      </c>
      <c r="AQ319" s="19">
        <v>27816</v>
      </c>
      <c r="AR319" s="19">
        <v>28187.3</v>
      </c>
      <c r="AS319" s="19">
        <v>28576.2</v>
      </c>
      <c r="AT319" s="19">
        <v>28983.599999999999</v>
      </c>
      <c r="AU319" s="19">
        <v>29410.5</v>
      </c>
      <c r="AV319" s="19">
        <v>29858</v>
      </c>
      <c r="AW319" s="19">
        <v>29327.1</v>
      </c>
      <c r="AX319" s="19">
        <v>0</v>
      </c>
      <c r="AY319" s="19">
        <v>0</v>
      </c>
      <c r="AZ319" s="19">
        <v>0</v>
      </c>
      <c r="BA319" s="19">
        <v>0</v>
      </c>
      <c r="BB319" s="19">
        <v>0</v>
      </c>
      <c r="BC319" s="19">
        <v>0</v>
      </c>
      <c r="BD319" s="19">
        <v>0</v>
      </c>
      <c r="BE319" s="19">
        <v>0</v>
      </c>
      <c r="BF319" s="19">
        <v>0</v>
      </c>
      <c r="BG319" s="19">
        <v>0</v>
      </c>
      <c r="BH319" s="19">
        <v>0</v>
      </c>
      <c r="BI319" s="19">
        <v>0</v>
      </c>
      <c r="BJ319" s="19">
        <v>0</v>
      </c>
      <c r="BK319" s="19">
        <v>0</v>
      </c>
      <c r="BL319" s="19">
        <v>0</v>
      </c>
      <c r="BM319" s="19">
        <v>0</v>
      </c>
      <c r="BN319" s="19">
        <v>0</v>
      </c>
      <c r="BO319" s="19">
        <v>0</v>
      </c>
      <c r="BP319" s="19">
        <v>0</v>
      </c>
      <c r="BQ319" s="19">
        <v>0</v>
      </c>
      <c r="BR319" s="19">
        <v>0</v>
      </c>
      <c r="BS319" s="19">
        <v>0</v>
      </c>
      <c r="BT319" s="19">
        <v>0</v>
      </c>
      <c r="BU319" s="19">
        <v>0</v>
      </c>
      <c r="BV319" s="19">
        <v>0</v>
      </c>
      <c r="BW319" s="19">
        <v>0</v>
      </c>
      <c r="BX319" s="19">
        <v>0</v>
      </c>
      <c r="BY319" s="19">
        <v>0</v>
      </c>
      <c r="BZ319" s="19">
        <v>0</v>
      </c>
      <c r="CA319" s="19">
        <v>0</v>
      </c>
      <c r="CB319" s="19">
        <v>0</v>
      </c>
      <c r="CC319" s="19">
        <v>0</v>
      </c>
      <c r="CD319" s="19">
        <v>0</v>
      </c>
      <c r="CE319" s="19">
        <v>0</v>
      </c>
      <c r="CF319" s="19">
        <v>0</v>
      </c>
      <c r="CG319" s="19">
        <v>0</v>
      </c>
      <c r="CH319" s="19">
        <v>0</v>
      </c>
      <c r="CI319" s="19">
        <v>0</v>
      </c>
      <c r="CJ319" s="19">
        <v>0</v>
      </c>
      <c r="CK319" s="19">
        <v>0</v>
      </c>
      <c r="CL319" s="19">
        <v>0</v>
      </c>
      <c r="CM319" s="19">
        <v>0</v>
      </c>
      <c r="CN319" s="19">
        <v>0</v>
      </c>
      <c r="CO319" s="19">
        <v>0</v>
      </c>
      <c r="CP319" s="19">
        <v>0</v>
      </c>
      <c r="CQ319" s="19">
        <v>0</v>
      </c>
      <c r="CR319" s="19">
        <v>0</v>
      </c>
      <c r="CS319" s="19">
        <v>0</v>
      </c>
      <c r="CT319" s="19">
        <v>0</v>
      </c>
      <c r="CU319" s="19">
        <v>0</v>
      </c>
      <c r="CV319" s="19">
        <v>0</v>
      </c>
      <c r="CW319" s="19">
        <v>0</v>
      </c>
      <c r="CX319" s="19">
        <v>0</v>
      </c>
      <c r="CY319" s="19">
        <v>0</v>
      </c>
      <c r="CZ319" s="19">
        <v>0</v>
      </c>
      <c r="DA319" s="19">
        <v>0</v>
      </c>
      <c r="DB319" s="19">
        <v>0</v>
      </c>
      <c r="DC319" s="19">
        <v>0</v>
      </c>
      <c r="DD319" s="19">
        <v>0</v>
      </c>
      <c r="DE319" s="19">
        <v>0</v>
      </c>
      <c r="DF319" s="19">
        <v>0</v>
      </c>
      <c r="DG319" s="19">
        <v>0</v>
      </c>
    </row>
    <row r="320" spans="2:111" x14ac:dyDescent="0.15">
      <c r="B320" s="19" t="str">
        <f t="shared" si="4"/>
        <v>5_女_17</v>
      </c>
      <c r="C320" s="18">
        <v>5</v>
      </c>
      <c r="D320" s="18" t="s">
        <v>2</v>
      </c>
      <c r="E320" s="18">
        <v>17</v>
      </c>
      <c r="F320" s="19">
        <v>3212.9</v>
      </c>
      <c r="G320" s="19">
        <v>7198.1</v>
      </c>
      <c r="H320" s="19">
        <v>11788.7</v>
      </c>
      <c r="I320" s="19">
        <v>17034.8</v>
      </c>
      <c r="J320" s="19">
        <v>21739.5</v>
      </c>
      <c r="K320" s="19">
        <v>21823.5</v>
      </c>
      <c r="L320" s="19">
        <v>21911.5</v>
      </c>
      <c r="M320" s="19">
        <v>22003.9</v>
      </c>
      <c r="N320" s="19">
        <v>22100.799999999999</v>
      </c>
      <c r="O320" s="19">
        <v>22202.400000000001</v>
      </c>
      <c r="P320" s="19">
        <v>22308.9</v>
      </c>
      <c r="Q320" s="19">
        <v>22420.7</v>
      </c>
      <c r="R320" s="19">
        <v>22537.9</v>
      </c>
      <c r="S320" s="19">
        <v>22660.9</v>
      </c>
      <c r="T320" s="19">
        <v>22789.8</v>
      </c>
      <c r="U320" s="19">
        <v>22924.9</v>
      </c>
      <c r="V320" s="19">
        <v>23066.5</v>
      </c>
      <c r="W320" s="19">
        <v>23214.799999999999</v>
      </c>
      <c r="X320" s="19">
        <v>23370.3</v>
      </c>
      <c r="Y320" s="19">
        <v>23533.1</v>
      </c>
      <c r="Z320" s="19">
        <v>23703.5</v>
      </c>
      <c r="AA320" s="19">
        <v>23882</v>
      </c>
      <c r="AB320" s="19">
        <v>24068.9</v>
      </c>
      <c r="AC320" s="19">
        <v>24264.5</v>
      </c>
      <c r="AD320" s="19">
        <v>24469.200000000001</v>
      </c>
      <c r="AE320" s="19">
        <v>24683.5</v>
      </c>
      <c r="AF320" s="19">
        <v>24907.8</v>
      </c>
      <c r="AG320" s="19">
        <v>25142.6</v>
      </c>
      <c r="AH320" s="19">
        <v>25388.3</v>
      </c>
      <c r="AI320" s="19">
        <v>25645.5</v>
      </c>
      <c r="AJ320" s="19">
        <v>25914.7</v>
      </c>
      <c r="AK320" s="19">
        <v>26196.5</v>
      </c>
      <c r="AL320" s="19">
        <v>26491.5</v>
      </c>
      <c r="AM320" s="19">
        <v>26800.3</v>
      </c>
      <c r="AN320" s="19">
        <v>27123.599999999999</v>
      </c>
      <c r="AO320" s="19">
        <v>27462.1</v>
      </c>
      <c r="AP320" s="19">
        <v>27816.6</v>
      </c>
      <c r="AQ320" s="19">
        <v>28187.8</v>
      </c>
      <c r="AR320" s="19">
        <v>28576.6</v>
      </c>
      <c r="AS320" s="19">
        <v>28983.9</v>
      </c>
      <c r="AT320" s="19">
        <v>29410.7</v>
      </c>
      <c r="AU320" s="19">
        <v>29858.1</v>
      </c>
      <c r="AV320" s="19">
        <v>29327.1</v>
      </c>
      <c r="AW320" s="19">
        <v>0</v>
      </c>
      <c r="AX320" s="19">
        <v>0</v>
      </c>
      <c r="AY320" s="19">
        <v>0</v>
      </c>
      <c r="AZ320" s="19">
        <v>0</v>
      </c>
      <c r="BA320" s="19">
        <v>0</v>
      </c>
      <c r="BB320" s="19">
        <v>0</v>
      </c>
      <c r="BC320" s="19">
        <v>0</v>
      </c>
      <c r="BD320" s="19">
        <v>0</v>
      </c>
      <c r="BE320" s="19">
        <v>0</v>
      </c>
      <c r="BF320" s="19">
        <v>0</v>
      </c>
      <c r="BG320" s="19">
        <v>0</v>
      </c>
      <c r="BH320" s="19">
        <v>0</v>
      </c>
      <c r="BI320" s="19">
        <v>0</v>
      </c>
      <c r="BJ320" s="19">
        <v>0</v>
      </c>
      <c r="BK320" s="19">
        <v>0</v>
      </c>
      <c r="BL320" s="19">
        <v>0</v>
      </c>
      <c r="BM320" s="19">
        <v>0</v>
      </c>
      <c r="BN320" s="19">
        <v>0</v>
      </c>
      <c r="BO320" s="19">
        <v>0</v>
      </c>
      <c r="BP320" s="19">
        <v>0</v>
      </c>
      <c r="BQ320" s="19">
        <v>0</v>
      </c>
      <c r="BR320" s="19">
        <v>0</v>
      </c>
      <c r="BS320" s="19">
        <v>0</v>
      </c>
      <c r="BT320" s="19">
        <v>0</v>
      </c>
      <c r="BU320" s="19">
        <v>0</v>
      </c>
      <c r="BV320" s="19">
        <v>0</v>
      </c>
      <c r="BW320" s="19">
        <v>0</v>
      </c>
      <c r="BX320" s="19">
        <v>0</v>
      </c>
      <c r="BY320" s="19">
        <v>0</v>
      </c>
      <c r="BZ320" s="19">
        <v>0</v>
      </c>
      <c r="CA320" s="19">
        <v>0</v>
      </c>
      <c r="CB320" s="19">
        <v>0</v>
      </c>
      <c r="CC320" s="19">
        <v>0</v>
      </c>
      <c r="CD320" s="19">
        <v>0</v>
      </c>
      <c r="CE320" s="19">
        <v>0</v>
      </c>
      <c r="CF320" s="19">
        <v>0</v>
      </c>
      <c r="CG320" s="19">
        <v>0</v>
      </c>
      <c r="CH320" s="19">
        <v>0</v>
      </c>
      <c r="CI320" s="19">
        <v>0</v>
      </c>
      <c r="CJ320" s="19">
        <v>0</v>
      </c>
      <c r="CK320" s="19">
        <v>0</v>
      </c>
      <c r="CL320" s="19">
        <v>0</v>
      </c>
      <c r="CM320" s="19">
        <v>0</v>
      </c>
      <c r="CN320" s="19">
        <v>0</v>
      </c>
      <c r="CO320" s="19">
        <v>0</v>
      </c>
      <c r="CP320" s="19">
        <v>0</v>
      </c>
      <c r="CQ320" s="19">
        <v>0</v>
      </c>
      <c r="CR320" s="19">
        <v>0</v>
      </c>
      <c r="CS320" s="19">
        <v>0</v>
      </c>
      <c r="CT320" s="19">
        <v>0</v>
      </c>
      <c r="CU320" s="19">
        <v>0</v>
      </c>
      <c r="CV320" s="19">
        <v>0</v>
      </c>
      <c r="CW320" s="19">
        <v>0</v>
      </c>
      <c r="CX320" s="19">
        <v>0</v>
      </c>
      <c r="CY320" s="19">
        <v>0</v>
      </c>
      <c r="CZ320" s="19">
        <v>0</v>
      </c>
      <c r="DA320" s="19">
        <v>0</v>
      </c>
      <c r="DB320" s="19">
        <v>0</v>
      </c>
      <c r="DC320" s="19">
        <v>0</v>
      </c>
      <c r="DD320" s="19">
        <v>0</v>
      </c>
      <c r="DE320" s="19">
        <v>0</v>
      </c>
      <c r="DF320" s="19">
        <v>0</v>
      </c>
      <c r="DG320" s="19">
        <v>0</v>
      </c>
    </row>
    <row r="321" spans="2:111" x14ac:dyDescent="0.15">
      <c r="B321" s="19" t="str">
        <f t="shared" si="4"/>
        <v>5_女_18</v>
      </c>
      <c r="C321" s="18">
        <v>5</v>
      </c>
      <c r="D321" s="18" t="s">
        <v>2</v>
      </c>
      <c r="E321" s="18">
        <v>18</v>
      </c>
      <c r="F321" s="19">
        <v>3224.8</v>
      </c>
      <c r="G321" s="19">
        <v>7224.8</v>
      </c>
      <c r="H321" s="19">
        <v>11832.6</v>
      </c>
      <c r="I321" s="19">
        <v>17098.099999999999</v>
      </c>
      <c r="J321" s="19">
        <v>21823.9</v>
      </c>
      <c r="K321" s="19">
        <v>21912</v>
      </c>
      <c r="L321" s="19">
        <v>22004.400000000001</v>
      </c>
      <c r="M321" s="19">
        <v>22101.3</v>
      </c>
      <c r="N321" s="19">
        <v>22202.9</v>
      </c>
      <c r="O321" s="19">
        <v>22309.5</v>
      </c>
      <c r="P321" s="19">
        <v>22421.3</v>
      </c>
      <c r="Q321" s="19">
        <v>22538.5</v>
      </c>
      <c r="R321" s="19">
        <v>22661.5</v>
      </c>
      <c r="S321" s="19">
        <v>22790.400000000001</v>
      </c>
      <c r="T321" s="19">
        <v>22925.5</v>
      </c>
      <c r="U321" s="19">
        <v>23067.1</v>
      </c>
      <c r="V321" s="19">
        <v>23215.5</v>
      </c>
      <c r="W321" s="19">
        <v>23371</v>
      </c>
      <c r="X321" s="19">
        <v>23533.8</v>
      </c>
      <c r="Y321" s="19">
        <v>23704.3</v>
      </c>
      <c r="Z321" s="19">
        <v>23882.799999999999</v>
      </c>
      <c r="AA321" s="19">
        <v>24069.599999999999</v>
      </c>
      <c r="AB321" s="19">
        <v>24265.3</v>
      </c>
      <c r="AC321" s="19">
        <v>24470</v>
      </c>
      <c r="AD321" s="19">
        <v>24684.3</v>
      </c>
      <c r="AE321" s="19">
        <v>24908.6</v>
      </c>
      <c r="AF321" s="19">
        <v>25143.4</v>
      </c>
      <c r="AG321" s="19">
        <v>25389.1</v>
      </c>
      <c r="AH321" s="19">
        <v>25646.2</v>
      </c>
      <c r="AI321" s="19">
        <v>25915.4</v>
      </c>
      <c r="AJ321" s="19">
        <v>26197.200000000001</v>
      </c>
      <c r="AK321" s="19">
        <v>26492.2</v>
      </c>
      <c r="AL321" s="19">
        <v>26801</v>
      </c>
      <c r="AM321" s="19">
        <v>27124.3</v>
      </c>
      <c r="AN321" s="19">
        <v>27462.7</v>
      </c>
      <c r="AO321" s="19">
        <v>27817.1</v>
      </c>
      <c r="AP321" s="19">
        <v>28188.3</v>
      </c>
      <c r="AQ321" s="19">
        <v>28577</v>
      </c>
      <c r="AR321" s="19">
        <v>28984.3</v>
      </c>
      <c r="AS321" s="19">
        <v>29411</v>
      </c>
      <c r="AT321" s="19">
        <v>29858.2</v>
      </c>
      <c r="AU321" s="19">
        <v>29327.1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>
        <v>0</v>
      </c>
      <c r="BC321" s="19">
        <v>0</v>
      </c>
      <c r="BD321" s="19">
        <v>0</v>
      </c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>
        <v>0</v>
      </c>
      <c r="BM321" s="19">
        <v>0</v>
      </c>
      <c r="BN321" s="19">
        <v>0</v>
      </c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>
        <v>0</v>
      </c>
      <c r="BV321" s="19">
        <v>0</v>
      </c>
      <c r="BW321" s="19">
        <v>0</v>
      </c>
      <c r="BX321" s="19">
        <v>0</v>
      </c>
      <c r="BY321" s="19">
        <v>0</v>
      </c>
      <c r="BZ321" s="19">
        <v>0</v>
      </c>
      <c r="CA321" s="19">
        <v>0</v>
      </c>
      <c r="CB321" s="19">
        <v>0</v>
      </c>
      <c r="CC321" s="19">
        <v>0</v>
      </c>
      <c r="CD321" s="19">
        <v>0</v>
      </c>
      <c r="CE321" s="19">
        <v>0</v>
      </c>
      <c r="CF321" s="19">
        <v>0</v>
      </c>
      <c r="CG321" s="19">
        <v>0</v>
      </c>
      <c r="CH321" s="19">
        <v>0</v>
      </c>
      <c r="CI321" s="19">
        <v>0</v>
      </c>
      <c r="CJ321" s="19">
        <v>0</v>
      </c>
      <c r="CK321" s="19">
        <v>0</v>
      </c>
      <c r="CL321" s="19">
        <v>0</v>
      </c>
      <c r="CM321" s="19">
        <v>0</v>
      </c>
      <c r="CN321" s="19">
        <v>0</v>
      </c>
      <c r="CO321" s="19">
        <v>0</v>
      </c>
      <c r="CP321" s="19">
        <v>0</v>
      </c>
      <c r="CQ321" s="19">
        <v>0</v>
      </c>
      <c r="CR321" s="19">
        <v>0</v>
      </c>
      <c r="CS321" s="19">
        <v>0</v>
      </c>
      <c r="CT321" s="19">
        <v>0</v>
      </c>
      <c r="CU321" s="19">
        <v>0</v>
      </c>
      <c r="CV321" s="19">
        <v>0</v>
      </c>
      <c r="CW321" s="19">
        <v>0</v>
      </c>
      <c r="CX321" s="19">
        <v>0</v>
      </c>
      <c r="CY321" s="19">
        <v>0</v>
      </c>
      <c r="CZ321" s="19">
        <v>0</v>
      </c>
      <c r="DA321" s="19">
        <v>0</v>
      </c>
      <c r="DB321" s="19">
        <v>0</v>
      </c>
      <c r="DC321" s="19">
        <v>0</v>
      </c>
      <c r="DD321" s="19">
        <v>0</v>
      </c>
      <c r="DE321" s="19">
        <v>0</v>
      </c>
      <c r="DF321" s="19">
        <v>0</v>
      </c>
      <c r="DG321" s="19">
        <v>0</v>
      </c>
    </row>
    <row r="322" spans="2:111" x14ac:dyDescent="0.15">
      <c r="B322" s="19" t="str">
        <f t="shared" si="4"/>
        <v>5_女_19</v>
      </c>
      <c r="C322" s="18">
        <v>5</v>
      </c>
      <c r="D322" s="18" t="s">
        <v>2</v>
      </c>
      <c r="E322" s="18">
        <v>19</v>
      </c>
      <c r="F322" s="19">
        <v>3237.4</v>
      </c>
      <c r="G322" s="19">
        <v>7252.9</v>
      </c>
      <c r="H322" s="19">
        <v>11878.5</v>
      </c>
      <c r="I322" s="19">
        <v>17164.5</v>
      </c>
      <c r="J322" s="19">
        <v>21912.5</v>
      </c>
      <c r="K322" s="19">
        <v>22004.9</v>
      </c>
      <c r="L322" s="19">
        <v>22101.8</v>
      </c>
      <c r="M322" s="19">
        <v>22203.5</v>
      </c>
      <c r="N322" s="19">
        <v>22310.1</v>
      </c>
      <c r="O322" s="19">
        <v>22421.9</v>
      </c>
      <c r="P322" s="19">
        <v>22539.1</v>
      </c>
      <c r="Q322" s="19">
        <v>22662.1</v>
      </c>
      <c r="R322" s="19">
        <v>22791</v>
      </c>
      <c r="S322" s="19">
        <v>22926.2</v>
      </c>
      <c r="T322" s="19">
        <v>23067.8</v>
      </c>
      <c r="U322" s="19">
        <v>23216.2</v>
      </c>
      <c r="V322" s="19">
        <v>23371.7</v>
      </c>
      <c r="W322" s="19">
        <v>23534.5</v>
      </c>
      <c r="X322" s="19">
        <v>23705</v>
      </c>
      <c r="Y322" s="19">
        <v>23883.5</v>
      </c>
      <c r="Z322" s="19">
        <v>24070.400000000001</v>
      </c>
      <c r="AA322" s="19">
        <v>24266</v>
      </c>
      <c r="AB322" s="19">
        <v>24470.799999999999</v>
      </c>
      <c r="AC322" s="19">
        <v>24685.1</v>
      </c>
      <c r="AD322" s="19">
        <v>24909.4</v>
      </c>
      <c r="AE322" s="19">
        <v>25144.2</v>
      </c>
      <c r="AF322" s="19">
        <v>25389.9</v>
      </c>
      <c r="AG322" s="19">
        <v>25647</v>
      </c>
      <c r="AH322" s="19">
        <v>25916.2</v>
      </c>
      <c r="AI322" s="19">
        <v>26198</v>
      </c>
      <c r="AJ322" s="19">
        <v>26492.9</v>
      </c>
      <c r="AK322" s="19">
        <v>26801.7</v>
      </c>
      <c r="AL322" s="19">
        <v>27124.9</v>
      </c>
      <c r="AM322" s="19">
        <v>27463.4</v>
      </c>
      <c r="AN322" s="19">
        <v>27817.7</v>
      </c>
      <c r="AO322" s="19">
        <v>28188.799999999999</v>
      </c>
      <c r="AP322" s="19">
        <v>28577.5</v>
      </c>
      <c r="AQ322" s="19">
        <v>28984.6</v>
      </c>
      <c r="AR322" s="19">
        <v>29411.200000000001</v>
      </c>
      <c r="AS322" s="19">
        <v>29858.3</v>
      </c>
      <c r="AT322" s="19">
        <v>29327.1</v>
      </c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>
        <v>0</v>
      </c>
      <c r="BC322" s="19">
        <v>0</v>
      </c>
      <c r="BD322" s="19">
        <v>0</v>
      </c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>
        <v>0</v>
      </c>
      <c r="BM322" s="19">
        <v>0</v>
      </c>
      <c r="BN322" s="19">
        <v>0</v>
      </c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>
        <v>0</v>
      </c>
      <c r="BV322" s="19">
        <v>0</v>
      </c>
      <c r="BW322" s="19">
        <v>0</v>
      </c>
      <c r="BX322" s="19">
        <v>0</v>
      </c>
      <c r="BY322" s="19">
        <v>0</v>
      </c>
      <c r="BZ322" s="19">
        <v>0</v>
      </c>
      <c r="CA322" s="19">
        <v>0</v>
      </c>
      <c r="CB322" s="19">
        <v>0</v>
      </c>
      <c r="CC322" s="19">
        <v>0</v>
      </c>
      <c r="CD322" s="19">
        <v>0</v>
      </c>
      <c r="CE322" s="19">
        <v>0</v>
      </c>
      <c r="CF322" s="19">
        <v>0</v>
      </c>
      <c r="CG322" s="19">
        <v>0</v>
      </c>
      <c r="CH322" s="19">
        <v>0</v>
      </c>
      <c r="CI322" s="19">
        <v>0</v>
      </c>
      <c r="CJ322" s="19">
        <v>0</v>
      </c>
      <c r="CK322" s="19">
        <v>0</v>
      </c>
      <c r="CL322" s="19">
        <v>0</v>
      </c>
      <c r="CM322" s="19">
        <v>0</v>
      </c>
      <c r="CN322" s="19">
        <v>0</v>
      </c>
      <c r="CO322" s="19">
        <v>0</v>
      </c>
      <c r="CP322" s="19">
        <v>0</v>
      </c>
      <c r="CQ322" s="19">
        <v>0</v>
      </c>
      <c r="CR322" s="19">
        <v>0</v>
      </c>
      <c r="CS322" s="19">
        <v>0</v>
      </c>
      <c r="CT322" s="19">
        <v>0</v>
      </c>
      <c r="CU322" s="19">
        <v>0</v>
      </c>
      <c r="CV322" s="19">
        <v>0</v>
      </c>
      <c r="CW322" s="19">
        <v>0</v>
      </c>
      <c r="CX322" s="19">
        <v>0</v>
      </c>
      <c r="CY322" s="19">
        <v>0</v>
      </c>
      <c r="CZ322" s="19">
        <v>0</v>
      </c>
      <c r="DA322" s="19">
        <v>0</v>
      </c>
      <c r="DB322" s="19">
        <v>0</v>
      </c>
      <c r="DC322" s="19">
        <v>0</v>
      </c>
      <c r="DD322" s="19">
        <v>0</v>
      </c>
      <c r="DE322" s="19">
        <v>0</v>
      </c>
      <c r="DF322" s="19">
        <v>0</v>
      </c>
      <c r="DG322" s="19">
        <v>0</v>
      </c>
    </row>
    <row r="323" spans="2:111" x14ac:dyDescent="0.15">
      <c r="B323" s="19" t="str">
        <f t="shared" ref="B323:B386" si="5">C323&amp;"_"&amp;D323&amp;"_"&amp;E323</f>
        <v>5_女_20</v>
      </c>
      <c r="C323" s="18">
        <v>5</v>
      </c>
      <c r="D323" s="18" t="s">
        <v>2</v>
      </c>
      <c r="E323" s="18">
        <v>20</v>
      </c>
      <c r="F323" s="19">
        <v>3250.5</v>
      </c>
      <c r="G323" s="19">
        <v>7282.4</v>
      </c>
      <c r="H323" s="19">
        <v>11926.7</v>
      </c>
      <c r="I323" s="19">
        <v>17234.099999999999</v>
      </c>
      <c r="J323" s="19">
        <v>22005.5</v>
      </c>
      <c r="K323" s="19">
        <v>22102.400000000001</v>
      </c>
      <c r="L323" s="19">
        <v>22204</v>
      </c>
      <c r="M323" s="19">
        <v>22310.6</v>
      </c>
      <c r="N323" s="19">
        <v>22422.5</v>
      </c>
      <c r="O323" s="19">
        <v>22539.8</v>
      </c>
      <c r="P323" s="19">
        <v>22662.7</v>
      </c>
      <c r="Q323" s="19">
        <v>22791.7</v>
      </c>
      <c r="R323" s="19">
        <v>22926.799999999999</v>
      </c>
      <c r="S323" s="19">
        <v>23068.5</v>
      </c>
      <c r="T323" s="19">
        <v>23216.9</v>
      </c>
      <c r="U323" s="19">
        <v>23372.400000000001</v>
      </c>
      <c r="V323" s="19">
        <v>23535.200000000001</v>
      </c>
      <c r="W323" s="19">
        <v>23705.8</v>
      </c>
      <c r="X323" s="19">
        <v>23884.3</v>
      </c>
      <c r="Y323" s="19">
        <v>24071.200000000001</v>
      </c>
      <c r="Z323" s="19">
        <v>24266.799999999999</v>
      </c>
      <c r="AA323" s="19">
        <v>24471.599999999999</v>
      </c>
      <c r="AB323" s="19">
        <v>24685.9</v>
      </c>
      <c r="AC323" s="19">
        <v>24910.2</v>
      </c>
      <c r="AD323" s="19">
        <v>25145</v>
      </c>
      <c r="AE323" s="19">
        <v>25390.7</v>
      </c>
      <c r="AF323" s="19">
        <v>25647.9</v>
      </c>
      <c r="AG323" s="19">
        <v>25917</v>
      </c>
      <c r="AH323" s="19">
        <v>26198.799999999999</v>
      </c>
      <c r="AI323" s="19">
        <v>26493.7</v>
      </c>
      <c r="AJ323" s="19">
        <v>26802.400000000001</v>
      </c>
      <c r="AK323" s="19">
        <v>27125.599999999999</v>
      </c>
      <c r="AL323" s="19">
        <v>27464</v>
      </c>
      <c r="AM323" s="19">
        <v>27818.3</v>
      </c>
      <c r="AN323" s="19">
        <v>28189.3</v>
      </c>
      <c r="AO323" s="19">
        <v>28577.9</v>
      </c>
      <c r="AP323" s="19">
        <v>28985</v>
      </c>
      <c r="AQ323" s="19">
        <v>29411.5</v>
      </c>
      <c r="AR323" s="19">
        <v>29858.5</v>
      </c>
      <c r="AS323" s="19">
        <v>29327.1</v>
      </c>
      <c r="AT323" s="19">
        <v>0</v>
      </c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>
        <v>0</v>
      </c>
      <c r="BC323" s="19">
        <v>0</v>
      </c>
      <c r="BD323" s="19">
        <v>0</v>
      </c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>
        <v>0</v>
      </c>
      <c r="BM323" s="19">
        <v>0</v>
      </c>
      <c r="BN323" s="19">
        <v>0</v>
      </c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>
        <v>0</v>
      </c>
      <c r="BV323" s="19">
        <v>0</v>
      </c>
      <c r="BW323" s="19">
        <v>0</v>
      </c>
      <c r="BX323" s="19">
        <v>0</v>
      </c>
      <c r="BY323" s="19">
        <v>0</v>
      </c>
      <c r="BZ323" s="19">
        <v>0</v>
      </c>
      <c r="CA323" s="19">
        <v>0</v>
      </c>
      <c r="CB323" s="19">
        <v>0</v>
      </c>
      <c r="CC323" s="19">
        <v>0</v>
      </c>
      <c r="CD323" s="19">
        <v>0</v>
      </c>
      <c r="CE323" s="19">
        <v>0</v>
      </c>
      <c r="CF323" s="19">
        <v>0</v>
      </c>
      <c r="CG323" s="19">
        <v>0</v>
      </c>
      <c r="CH323" s="19">
        <v>0</v>
      </c>
      <c r="CI323" s="19">
        <v>0</v>
      </c>
      <c r="CJ323" s="19">
        <v>0</v>
      </c>
      <c r="CK323" s="19">
        <v>0</v>
      </c>
      <c r="CL323" s="19">
        <v>0</v>
      </c>
      <c r="CM323" s="19">
        <v>0</v>
      </c>
      <c r="CN323" s="19">
        <v>0</v>
      </c>
      <c r="CO323" s="19">
        <v>0</v>
      </c>
      <c r="CP323" s="19">
        <v>0</v>
      </c>
      <c r="CQ323" s="19">
        <v>0</v>
      </c>
      <c r="CR323" s="19">
        <v>0</v>
      </c>
      <c r="CS323" s="19">
        <v>0</v>
      </c>
      <c r="CT323" s="19">
        <v>0</v>
      </c>
      <c r="CU323" s="19">
        <v>0</v>
      </c>
      <c r="CV323" s="19">
        <v>0</v>
      </c>
      <c r="CW323" s="19">
        <v>0</v>
      </c>
      <c r="CX323" s="19">
        <v>0</v>
      </c>
      <c r="CY323" s="19">
        <v>0</v>
      </c>
      <c r="CZ323" s="19">
        <v>0</v>
      </c>
      <c r="DA323" s="19">
        <v>0</v>
      </c>
      <c r="DB323" s="19">
        <v>0</v>
      </c>
      <c r="DC323" s="19">
        <v>0</v>
      </c>
      <c r="DD323" s="19">
        <v>0</v>
      </c>
      <c r="DE323" s="19">
        <v>0</v>
      </c>
      <c r="DF323" s="19">
        <v>0</v>
      </c>
      <c r="DG323" s="19">
        <v>0</v>
      </c>
    </row>
    <row r="324" spans="2:111" x14ac:dyDescent="0.15">
      <c r="B324" s="19" t="str">
        <f t="shared" si="5"/>
        <v>5_女_21</v>
      </c>
      <c r="C324" s="18">
        <v>5</v>
      </c>
      <c r="D324" s="18" t="s">
        <v>2</v>
      </c>
      <c r="E324" s="18">
        <v>21</v>
      </c>
      <c r="F324" s="19">
        <v>3264.3</v>
      </c>
      <c r="G324" s="19">
        <v>7313.3</v>
      </c>
      <c r="H324" s="19">
        <v>11977.3</v>
      </c>
      <c r="I324" s="19">
        <v>17307.2</v>
      </c>
      <c r="J324" s="19">
        <v>22102.9</v>
      </c>
      <c r="K324" s="19">
        <v>22204.6</v>
      </c>
      <c r="L324" s="19">
        <v>22311.200000000001</v>
      </c>
      <c r="M324" s="19">
        <v>22423.1</v>
      </c>
      <c r="N324" s="19">
        <v>22540.400000000001</v>
      </c>
      <c r="O324" s="19">
        <v>22663.4</v>
      </c>
      <c r="P324" s="19">
        <v>22792.3</v>
      </c>
      <c r="Q324" s="19">
        <v>22927.5</v>
      </c>
      <c r="R324" s="19">
        <v>23069.200000000001</v>
      </c>
      <c r="S324" s="19">
        <v>23217.599999999999</v>
      </c>
      <c r="T324" s="19">
        <v>23373.1</v>
      </c>
      <c r="U324" s="19">
        <v>23536</v>
      </c>
      <c r="V324" s="19">
        <v>23706.6</v>
      </c>
      <c r="W324" s="19">
        <v>23885.1</v>
      </c>
      <c r="X324" s="19">
        <v>24072</v>
      </c>
      <c r="Y324" s="19">
        <v>24267.7</v>
      </c>
      <c r="Z324" s="19">
        <v>24472.5</v>
      </c>
      <c r="AA324" s="19">
        <v>24686.799999999999</v>
      </c>
      <c r="AB324" s="19">
        <v>24911.1</v>
      </c>
      <c r="AC324" s="19">
        <v>25145.9</v>
      </c>
      <c r="AD324" s="19">
        <v>25391.5</v>
      </c>
      <c r="AE324" s="19">
        <v>25648.7</v>
      </c>
      <c r="AF324" s="19">
        <v>25917.9</v>
      </c>
      <c r="AG324" s="19">
        <v>26199.599999999999</v>
      </c>
      <c r="AH324" s="19">
        <v>26494.5</v>
      </c>
      <c r="AI324" s="19">
        <v>26803.200000000001</v>
      </c>
      <c r="AJ324" s="19">
        <v>27126.400000000001</v>
      </c>
      <c r="AK324" s="19">
        <v>27464.7</v>
      </c>
      <c r="AL324" s="19">
        <v>27818.9</v>
      </c>
      <c r="AM324" s="19">
        <v>28189.9</v>
      </c>
      <c r="AN324" s="19">
        <v>28578.400000000001</v>
      </c>
      <c r="AO324" s="19">
        <v>28985.4</v>
      </c>
      <c r="AP324" s="19">
        <v>29411.8</v>
      </c>
      <c r="AQ324" s="19">
        <v>29858.6</v>
      </c>
      <c r="AR324" s="19">
        <v>29327.1</v>
      </c>
      <c r="AS324" s="19">
        <v>0</v>
      </c>
      <c r="AT324" s="19">
        <v>0</v>
      </c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>
        <v>0</v>
      </c>
      <c r="BC324" s="19">
        <v>0</v>
      </c>
      <c r="BD324" s="19">
        <v>0</v>
      </c>
      <c r="BE324" s="19">
        <v>0</v>
      </c>
      <c r="BF324" s="19">
        <v>0</v>
      </c>
      <c r="BG324" s="19">
        <v>0</v>
      </c>
      <c r="BH324" s="19">
        <v>0</v>
      </c>
      <c r="BI324" s="19">
        <v>0</v>
      </c>
      <c r="BJ324" s="19">
        <v>0</v>
      </c>
      <c r="BK324" s="19">
        <v>0</v>
      </c>
      <c r="BL324" s="19">
        <v>0</v>
      </c>
      <c r="BM324" s="19">
        <v>0</v>
      </c>
      <c r="BN324" s="19">
        <v>0</v>
      </c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>
        <v>0</v>
      </c>
      <c r="BV324" s="19">
        <v>0</v>
      </c>
      <c r="BW324" s="19">
        <v>0</v>
      </c>
      <c r="BX324" s="19">
        <v>0</v>
      </c>
      <c r="BY324" s="19">
        <v>0</v>
      </c>
      <c r="BZ324" s="19">
        <v>0</v>
      </c>
      <c r="CA324" s="19">
        <v>0</v>
      </c>
      <c r="CB324" s="19">
        <v>0</v>
      </c>
      <c r="CC324" s="19">
        <v>0</v>
      </c>
      <c r="CD324" s="19">
        <v>0</v>
      </c>
      <c r="CE324" s="19">
        <v>0</v>
      </c>
      <c r="CF324" s="19">
        <v>0</v>
      </c>
      <c r="CG324" s="19">
        <v>0</v>
      </c>
      <c r="CH324" s="19">
        <v>0</v>
      </c>
      <c r="CI324" s="19">
        <v>0</v>
      </c>
      <c r="CJ324" s="19">
        <v>0</v>
      </c>
      <c r="CK324" s="19">
        <v>0</v>
      </c>
      <c r="CL324" s="19">
        <v>0</v>
      </c>
      <c r="CM324" s="19">
        <v>0</v>
      </c>
      <c r="CN324" s="19">
        <v>0</v>
      </c>
      <c r="CO324" s="19">
        <v>0</v>
      </c>
      <c r="CP324" s="19">
        <v>0</v>
      </c>
      <c r="CQ324" s="19">
        <v>0</v>
      </c>
      <c r="CR324" s="19">
        <v>0</v>
      </c>
      <c r="CS324" s="19">
        <v>0</v>
      </c>
      <c r="CT324" s="19">
        <v>0</v>
      </c>
      <c r="CU324" s="19">
        <v>0</v>
      </c>
      <c r="CV324" s="19">
        <v>0</v>
      </c>
      <c r="CW324" s="19">
        <v>0</v>
      </c>
      <c r="CX324" s="19">
        <v>0</v>
      </c>
      <c r="CY324" s="19">
        <v>0</v>
      </c>
      <c r="CZ324" s="19">
        <v>0</v>
      </c>
      <c r="DA324" s="19">
        <v>0</v>
      </c>
      <c r="DB324" s="19">
        <v>0</v>
      </c>
      <c r="DC324" s="19">
        <v>0</v>
      </c>
      <c r="DD324" s="19">
        <v>0</v>
      </c>
      <c r="DE324" s="19">
        <v>0</v>
      </c>
      <c r="DF324" s="19">
        <v>0</v>
      </c>
      <c r="DG324" s="19">
        <v>0</v>
      </c>
    </row>
    <row r="325" spans="2:111" x14ac:dyDescent="0.15">
      <c r="B325" s="19" t="str">
        <f t="shared" si="5"/>
        <v>5_女_22</v>
      </c>
      <c r="C325" s="18">
        <v>5</v>
      </c>
      <c r="D325" s="18" t="s">
        <v>2</v>
      </c>
      <c r="E325" s="18">
        <v>22</v>
      </c>
      <c r="F325" s="19">
        <v>3278.8</v>
      </c>
      <c r="G325" s="19">
        <v>7345.7</v>
      </c>
      <c r="H325" s="19">
        <v>12030.4</v>
      </c>
      <c r="I325" s="19">
        <v>17383.8</v>
      </c>
      <c r="J325" s="19">
        <v>22205.200000000001</v>
      </c>
      <c r="K325" s="19">
        <v>22311.9</v>
      </c>
      <c r="L325" s="19">
        <v>22423.7</v>
      </c>
      <c r="M325" s="19">
        <v>22541</v>
      </c>
      <c r="N325" s="19">
        <v>22664.1</v>
      </c>
      <c r="O325" s="19">
        <v>22793</v>
      </c>
      <c r="P325" s="19">
        <v>22928.2</v>
      </c>
      <c r="Q325" s="19">
        <v>23069.9</v>
      </c>
      <c r="R325" s="19">
        <v>23218.400000000001</v>
      </c>
      <c r="S325" s="19">
        <v>23373.9</v>
      </c>
      <c r="T325" s="19">
        <v>23536.799999999999</v>
      </c>
      <c r="U325" s="19">
        <v>23707.4</v>
      </c>
      <c r="V325" s="19">
        <v>23885.9</v>
      </c>
      <c r="W325" s="19">
        <v>24072.9</v>
      </c>
      <c r="X325" s="19">
        <v>24268.5</v>
      </c>
      <c r="Y325" s="19">
        <v>24473.3</v>
      </c>
      <c r="Z325" s="19">
        <v>24687.7</v>
      </c>
      <c r="AA325" s="19">
        <v>24912</v>
      </c>
      <c r="AB325" s="19">
        <v>25146.7</v>
      </c>
      <c r="AC325" s="19">
        <v>25392.400000000001</v>
      </c>
      <c r="AD325" s="19">
        <v>25649.599999999999</v>
      </c>
      <c r="AE325" s="19">
        <v>25918.7</v>
      </c>
      <c r="AF325" s="19">
        <v>26200.400000000001</v>
      </c>
      <c r="AG325" s="19">
        <v>26495.3</v>
      </c>
      <c r="AH325" s="19">
        <v>26804</v>
      </c>
      <c r="AI325" s="19">
        <v>27127.1</v>
      </c>
      <c r="AJ325" s="19">
        <v>27465.4</v>
      </c>
      <c r="AK325" s="19">
        <v>27819.599999999999</v>
      </c>
      <c r="AL325" s="19">
        <v>28190.5</v>
      </c>
      <c r="AM325" s="19">
        <v>28578.9</v>
      </c>
      <c r="AN325" s="19">
        <v>28985.8</v>
      </c>
      <c r="AO325" s="19">
        <v>29412</v>
      </c>
      <c r="AP325" s="19">
        <v>29858.799999999999</v>
      </c>
      <c r="AQ325" s="19">
        <v>29327.1</v>
      </c>
      <c r="AR325" s="19">
        <v>0</v>
      </c>
      <c r="AS325" s="19">
        <v>0</v>
      </c>
      <c r="AT325" s="19">
        <v>0</v>
      </c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>
        <v>0</v>
      </c>
      <c r="BC325" s="19">
        <v>0</v>
      </c>
      <c r="BD325" s="19">
        <v>0</v>
      </c>
      <c r="BE325" s="19">
        <v>0</v>
      </c>
      <c r="BF325" s="19">
        <v>0</v>
      </c>
      <c r="BG325" s="19">
        <v>0</v>
      </c>
      <c r="BH325" s="19">
        <v>0</v>
      </c>
      <c r="BI325" s="19">
        <v>0</v>
      </c>
      <c r="BJ325" s="19">
        <v>0</v>
      </c>
      <c r="BK325" s="19">
        <v>0</v>
      </c>
      <c r="BL325" s="19">
        <v>0</v>
      </c>
      <c r="BM325" s="19">
        <v>0</v>
      </c>
      <c r="BN325" s="19">
        <v>0</v>
      </c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>
        <v>0</v>
      </c>
      <c r="BV325" s="19">
        <v>0</v>
      </c>
      <c r="BW325" s="19">
        <v>0</v>
      </c>
      <c r="BX325" s="19">
        <v>0</v>
      </c>
      <c r="BY325" s="19">
        <v>0</v>
      </c>
      <c r="BZ325" s="19">
        <v>0</v>
      </c>
      <c r="CA325" s="19">
        <v>0</v>
      </c>
      <c r="CB325" s="19">
        <v>0</v>
      </c>
      <c r="CC325" s="19">
        <v>0</v>
      </c>
      <c r="CD325" s="19">
        <v>0</v>
      </c>
      <c r="CE325" s="19">
        <v>0</v>
      </c>
      <c r="CF325" s="19">
        <v>0</v>
      </c>
      <c r="CG325" s="19">
        <v>0</v>
      </c>
      <c r="CH325" s="19">
        <v>0</v>
      </c>
      <c r="CI325" s="19">
        <v>0</v>
      </c>
      <c r="CJ325" s="19">
        <v>0</v>
      </c>
      <c r="CK325" s="19">
        <v>0</v>
      </c>
      <c r="CL325" s="19">
        <v>0</v>
      </c>
      <c r="CM325" s="19">
        <v>0</v>
      </c>
      <c r="CN325" s="19">
        <v>0</v>
      </c>
      <c r="CO325" s="19">
        <v>0</v>
      </c>
      <c r="CP325" s="19">
        <v>0</v>
      </c>
      <c r="CQ325" s="19">
        <v>0</v>
      </c>
      <c r="CR325" s="19">
        <v>0</v>
      </c>
      <c r="CS325" s="19">
        <v>0</v>
      </c>
      <c r="CT325" s="19">
        <v>0</v>
      </c>
      <c r="CU325" s="19">
        <v>0</v>
      </c>
      <c r="CV325" s="19">
        <v>0</v>
      </c>
      <c r="CW325" s="19">
        <v>0</v>
      </c>
      <c r="CX325" s="19">
        <v>0</v>
      </c>
      <c r="CY325" s="19">
        <v>0</v>
      </c>
      <c r="CZ325" s="19">
        <v>0</v>
      </c>
      <c r="DA325" s="19">
        <v>0</v>
      </c>
      <c r="DB325" s="19">
        <v>0</v>
      </c>
      <c r="DC325" s="19">
        <v>0</v>
      </c>
      <c r="DD325" s="19">
        <v>0</v>
      </c>
      <c r="DE325" s="19">
        <v>0</v>
      </c>
      <c r="DF325" s="19">
        <v>0</v>
      </c>
      <c r="DG325" s="19">
        <v>0</v>
      </c>
    </row>
    <row r="326" spans="2:111" x14ac:dyDescent="0.15">
      <c r="B326" s="19" t="str">
        <f t="shared" si="5"/>
        <v>5_女_23</v>
      </c>
      <c r="C326" s="18">
        <v>5</v>
      </c>
      <c r="D326" s="18" t="s">
        <v>2</v>
      </c>
      <c r="E326" s="18">
        <v>23</v>
      </c>
      <c r="F326" s="19">
        <v>3294</v>
      </c>
      <c r="G326" s="19">
        <v>7379.7</v>
      </c>
      <c r="H326" s="19">
        <v>12086.1</v>
      </c>
      <c r="I326" s="19">
        <v>17464.2</v>
      </c>
      <c r="J326" s="19">
        <v>22312.5</v>
      </c>
      <c r="K326" s="19">
        <v>22424.400000000001</v>
      </c>
      <c r="L326" s="19">
        <v>22541.7</v>
      </c>
      <c r="M326" s="19">
        <v>22664.799999999999</v>
      </c>
      <c r="N326" s="19">
        <v>22793.8</v>
      </c>
      <c r="O326" s="19">
        <v>22929</v>
      </c>
      <c r="P326" s="19">
        <v>23070.7</v>
      </c>
      <c r="Q326" s="19">
        <v>23219.200000000001</v>
      </c>
      <c r="R326" s="19">
        <v>23374.7</v>
      </c>
      <c r="S326" s="19">
        <v>23537.599999999999</v>
      </c>
      <c r="T326" s="19">
        <v>23708.2</v>
      </c>
      <c r="U326" s="19">
        <v>23886.799999999999</v>
      </c>
      <c r="V326" s="19">
        <v>24073.7</v>
      </c>
      <c r="W326" s="19">
        <v>24269.4</v>
      </c>
      <c r="X326" s="19">
        <v>24474.2</v>
      </c>
      <c r="Y326" s="19">
        <v>24688.5</v>
      </c>
      <c r="Z326" s="19">
        <v>24912.9</v>
      </c>
      <c r="AA326" s="19">
        <v>25147.599999999999</v>
      </c>
      <c r="AB326" s="19">
        <v>25393.3</v>
      </c>
      <c r="AC326" s="19">
        <v>25650.5</v>
      </c>
      <c r="AD326" s="19">
        <v>25919.599999999999</v>
      </c>
      <c r="AE326" s="19">
        <v>26201.3</v>
      </c>
      <c r="AF326" s="19">
        <v>26496.2</v>
      </c>
      <c r="AG326" s="19">
        <v>26804.799999999999</v>
      </c>
      <c r="AH326" s="19">
        <v>27127.9</v>
      </c>
      <c r="AI326" s="19">
        <v>27466.1</v>
      </c>
      <c r="AJ326" s="19">
        <v>27820.2</v>
      </c>
      <c r="AK326" s="19">
        <v>28191.1</v>
      </c>
      <c r="AL326" s="19">
        <v>28579.4</v>
      </c>
      <c r="AM326" s="19">
        <v>28986.2</v>
      </c>
      <c r="AN326" s="19">
        <v>29412.3</v>
      </c>
      <c r="AO326" s="19">
        <v>29858.9</v>
      </c>
      <c r="AP326" s="19">
        <v>29327.1</v>
      </c>
      <c r="AQ326" s="19">
        <v>0</v>
      </c>
      <c r="AR326" s="19">
        <v>0</v>
      </c>
      <c r="AS326" s="19">
        <v>0</v>
      </c>
      <c r="AT326" s="19">
        <v>0</v>
      </c>
      <c r="AU326" s="19">
        <v>0</v>
      </c>
      <c r="AV326" s="19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>
        <v>0</v>
      </c>
      <c r="BC326" s="19">
        <v>0</v>
      </c>
      <c r="BD326" s="19">
        <v>0</v>
      </c>
      <c r="BE326" s="19">
        <v>0</v>
      </c>
      <c r="BF326" s="19">
        <v>0</v>
      </c>
      <c r="BG326" s="19">
        <v>0</v>
      </c>
      <c r="BH326" s="19">
        <v>0</v>
      </c>
      <c r="BI326" s="19">
        <v>0</v>
      </c>
      <c r="BJ326" s="19">
        <v>0</v>
      </c>
      <c r="BK326" s="19">
        <v>0</v>
      </c>
      <c r="BL326" s="19">
        <v>0</v>
      </c>
      <c r="BM326" s="19">
        <v>0</v>
      </c>
      <c r="BN326" s="19">
        <v>0</v>
      </c>
      <c r="BO326" s="19">
        <v>0</v>
      </c>
      <c r="BP326" s="19">
        <v>0</v>
      </c>
      <c r="BQ326" s="19">
        <v>0</v>
      </c>
      <c r="BR326" s="19">
        <v>0</v>
      </c>
      <c r="BS326" s="19">
        <v>0</v>
      </c>
      <c r="BT326" s="19">
        <v>0</v>
      </c>
      <c r="BU326" s="19">
        <v>0</v>
      </c>
      <c r="BV326" s="19">
        <v>0</v>
      </c>
      <c r="BW326" s="19">
        <v>0</v>
      </c>
      <c r="BX326" s="19">
        <v>0</v>
      </c>
      <c r="BY326" s="19">
        <v>0</v>
      </c>
      <c r="BZ326" s="19">
        <v>0</v>
      </c>
      <c r="CA326" s="19">
        <v>0</v>
      </c>
      <c r="CB326" s="19">
        <v>0</v>
      </c>
      <c r="CC326" s="19">
        <v>0</v>
      </c>
      <c r="CD326" s="19">
        <v>0</v>
      </c>
      <c r="CE326" s="19">
        <v>0</v>
      </c>
      <c r="CF326" s="19">
        <v>0</v>
      </c>
      <c r="CG326" s="19">
        <v>0</v>
      </c>
      <c r="CH326" s="19">
        <v>0</v>
      </c>
      <c r="CI326" s="19">
        <v>0</v>
      </c>
      <c r="CJ326" s="19">
        <v>0</v>
      </c>
      <c r="CK326" s="19">
        <v>0</v>
      </c>
      <c r="CL326" s="19">
        <v>0</v>
      </c>
      <c r="CM326" s="19">
        <v>0</v>
      </c>
      <c r="CN326" s="19">
        <v>0</v>
      </c>
      <c r="CO326" s="19">
        <v>0</v>
      </c>
      <c r="CP326" s="19">
        <v>0</v>
      </c>
      <c r="CQ326" s="19">
        <v>0</v>
      </c>
      <c r="CR326" s="19">
        <v>0</v>
      </c>
      <c r="CS326" s="19">
        <v>0</v>
      </c>
      <c r="CT326" s="19">
        <v>0</v>
      </c>
      <c r="CU326" s="19">
        <v>0</v>
      </c>
      <c r="CV326" s="19">
        <v>0</v>
      </c>
      <c r="CW326" s="19">
        <v>0</v>
      </c>
      <c r="CX326" s="19">
        <v>0</v>
      </c>
      <c r="CY326" s="19">
        <v>0</v>
      </c>
      <c r="CZ326" s="19">
        <v>0</v>
      </c>
      <c r="DA326" s="19">
        <v>0</v>
      </c>
      <c r="DB326" s="19">
        <v>0</v>
      </c>
      <c r="DC326" s="19">
        <v>0</v>
      </c>
      <c r="DD326" s="19">
        <v>0</v>
      </c>
      <c r="DE326" s="19">
        <v>0</v>
      </c>
      <c r="DF326" s="19">
        <v>0</v>
      </c>
      <c r="DG326" s="19">
        <v>0</v>
      </c>
    </row>
    <row r="327" spans="2:111" x14ac:dyDescent="0.15">
      <c r="B327" s="19" t="str">
        <f t="shared" si="5"/>
        <v>5_女_24</v>
      </c>
      <c r="C327" s="18">
        <v>5</v>
      </c>
      <c r="D327" s="18" t="s">
        <v>2</v>
      </c>
      <c r="E327" s="18">
        <v>24</v>
      </c>
      <c r="F327" s="19">
        <v>3309.9</v>
      </c>
      <c r="G327" s="19">
        <v>7415.4</v>
      </c>
      <c r="H327" s="19">
        <v>12144.5</v>
      </c>
      <c r="I327" s="19">
        <v>17548.599999999999</v>
      </c>
      <c r="J327" s="19">
        <v>22425.1</v>
      </c>
      <c r="K327" s="19">
        <v>22542.400000000001</v>
      </c>
      <c r="L327" s="19">
        <v>22665.5</v>
      </c>
      <c r="M327" s="19">
        <v>22794.5</v>
      </c>
      <c r="N327" s="19">
        <v>22929.7</v>
      </c>
      <c r="O327" s="19">
        <v>23071.5</v>
      </c>
      <c r="P327" s="19">
        <v>23220</v>
      </c>
      <c r="Q327" s="19">
        <v>23375.5</v>
      </c>
      <c r="R327" s="19">
        <v>23538.5</v>
      </c>
      <c r="S327" s="19">
        <v>23709.1</v>
      </c>
      <c r="T327" s="19">
        <v>23887.7</v>
      </c>
      <c r="U327" s="19">
        <v>24074.6</v>
      </c>
      <c r="V327" s="19">
        <v>24270.3</v>
      </c>
      <c r="W327" s="19">
        <v>24475.1</v>
      </c>
      <c r="X327" s="19">
        <v>24689.5</v>
      </c>
      <c r="Y327" s="19">
        <v>24913.8</v>
      </c>
      <c r="Z327" s="19">
        <v>25148.6</v>
      </c>
      <c r="AA327" s="19">
        <v>25394.2</v>
      </c>
      <c r="AB327" s="19">
        <v>25651.4</v>
      </c>
      <c r="AC327" s="19">
        <v>25920.5</v>
      </c>
      <c r="AD327" s="19">
        <v>26202.2</v>
      </c>
      <c r="AE327" s="19">
        <v>26497</v>
      </c>
      <c r="AF327" s="19">
        <v>26805.599999999999</v>
      </c>
      <c r="AG327" s="19">
        <v>27128.7</v>
      </c>
      <c r="AH327" s="19">
        <v>27466.9</v>
      </c>
      <c r="AI327" s="19">
        <v>27820.9</v>
      </c>
      <c r="AJ327" s="19">
        <v>28191.7</v>
      </c>
      <c r="AK327" s="19">
        <v>28579.9</v>
      </c>
      <c r="AL327" s="19">
        <v>28986.6</v>
      </c>
      <c r="AM327" s="19">
        <v>29412.6</v>
      </c>
      <c r="AN327" s="19">
        <v>29859.1</v>
      </c>
      <c r="AO327" s="19">
        <v>29327.1</v>
      </c>
      <c r="AP327" s="19">
        <v>0</v>
      </c>
      <c r="AQ327" s="19">
        <v>0</v>
      </c>
      <c r="AR327" s="19">
        <v>0</v>
      </c>
      <c r="AS327" s="19">
        <v>0</v>
      </c>
      <c r="AT327" s="19">
        <v>0</v>
      </c>
      <c r="AU327" s="19">
        <v>0</v>
      </c>
      <c r="AV327" s="19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>
        <v>0</v>
      </c>
      <c r="BC327" s="19">
        <v>0</v>
      </c>
      <c r="BD327" s="19">
        <v>0</v>
      </c>
      <c r="BE327" s="19">
        <v>0</v>
      </c>
      <c r="BF327" s="19">
        <v>0</v>
      </c>
      <c r="BG327" s="19">
        <v>0</v>
      </c>
      <c r="BH327" s="19">
        <v>0</v>
      </c>
      <c r="BI327" s="19">
        <v>0</v>
      </c>
      <c r="BJ327" s="19">
        <v>0</v>
      </c>
      <c r="BK327" s="19">
        <v>0</v>
      </c>
      <c r="BL327" s="19">
        <v>0</v>
      </c>
      <c r="BM327" s="19">
        <v>0</v>
      </c>
      <c r="BN327" s="19">
        <v>0</v>
      </c>
      <c r="BO327" s="19">
        <v>0</v>
      </c>
      <c r="BP327" s="19">
        <v>0</v>
      </c>
      <c r="BQ327" s="19">
        <v>0</v>
      </c>
      <c r="BR327" s="19">
        <v>0</v>
      </c>
      <c r="BS327" s="19">
        <v>0</v>
      </c>
      <c r="BT327" s="19">
        <v>0</v>
      </c>
      <c r="BU327" s="19">
        <v>0</v>
      </c>
      <c r="BV327" s="19">
        <v>0</v>
      </c>
      <c r="BW327" s="19">
        <v>0</v>
      </c>
      <c r="BX327" s="19">
        <v>0</v>
      </c>
      <c r="BY327" s="19">
        <v>0</v>
      </c>
      <c r="BZ327" s="19">
        <v>0</v>
      </c>
      <c r="CA327" s="19">
        <v>0</v>
      </c>
      <c r="CB327" s="19">
        <v>0</v>
      </c>
      <c r="CC327" s="19">
        <v>0</v>
      </c>
      <c r="CD327" s="19">
        <v>0</v>
      </c>
      <c r="CE327" s="19">
        <v>0</v>
      </c>
      <c r="CF327" s="19">
        <v>0</v>
      </c>
      <c r="CG327" s="19">
        <v>0</v>
      </c>
      <c r="CH327" s="19">
        <v>0</v>
      </c>
      <c r="CI327" s="19">
        <v>0</v>
      </c>
      <c r="CJ327" s="19">
        <v>0</v>
      </c>
      <c r="CK327" s="19">
        <v>0</v>
      </c>
      <c r="CL327" s="19">
        <v>0</v>
      </c>
      <c r="CM327" s="19">
        <v>0</v>
      </c>
      <c r="CN327" s="19">
        <v>0</v>
      </c>
      <c r="CO327" s="19">
        <v>0</v>
      </c>
      <c r="CP327" s="19">
        <v>0</v>
      </c>
      <c r="CQ327" s="19">
        <v>0</v>
      </c>
      <c r="CR327" s="19">
        <v>0</v>
      </c>
      <c r="CS327" s="19">
        <v>0</v>
      </c>
      <c r="CT327" s="19">
        <v>0</v>
      </c>
      <c r="CU327" s="19">
        <v>0</v>
      </c>
      <c r="CV327" s="19">
        <v>0</v>
      </c>
      <c r="CW327" s="19">
        <v>0</v>
      </c>
      <c r="CX327" s="19">
        <v>0</v>
      </c>
      <c r="CY327" s="19">
        <v>0</v>
      </c>
      <c r="CZ327" s="19">
        <v>0</v>
      </c>
      <c r="DA327" s="19">
        <v>0</v>
      </c>
      <c r="DB327" s="19">
        <v>0</v>
      </c>
      <c r="DC327" s="19">
        <v>0</v>
      </c>
      <c r="DD327" s="19">
        <v>0</v>
      </c>
      <c r="DE327" s="19">
        <v>0</v>
      </c>
      <c r="DF327" s="19">
        <v>0</v>
      </c>
      <c r="DG327" s="19">
        <v>0</v>
      </c>
    </row>
    <row r="328" spans="2:111" x14ac:dyDescent="0.15">
      <c r="B328" s="19" t="str">
        <f t="shared" si="5"/>
        <v>5_女_25</v>
      </c>
      <c r="C328" s="18">
        <v>5</v>
      </c>
      <c r="D328" s="18" t="s">
        <v>2</v>
      </c>
      <c r="E328" s="18">
        <v>25</v>
      </c>
      <c r="F328" s="19">
        <v>3326.6</v>
      </c>
      <c r="G328" s="19">
        <v>7452.8</v>
      </c>
      <c r="H328" s="19">
        <v>12205.7</v>
      </c>
      <c r="I328" s="19">
        <v>17637.099999999999</v>
      </c>
      <c r="J328" s="19">
        <v>22543.1</v>
      </c>
      <c r="K328" s="19">
        <v>22666.2</v>
      </c>
      <c r="L328" s="19">
        <v>22795.3</v>
      </c>
      <c r="M328" s="19">
        <v>22930.5</v>
      </c>
      <c r="N328" s="19">
        <v>23072.3</v>
      </c>
      <c r="O328" s="19">
        <v>23220.799999999999</v>
      </c>
      <c r="P328" s="19">
        <v>23376.400000000001</v>
      </c>
      <c r="Q328" s="19">
        <v>23539.3</v>
      </c>
      <c r="R328" s="19">
        <v>23709.9</v>
      </c>
      <c r="S328" s="19">
        <v>23888.6</v>
      </c>
      <c r="T328" s="19">
        <v>24075.5</v>
      </c>
      <c r="U328" s="19">
        <v>24271.3</v>
      </c>
      <c r="V328" s="19">
        <v>24476.1</v>
      </c>
      <c r="W328" s="19">
        <v>24690.400000000001</v>
      </c>
      <c r="X328" s="19">
        <v>24914.799999999999</v>
      </c>
      <c r="Y328" s="19">
        <v>25149.5</v>
      </c>
      <c r="Z328" s="19">
        <v>25395.200000000001</v>
      </c>
      <c r="AA328" s="19">
        <v>25652.3</v>
      </c>
      <c r="AB328" s="19">
        <v>25921.4</v>
      </c>
      <c r="AC328" s="19">
        <v>26203.1</v>
      </c>
      <c r="AD328" s="19">
        <v>26497.9</v>
      </c>
      <c r="AE328" s="19">
        <v>26806.5</v>
      </c>
      <c r="AF328" s="19">
        <v>27129.5</v>
      </c>
      <c r="AG328" s="19">
        <v>27467.599999999999</v>
      </c>
      <c r="AH328" s="19">
        <v>27821.599999999999</v>
      </c>
      <c r="AI328" s="19">
        <v>28192.3</v>
      </c>
      <c r="AJ328" s="19">
        <v>28580.400000000001</v>
      </c>
      <c r="AK328" s="19">
        <v>28987</v>
      </c>
      <c r="AL328" s="19">
        <v>29412.9</v>
      </c>
      <c r="AM328" s="19">
        <v>29859.3</v>
      </c>
      <c r="AN328" s="19">
        <v>29327.1</v>
      </c>
      <c r="AO328" s="19">
        <v>0</v>
      </c>
      <c r="AP328" s="19">
        <v>0</v>
      </c>
      <c r="AQ328" s="19">
        <v>0</v>
      </c>
      <c r="AR328" s="19">
        <v>0</v>
      </c>
      <c r="AS328" s="19">
        <v>0</v>
      </c>
      <c r="AT328" s="19">
        <v>0</v>
      </c>
      <c r="AU328" s="19">
        <v>0</v>
      </c>
      <c r="AV328" s="19">
        <v>0</v>
      </c>
      <c r="AW328" s="19">
        <v>0</v>
      </c>
      <c r="AX328" s="19">
        <v>0</v>
      </c>
      <c r="AY328" s="19">
        <v>0</v>
      </c>
      <c r="AZ328" s="19">
        <v>0</v>
      </c>
      <c r="BA328" s="19">
        <v>0</v>
      </c>
      <c r="BB328" s="19">
        <v>0</v>
      </c>
      <c r="BC328" s="19">
        <v>0</v>
      </c>
      <c r="BD328" s="19">
        <v>0</v>
      </c>
      <c r="BE328" s="19">
        <v>0</v>
      </c>
      <c r="BF328" s="19">
        <v>0</v>
      </c>
      <c r="BG328" s="19">
        <v>0</v>
      </c>
      <c r="BH328" s="19">
        <v>0</v>
      </c>
      <c r="BI328" s="19">
        <v>0</v>
      </c>
      <c r="BJ328" s="19">
        <v>0</v>
      </c>
      <c r="BK328" s="19">
        <v>0</v>
      </c>
      <c r="BL328" s="19">
        <v>0</v>
      </c>
      <c r="BM328" s="19">
        <v>0</v>
      </c>
      <c r="BN328" s="19">
        <v>0</v>
      </c>
      <c r="BO328" s="19">
        <v>0</v>
      </c>
      <c r="BP328" s="19">
        <v>0</v>
      </c>
      <c r="BQ328" s="19">
        <v>0</v>
      </c>
      <c r="BR328" s="19">
        <v>0</v>
      </c>
      <c r="BS328" s="19">
        <v>0</v>
      </c>
      <c r="BT328" s="19">
        <v>0</v>
      </c>
      <c r="BU328" s="19">
        <v>0</v>
      </c>
      <c r="BV328" s="19">
        <v>0</v>
      </c>
      <c r="BW328" s="19">
        <v>0</v>
      </c>
      <c r="BX328" s="19">
        <v>0</v>
      </c>
      <c r="BY328" s="19">
        <v>0</v>
      </c>
      <c r="BZ328" s="19">
        <v>0</v>
      </c>
      <c r="CA328" s="19">
        <v>0</v>
      </c>
      <c r="CB328" s="19">
        <v>0</v>
      </c>
      <c r="CC328" s="19">
        <v>0</v>
      </c>
      <c r="CD328" s="19">
        <v>0</v>
      </c>
      <c r="CE328" s="19">
        <v>0</v>
      </c>
      <c r="CF328" s="19">
        <v>0</v>
      </c>
      <c r="CG328" s="19">
        <v>0</v>
      </c>
      <c r="CH328" s="19">
        <v>0</v>
      </c>
      <c r="CI328" s="19">
        <v>0</v>
      </c>
      <c r="CJ328" s="19">
        <v>0</v>
      </c>
      <c r="CK328" s="19">
        <v>0</v>
      </c>
      <c r="CL328" s="19">
        <v>0</v>
      </c>
      <c r="CM328" s="19">
        <v>0</v>
      </c>
      <c r="CN328" s="19">
        <v>0</v>
      </c>
      <c r="CO328" s="19">
        <v>0</v>
      </c>
      <c r="CP328" s="19">
        <v>0</v>
      </c>
      <c r="CQ328" s="19">
        <v>0</v>
      </c>
      <c r="CR328" s="19">
        <v>0</v>
      </c>
      <c r="CS328" s="19">
        <v>0</v>
      </c>
      <c r="CT328" s="19">
        <v>0</v>
      </c>
      <c r="CU328" s="19">
        <v>0</v>
      </c>
      <c r="CV328" s="19">
        <v>0</v>
      </c>
      <c r="CW328" s="19">
        <v>0</v>
      </c>
      <c r="CX328" s="19">
        <v>0</v>
      </c>
      <c r="CY328" s="19">
        <v>0</v>
      </c>
      <c r="CZ328" s="19">
        <v>0</v>
      </c>
      <c r="DA328" s="19">
        <v>0</v>
      </c>
      <c r="DB328" s="19">
        <v>0</v>
      </c>
      <c r="DC328" s="19">
        <v>0</v>
      </c>
      <c r="DD328" s="19">
        <v>0</v>
      </c>
      <c r="DE328" s="19">
        <v>0</v>
      </c>
      <c r="DF328" s="19">
        <v>0</v>
      </c>
      <c r="DG328" s="19">
        <v>0</v>
      </c>
    </row>
    <row r="329" spans="2:111" x14ac:dyDescent="0.15">
      <c r="B329" s="19" t="str">
        <f t="shared" si="5"/>
        <v>5_女_26</v>
      </c>
      <c r="C329" s="18">
        <v>5</v>
      </c>
      <c r="D329" s="18" t="s">
        <v>2</v>
      </c>
      <c r="E329" s="18">
        <v>26</v>
      </c>
      <c r="F329" s="19">
        <v>3344.2</v>
      </c>
      <c r="G329" s="19">
        <v>7492.1</v>
      </c>
      <c r="H329" s="19">
        <v>12270</v>
      </c>
      <c r="I329" s="19">
        <v>17729.900000000001</v>
      </c>
      <c r="J329" s="19">
        <v>22667</v>
      </c>
      <c r="K329" s="19">
        <v>22796.1</v>
      </c>
      <c r="L329" s="19">
        <v>22931.3</v>
      </c>
      <c r="M329" s="19">
        <v>23073.1</v>
      </c>
      <c r="N329" s="19">
        <v>23221.7</v>
      </c>
      <c r="O329" s="19">
        <v>23377.3</v>
      </c>
      <c r="P329" s="19">
        <v>23540.2</v>
      </c>
      <c r="Q329" s="19">
        <v>23710.9</v>
      </c>
      <c r="R329" s="19">
        <v>23889.5</v>
      </c>
      <c r="S329" s="19">
        <v>24076.5</v>
      </c>
      <c r="T329" s="19">
        <v>24272.2</v>
      </c>
      <c r="U329" s="19">
        <v>24477.1</v>
      </c>
      <c r="V329" s="19">
        <v>24691.4</v>
      </c>
      <c r="W329" s="19">
        <v>24915.8</v>
      </c>
      <c r="X329" s="19">
        <v>25150.5</v>
      </c>
      <c r="Y329" s="19">
        <v>25396.2</v>
      </c>
      <c r="Z329" s="19">
        <v>25653.3</v>
      </c>
      <c r="AA329" s="19">
        <v>25922.400000000001</v>
      </c>
      <c r="AB329" s="19">
        <v>26204</v>
      </c>
      <c r="AC329" s="19">
        <v>26498.799999999999</v>
      </c>
      <c r="AD329" s="19">
        <v>26807.4</v>
      </c>
      <c r="AE329" s="19">
        <v>27130.3</v>
      </c>
      <c r="AF329" s="19">
        <v>27468.400000000001</v>
      </c>
      <c r="AG329" s="19">
        <v>27822.3</v>
      </c>
      <c r="AH329" s="19">
        <v>28192.9</v>
      </c>
      <c r="AI329" s="19">
        <v>28581</v>
      </c>
      <c r="AJ329" s="19">
        <v>28987.4</v>
      </c>
      <c r="AK329" s="19">
        <v>29413.200000000001</v>
      </c>
      <c r="AL329" s="19">
        <v>29859.4</v>
      </c>
      <c r="AM329" s="19">
        <v>29327.1</v>
      </c>
      <c r="AN329" s="19">
        <v>0</v>
      </c>
      <c r="AO329" s="19">
        <v>0</v>
      </c>
      <c r="AP329" s="19">
        <v>0</v>
      </c>
      <c r="AQ329" s="19">
        <v>0</v>
      </c>
      <c r="AR329" s="19">
        <v>0</v>
      </c>
      <c r="AS329" s="19">
        <v>0</v>
      </c>
      <c r="AT329" s="19">
        <v>0</v>
      </c>
      <c r="AU329" s="19">
        <v>0</v>
      </c>
      <c r="AV329" s="19">
        <v>0</v>
      </c>
      <c r="AW329" s="19">
        <v>0</v>
      </c>
      <c r="AX329" s="19">
        <v>0</v>
      </c>
      <c r="AY329" s="19">
        <v>0</v>
      </c>
      <c r="AZ329" s="19">
        <v>0</v>
      </c>
      <c r="BA329" s="19">
        <v>0</v>
      </c>
      <c r="BB329" s="19">
        <v>0</v>
      </c>
      <c r="BC329" s="19">
        <v>0</v>
      </c>
      <c r="BD329" s="19">
        <v>0</v>
      </c>
      <c r="BE329" s="19">
        <v>0</v>
      </c>
      <c r="BF329" s="19">
        <v>0</v>
      </c>
      <c r="BG329" s="19">
        <v>0</v>
      </c>
      <c r="BH329" s="19">
        <v>0</v>
      </c>
      <c r="BI329" s="19">
        <v>0</v>
      </c>
      <c r="BJ329" s="19">
        <v>0</v>
      </c>
      <c r="BK329" s="19">
        <v>0</v>
      </c>
      <c r="BL329" s="19">
        <v>0</v>
      </c>
      <c r="BM329" s="19">
        <v>0</v>
      </c>
      <c r="BN329" s="19">
        <v>0</v>
      </c>
      <c r="BO329" s="19">
        <v>0</v>
      </c>
      <c r="BP329" s="19">
        <v>0</v>
      </c>
      <c r="BQ329" s="19">
        <v>0</v>
      </c>
      <c r="BR329" s="19">
        <v>0</v>
      </c>
      <c r="BS329" s="19">
        <v>0</v>
      </c>
      <c r="BT329" s="19">
        <v>0</v>
      </c>
      <c r="BU329" s="19">
        <v>0</v>
      </c>
      <c r="BV329" s="19">
        <v>0</v>
      </c>
      <c r="BW329" s="19">
        <v>0</v>
      </c>
      <c r="BX329" s="19">
        <v>0</v>
      </c>
      <c r="BY329" s="19">
        <v>0</v>
      </c>
      <c r="BZ329" s="19">
        <v>0</v>
      </c>
      <c r="CA329" s="19">
        <v>0</v>
      </c>
      <c r="CB329" s="19">
        <v>0</v>
      </c>
      <c r="CC329" s="19">
        <v>0</v>
      </c>
      <c r="CD329" s="19">
        <v>0</v>
      </c>
      <c r="CE329" s="19">
        <v>0</v>
      </c>
      <c r="CF329" s="19">
        <v>0</v>
      </c>
      <c r="CG329" s="19">
        <v>0</v>
      </c>
      <c r="CH329" s="19">
        <v>0</v>
      </c>
      <c r="CI329" s="19">
        <v>0</v>
      </c>
      <c r="CJ329" s="19">
        <v>0</v>
      </c>
      <c r="CK329" s="19">
        <v>0</v>
      </c>
      <c r="CL329" s="19">
        <v>0</v>
      </c>
      <c r="CM329" s="19">
        <v>0</v>
      </c>
      <c r="CN329" s="19">
        <v>0</v>
      </c>
      <c r="CO329" s="19">
        <v>0</v>
      </c>
      <c r="CP329" s="19">
        <v>0</v>
      </c>
      <c r="CQ329" s="19">
        <v>0</v>
      </c>
      <c r="CR329" s="19">
        <v>0</v>
      </c>
      <c r="CS329" s="19">
        <v>0</v>
      </c>
      <c r="CT329" s="19">
        <v>0</v>
      </c>
      <c r="CU329" s="19">
        <v>0</v>
      </c>
      <c r="CV329" s="19">
        <v>0</v>
      </c>
      <c r="CW329" s="19">
        <v>0</v>
      </c>
      <c r="CX329" s="19">
        <v>0</v>
      </c>
      <c r="CY329" s="19">
        <v>0</v>
      </c>
      <c r="CZ329" s="19">
        <v>0</v>
      </c>
      <c r="DA329" s="19">
        <v>0</v>
      </c>
      <c r="DB329" s="19">
        <v>0</v>
      </c>
      <c r="DC329" s="19">
        <v>0</v>
      </c>
      <c r="DD329" s="19">
        <v>0</v>
      </c>
      <c r="DE329" s="19">
        <v>0</v>
      </c>
      <c r="DF329" s="19">
        <v>0</v>
      </c>
      <c r="DG329" s="19">
        <v>0</v>
      </c>
    </row>
    <row r="330" spans="2:111" x14ac:dyDescent="0.15">
      <c r="B330" s="19" t="str">
        <f t="shared" si="5"/>
        <v>5_女_27</v>
      </c>
      <c r="C330" s="18">
        <v>5</v>
      </c>
      <c r="D330" s="18" t="s">
        <v>2</v>
      </c>
      <c r="E330" s="18">
        <v>27</v>
      </c>
      <c r="F330" s="19">
        <v>3362.6</v>
      </c>
      <c r="G330" s="19">
        <v>7533.3</v>
      </c>
      <c r="H330" s="19">
        <v>12337.5</v>
      </c>
      <c r="I330" s="19">
        <v>17827.3</v>
      </c>
      <c r="J330" s="19">
        <v>22796.9</v>
      </c>
      <c r="K330" s="19">
        <v>22932.2</v>
      </c>
      <c r="L330" s="19">
        <v>23074</v>
      </c>
      <c r="M330" s="19">
        <v>23222.5</v>
      </c>
      <c r="N330" s="19">
        <v>23378.2</v>
      </c>
      <c r="O330" s="19">
        <v>23541.1</v>
      </c>
      <c r="P330" s="19">
        <v>23711.8</v>
      </c>
      <c r="Q330" s="19">
        <v>23890.5</v>
      </c>
      <c r="R330" s="19">
        <v>24077.5</v>
      </c>
      <c r="S330" s="19">
        <v>24273.200000000001</v>
      </c>
      <c r="T330" s="19">
        <v>24478.1</v>
      </c>
      <c r="U330" s="19">
        <v>24692.400000000001</v>
      </c>
      <c r="V330" s="19">
        <v>24916.799999999999</v>
      </c>
      <c r="W330" s="19">
        <v>25151.5</v>
      </c>
      <c r="X330" s="19">
        <v>25397.200000000001</v>
      </c>
      <c r="Y330" s="19">
        <v>25654.3</v>
      </c>
      <c r="Z330" s="19">
        <v>25923.4</v>
      </c>
      <c r="AA330" s="19">
        <v>26205</v>
      </c>
      <c r="AB330" s="19">
        <v>26499.8</v>
      </c>
      <c r="AC330" s="19">
        <v>26808.3</v>
      </c>
      <c r="AD330" s="19">
        <v>27131.200000000001</v>
      </c>
      <c r="AE330" s="19">
        <v>27469.200000000001</v>
      </c>
      <c r="AF330" s="19">
        <v>27823.1</v>
      </c>
      <c r="AG330" s="19">
        <v>28193.599999999999</v>
      </c>
      <c r="AH330" s="19">
        <v>28581.599999999999</v>
      </c>
      <c r="AI330" s="19">
        <v>28987.9</v>
      </c>
      <c r="AJ330" s="19">
        <v>29413.599999999999</v>
      </c>
      <c r="AK330" s="19">
        <v>29859.599999999999</v>
      </c>
      <c r="AL330" s="19">
        <v>29327.1</v>
      </c>
      <c r="AM330" s="19">
        <v>0</v>
      </c>
      <c r="AN330" s="19">
        <v>0</v>
      </c>
      <c r="AO330" s="19">
        <v>0</v>
      </c>
      <c r="AP330" s="19">
        <v>0</v>
      </c>
      <c r="AQ330" s="19">
        <v>0</v>
      </c>
      <c r="AR330" s="19">
        <v>0</v>
      </c>
      <c r="AS330" s="19">
        <v>0</v>
      </c>
      <c r="AT330" s="19">
        <v>0</v>
      </c>
      <c r="AU330" s="19">
        <v>0</v>
      </c>
      <c r="AV330" s="19">
        <v>0</v>
      </c>
      <c r="AW330" s="19">
        <v>0</v>
      </c>
      <c r="AX330" s="19">
        <v>0</v>
      </c>
      <c r="AY330" s="19">
        <v>0</v>
      </c>
      <c r="AZ330" s="19">
        <v>0</v>
      </c>
      <c r="BA330" s="19">
        <v>0</v>
      </c>
      <c r="BB330" s="19">
        <v>0</v>
      </c>
      <c r="BC330" s="19">
        <v>0</v>
      </c>
      <c r="BD330" s="19">
        <v>0</v>
      </c>
      <c r="BE330" s="19">
        <v>0</v>
      </c>
      <c r="BF330" s="19">
        <v>0</v>
      </c>
      <c r="BG330" s="19">
        <v>0</v>
      </c>
      <c r="BH330" s="19">
        <v>0</v>
      </c>
      <c r="BI330" s="19">
        <v>0</v>
      </c>
      <c r="BJ330" s="19">
        <v>0</v>
      </c>
      <c r="BK330" s="19">
        <v>0</v>
      </c>
      <c r="BL330" s="19">
        <v>0</v>
      </c>
      <c r="BM330" s="19">
        <v>0</v>
      </c>
      <c r="BN330" s="19">
        <v>0</v>
      </c>
      <c r="BO330" s="19">
        <v>0</v>
      </c>
      <c r="BP330" s="19">
        <v>0</v>
      </c>
      <c r="BQ330" s="19">
        <v>0</v>
      </c>
      <c r="BR330" s="19">
        <v>0</v>
      </c>
      <c r="BS330" s="19">
        <v>0</v>
      </c>
      <c r="BT330" s="19">
        <v>0</v>
      </c>
      <c r="BU330" s="19">
        <v>0</v>
      </c>
      <c r="BV330" s="19">
        <v>0</v>
      </c>
      <c r="BW330" s="19">
        <v>0</v>
      </c>
      <c r="BX330" s="19">
        <v>0</v>
      </c>
      <c r="BY330" s="19">
        <v>0</v>
      </c>
      <c r="BZ330" s="19">
        <v>0</v>
      </c>
      <c r="CA330" s="19">
        <v>0</v>
      </c>
      <c r="CB330" s="19">
        <v>0</v>
      </c>
      <c r="CC330" s="19">
        <v>0</v>
      </c>
      <c r="CD330" s="19">
        <v>0</v>
      </c>
      <c r="CE330" s="19">
        <v>0</v>
      </c>
      <c r="CF330" s="19">
        <v>0</v>
      </c>
      <c r="CG330" s="19">
        <v>0</v>
      </c>
      <c r="CH330" s="19">
        <v>0</v>
      </c>
      <c r="CI330" s="19">
        <v>0</v>
      </c>
      <c r="CJ330" s="19">
        <v>0</v>
      </c>
      <c r="CK330" s="19">
        <v>0</v>
      </c>
      <c r="CL330" s="19">
        <v>0</v>
      </c>
      <c r="CM330" s="19">
        <v>0</v>
      </c>
      <c r="CN330" s="19">
        <v>0</v>
      </c>
      <c r="CO330" s="19">
        <v>0</v>
      </c>
      <c r="CP330" s="19">
        <v>0</v>
      </c>
      <c r="CQ330" s="19">
        <v>0</v>
      </c>
      <c r="CR330" s="19">
        <v>0</v>
      </c>
      <c r="CS330" s="19">
        <v>0</v>
      </c>
      <c r="CT330" s="19">
        <v>0</v>
      </c>
      <c r="CU330" s="19">
        <v>0</v>
      </c>
      <c r="CV330" s="19">
        <v>0</v>
      </c>
      <c r="CW330" s="19">
        <v>0</v>
      </c>
      <c r="CX330" s="19">
        <v>0</v>
      </c>
      <c r="CY330" s="19">
        <v>0</v>
      </c>
      <c r="CZ330" s="19">
        <v>0</v>
      </c>
      <c r="DA330" s="19">
        <v>0</v>
      </c>
      <c r="DB330" s="19">
        <v>0</v>
      </c>
      <c r="DC330" s="19">
        <v>0</v>
      </c>
      <c r="DD330" s="19">
        <v>0</v>
      </c>
      <c r="DE330" s="19">
        <v>0</v>
      </c>
      <c r="DF330" s="19">
        <v>0</v>
      </c>
      <c r="DG330" s="19">
        <v>0</v>
      </c>
    </row>
    <row r="331" spans="2:111" x14ac:dyDescent="0.15">
      <c r="B331" s="19" t="str">
        <f t="shared" si="5"/>
        <v>5_女_28</v>
      </c>
      <c r="C331" s="18">
        <v>5</v>
      </c>
      <c r="D331" s="18" t="s">
        <v>2</v>
      </c>
      <c r="E331" s="18">
        <v>28</v>
      </c>
      <c r="F331" s="19">
        <v>3381.9</v>
      </c>
      <c r="G331" s="19">
        <v>7576.5</v>
      </c>
      <c r="H331" s="19">
        <v>12408.2</v>
      </c>
      <c r="I331" s="19">
        <v>17929.400000000001</v>
      </c>
      <c r="J331" s="19">
        <v>22933</v>
      </c>
      <c r="K331" s="19">
        <v>23074.799999999999</v>
      </c>
      <c r="L331" s="19">
        <v>23223.4</v>
      </c>
      <c r="M331" s="19">
        <v>23379.1</v>
      </c>
      <c r="N331" s="19">
        <v>23542.1</v>
      </c>
      <c r="O331" s="19">
        <v>23712.799999999999</v>
      </c>
      <c r="P331" s="19">
        <v>23891.5</v>
      </c>
      <c r="Q331" s="19">
        <v>24078.5</v>
      </c>
      <c r="R331" s="19">
        <v>24274.2</v>
      </c>
      <c r="S331" s="19">
        <v>24479.1</v>
      </c>
      <c r="T331" s="19">
        <v>24693.5</v>
      </c>
      <c r="U331" s="19">
        <v>24917.8</v>
      </c>
      <c r="V331" s="19">
        <v>25152.6</v>
      </c>
      <c r="W331" s="19">
        <v>25398.3</v>
      </c>
      <c r="X331" s="19">
        <v>25655.4</v>
      </c>
      <c r="Y331" s="19">
        <v>25924.400000000001</v>
      </c>
      <c r="Z331" s="19">
        <v>26206</v>
      </c>
      <c r="AA331" s="19">
        <v>26500.799999999999</v>
      </c>
      <c r="AB331" s="19">
        <v>26809.200000000001</v>
      </c>
      <c r="AC331" s="19">
        <v>27132.1</v>
      </c>
      <c r="AD331" s="19">
        <v>27470.1</v>
      </c>
      <c r="AE331" s="19">
        <v>27823.8</v>
      </c>
      <c r="AF331" s="19">
        <v>28194.3</v>
      </c>
      <c r="AG331" s="19">
        <v>28582.1</v>
      </c>
      <c r="AH331" s="19">
        <v>28988.400000000001</v>
      </c>
      <c r="AI331" s="19">
        <v>29413.9</v>
      </c>
      <c r="AJ331" s="19">
        <v>29859.8</v>
      </c>
      <c r="AK331" s="19">
        <v>29327.1</v>
      </c>
      <c r="AL331" s="19">
        <v>0</v>
      </c>
      <c r="AM331" s="19">
        <v>0</v>
      </c>
      <c r="AN331" s="19">
        <v>0</v>
      </c>
      <c r="AO331" s="19">
        <v>0</v>
      </c>
      <c r="AP331" s="19">
        <v>0</v>
      </c>
      <c r="AQ331" s="19">
        <v>0</v>
      </c>
      <c r="AR331" s="19">
        <v>0</v>
      </c>
      <c r="AS331" s="19">
        <v>0</v>
      </c>
      <c r="AT331" s="19">
        <v>0</v>
      </c>
      <c r="AU331" s="19">
        <v>0</v>
      </c>
      <c r="AV331" s="19">
        <v>0</v>
      </c>
      <c r="AW331" s="19">
        <v>0</v>
      </c>
      <c r="AX331" s="19">
        <v>0</v>
      </c>
      <c r="AY331" s="19">
        <v>0</v>
      </c>
      <c r="AZ331" s="19">
        <v>0</v>
      </c>
      <c r="BA331" s="19">
        <v>0</v>
      </c>
      <c r="BB331" s="19">
        <v>0</v>
      </c>
      <c r="BC331" s="19">
        <v>0</v>
      </c>
      <c r="BD331" s="19">
        <v>0</v>
      </c>
      <c r="BE331" s="19">
        <v>0</v>
      </c>
      <c r="BF331" s="19">
        <v>0</v>
      </c>
      <c r="BG331" s="19">
        <v>0</v>
      </c>
      <c r="BH331" s="19">
        <v>0</v>
      </c>
      <c r="BI331" s="19">
        <v>0</v>
      </c>
      <c r="BJ331" s="19">
        <v>0</v>
      </c>
      <c r="BK331" s="19">
        <v>0</v>
      </c>
      <c r="BL331" s="19">
        <v>0</v>
      </c>
      <c r="BM331" s="19">
        <v>0</v>
      </c>
      <c r="BN331" s="19">
        <v>0</v>
      </c>
      <c r="BO331" s="19">
        <v>0</v>
      </c>
      <c r="BP331" s="19">
        <v>0</v>
      </c>
      <c r="BQ331" s="19">
        <v>0</v>
      </c>
      <c r="BR331" s="19">
        <v>0</v>
      </c>
      <c r="BS331" s="19">
        <v>0</v>
      </c>
      <c r="BT331" s="19">
        <v>0</v>
      </c>
      <c r="BU331" s="19">
        <v>0</v>
      </c>
      <c r="BV331" s="19">
        <v>0</v>
      </c>
      <c r="BW331" s="19">
        <v>0</v>
      </c>
      <c r="BX331" s="19">
        <v>0</v>
      </c>
      <c r="BY331" s="19">
        <v>0</v>
      </c>
      <c r="BZ331" s="19">
        <v>0</v>
      </c>
      <c r="CA331" s="19">
        <v>0</v>
      </c>
      <c r="CB331" s="19">
        <v>0</v>
      </c>
      <c r="CC331" s="19">
        <v>0</v>
      </c>
      <c r="CD331" s="19">
        <v>0</v>
      </c>
      <c r="CE331" s="19">
        <v>0</v>
      </c>
      <c r="CF331" s="19">
        <v>0</v>
      </c>
      <c r="CG331" s="19">
        <v>0</v>
      </c>
      <c r="CH331" s="19">
        <v>0</v>
      </c>
      <c r="CI331" s="19">
        <v>0</v>
      </c>
      <c r="CJ331" s="19">
        <v>0</v>
      </c>
      <c r="CK331" s="19">
        <v>0</v>
      </c>
      <c r="CL331" s="19">
        <v>0</v>
      </c>
      <c r="CM331" s="19">
        <v>0</v>
      </c>
      <c r="CN331" s="19">
        <v>0</v>
      </c>
      <c r="CO331" s="19">
        <v>0</v>
      </c>
      <c r="CP331" s="19">
        <v>0</v>
      </c>
      <c r="CQ331" s="19">
        <v>0</v>
      </c>
      <c r="CR331" s="19">
        <v>0</v>
      </c>
      <c r="CS331" s="19">
        <v>0</v>
      </c>
      <c r="CT331" s="19">
        <v>0</v>
      </c>
      <c r="CU331" s="19">
        <v>0</v>
      </c>
      <c r="CV331" s="19">
        <v>0</v>
      </c>
      <c r="CW331" s="19">
        <v>0</v>
      </c>
      <c r="CX331" s="19">
        <v>0</v>
      </c>
      <c r="CY331" s="19">
        <v>0</v>
      </c>
      <c r="CZ331" s="19">
        <v>0</v>
      </c>
      <c r="DA331" s="19">
        <v>0</v>
      </c>
      <c r="DB331" s="19">
        <v>0</v>
      </c>
      <c r="DC331" s="19">
        <v>0</v>
      </c>
      <c r="DD331" s="19">
        <v>0</v>
      </c>
      <c r="DE331" s="19">
        <v>0</v>
      </c>
      <c r="DF331" s="19">
        <v>0</v>
      </c>
      <c r="DG331" s="19">
        <v>0</v>
      </c>
    </row>
    <row r="332" spans="2:111" x14ac:dyDescent="0.15">
      <c r="B332" s="19" t="str">
        <f t="shared" si="5"/>
        <v>5_女_29</v>
      </c>
      <c r="C332" s="18">
        <v>5</v>
      </c>
      <c r="D332" s="18" t="s">
        <v>2</v>
      </c>
      <c r="E332" s="18">
        <v>29</v>
      </c>
      <c r="F332" s="19">
        <v>3402.1</v>
      </c>
      <c r="G332" s="19">
        <v>7621.8</v>
      </c>
      <c r="H332" s="19">
        <v>12482.3</v>
      </c>
      <c r="I332" s="19">
        <v>18036.400000000001</v>
      </c>
      <c r="J332" s="19">
        <v>23075.8</v>
      </c>
      <c r="K332" s="19">
        <v>23224.400000000001</v>
      </c>
      <c r="L332" s="19">
        <v>23380</v>
      </c>
      <c r="M332" s="19">
        <v>23543.1</v>
      </c>
      <c r="N332" s="19">
        <v>23713.8</v>
      </c>
      <c r="O332" s="19">
        <v>23892.5</v>
      </c>
      <c r="P332" s="19">
        <v>24079.5</v>
      </c>
      <c r="Q332" s="19">
        <v>24275.3</v>
      </c>
      <c r="R332" s="19">
        <v>24480.2</v>
      </c>
      <c r="S332" s="19">
        <v>24694.5</v>
      </c>
      <c r="T332" s="19">
        <v>24918.9</v>
      </c>
      <c r="U332" s="19">
        <v>25153.7</v>
      </c>
      <c r="V332" s="19">
        <v>25399.3</v>
      </c>
      <c r="W332" s="19">
        <v>25656.400000000001</v>
      </c>
      <c r="X332" s="19">
        <v>25925.5</v>
      </c>
      <c r="Y332" s="19">
        <v>26207.1</v>
      </c>
      <c r="Z332" s="19">
        <v>26501.8</v>
      </c>
      <c r="AA332" s="19">
        <v>26810.2</v>
      </c>
      <c r="AB332" s="19">
        <v>27133</v>
      </c>
      <c r="AC332" s="19">
        <v>27470.9</v>
      </c>
      <c r="AD332" s="19">
        <v>27824.6</v>
      </c>
      <c r="AE332" s="19">
        <v>28195</v>
      </c>
      <c r="AF332" s="19">
        <v>28582.7</v>
      </c>
      <c r="AG332" s="19">
        <v>28988.799999999999</v>
      </c>
      <c r="AH332" s="19">
        <v>29414.2</v>
      </c>
      <c r="AI332" s="19">
        <v>29860</v>
      </c>
      <c r="AJ332" s="19">
        <v>29327.1</v>
      </c>
      <c r="AK332" s="19">
        <v>0</v>
      </c>
      <c r="AL332" s="19">
        <v>0</v>
      </c>
      <c r="AM332" s="19">
        <v>0</v>
      </c>
      <c r="AN332" s="19">
        <v>0</v>
      </c>
      <c r="AO332" s="19">
        <v>0</v>
      </c>
      <c r="AP332" s="19">
        <v>0</v>
      </c>
      <c r="AQ332" s="19">
        <v>0</v>
      </c>
      <c r="AR332" s="19">
        <v>0</v>
      </c>
      <c r="AS332" s="19">
        <v>0</v>
      </c>
      <c r="AT332" s="19">
        <v>0</v>
      </c>
      <c r="AU332" s="19">
        <v>0</v>
      </c>
      <c r="AV332" s="19">
        <v>0</v>
      </c>
      <c r="AW332" s="19">
        <v>0</v>
      </c>
      <c r="AX332" s="19">
        <v>0</v>
      </c>
      <c r="AY332" s="19">
        <v>0</v>
      </c>
      <c r="AZ332" s="19">
        <v>0</v>
      </c>
      <c r="BA332" s="19">
        <v>0</v>
      </c>
      <c r="BB332" s="19">
        <v>0</v>
      </c>
      <c r="BC332" s="19">
        <v>0</v>
      </c>
      <c r="BD332" s="19">
        <v>0</v>
      </c>
      <c r="BE332" s="19">
        <v>0</v>
      </c>
      <c r="BF332" s="19">
        <v>0</v>
      </c>
      <c r="BG332" s="19">
        <v>0</v>
      </c>
      <c r="BH332" s="19">
        <v>0</v>
      </c>
      <c r="BI332" s="19">
        <v>0</v>
      </c>
      <c r="BJ332" s="19">
        <v>0</v>
      </c>
      <c r="BK332" s="19">
        <v>0</v>
      </c>
      <c r="BL332" s="19">
        <v>0</v>
      </c>
      <c r="BM332" s="19">
        <v>0</v>
      </c>
      <c r="BN332" s="19">
        <v>0</v>
      </c>
      <c r="BO332" s="19">
        <v>0</v>
      </c>
      <c r="BP332" s="19">
        <v>0</v>
      </c>
      <c r="BQ332" s="19">
        <v>0</v>
      </c>
      <c r="BR332" s="19">
        <v>0</v>
      </c>
      <c r="BS332" s="19">
        <v>0</v>
      </c>
      <c r="BT332" s="19">
        <v>0</v>
      </c>
      <c r="BU332" s="19">
        <v>0</v>
      </c>
      <c r="BV332" s="19">
        <v>0</v>
      </c>
      <c r="BW332" s="19">
        <v>0</v>
      </c>
      <c r="BX332" s="19">
        <v>0</v>
      </c>
      <c r="BY332" s="19">
        <v>0</v>
      </c>
      <c r="BZ332" s="19">
        <v>0</v>
      </c>
      <c r="CA332" s="19">
        <v>0</v>
      </c>
      <c r="CB332" s="19">
        <v>0</v>
      </c>
      <c r="CC332" s="19">
        <v>0</v>
      </c>
      <c r="CD332" s="19">
        <v>0</v>
      </c>
      <c r="CE332" s="19">
        <v>0</v>
      </c>
      <c r="CF332" s="19">
        <v>0</v>
      </c>
      <c r="CG332" s="19">
        <v>0</v>
      </c>
      <c r="CH332" s="19">
        <v>0</v>
      </c>
      <c r="CI332" s="19">
        <v>0</v>
      </c>
      <c r="CJ332" s="19">
        <v>0</v>
      </c>
      <c r="CK332" s="19">
        <v>0</v>
      </c>
      <c r="CL332" s="19">
        <v>0</v>
      </c>
      <c r="CM332" s="19">
        <v>0</v>
      </c>
      <c r="CN332" s="19">
        <v>0</v>
      </c>
      <c r="CO332" s="19">
        <v>0</v>
      </c>
      <c r="CP332" s="19">
        <v>0</v>
      </c>
      <c r="CQ332" s="19">
        <v>0</v>
      </c>
      <c r="CR332" s="19">
        <v>0</v>
      </c>
      <c r="CS332" s="19">
        <v>0</v>
      </c>
      <c r="CT332" s="19">
        <v>0</v>
      </c>
      <c r="CU332" s="19">
        <v>0</v>
      </c>
      <c r="CV332" s="19">
        <v>0</v>
      </c>
      <c r="CW332" s="19">
        <v>0</v>
      </c>
      <c r="CX332" s="19">
        <v>0</v>
      </c>
      <c r="CY332" s="19">
        <v>0</v>
      </c>
      <c r="CZ332" s="19">
        <v>0</v>
      </c>
      <c r="DA332" s="19">
        <v>0</v>
      </c>
      <c r="DB332" s="19">
        <v>0</v>
      </c>
      <c r="DC332" s="19">
        <v>0</v>
      </c>
      <c r="DD332" s="19">
        <v>0</v>
      </c>
      <c r="DE332" s="19">
        <v>0</v>
      </c>
      <c r="DF332" s="19">
        <v>0</v>
      </c>
      <c r="DG332" s="19">
        <v>0</v>
      </c>
    </row>
    <row r="333" spans="2:111" x14ac:dyDescent="0.15">
      <c r="B333" s="19" t="str">
        <f t="shared" si="5"/>
        <v>5_女_30</v>
      </c>
      <c r="C333" s="18">
        <v>5</v>
      </c>
      <c r="D333" s="18" t="s">
        <v>2</v>
      </c>
      <c r="E333" s="18">
        <v>30</v>
      </c>
      <c r="F333" s="19">
        <v>3423.4</v>
      </c>
      <c r="G333" s="19">
        <v>7669.3</v>
      </c>
      <c r="H333" s="19">
        <v>12560</v>
      </c>
      <c r="I333" s="19">
        <v>18148.599999999999</v>
      </c>
      <c r="J333" s="19">
        <v>23225.3</v>
      </c>
      <c r="K333" s="19">
        <v>23381</v>
      </c>
      <c r="L333" s="19">
        <v>23544.1</v>
      </c>
      <c r="M333" s="19">
        <v>23714.799999999999</v>
      </c>
      <c r="N333" s="19">
        <v>23893.5</v>
      </c>
      <c r="O333" s="19">
        <v>24080.6</v>
      </c>
      <c r="P333" s="19">
        <v>24276.400000000001</v>
      </c>
      <c r="Q333" s="19">
        <v>24481.3</v>
      </c>
      <c r="R333" s="19">
        <v>24695.7</v>
      </c>
      <c r="S333" s="19">
        <v>24920</v>
      </c>
      <c r="T333" s="19">
        <v>25154.799999999999</v>
      </c>
      <c r="U333" s="19">
        <v>25400.400000000001</v>
      </c>
      <c r="V333" s="19">
        <v>25657.5</v>
      </c>
      <c r="W333" s="19">
        <v>25926.6</v>
      </c>
      <c r="X333" s="19">
        <v>26208.1</v>
      </c>
      <c r="Y333" s="19">
        <v>26502.799999999999</v>
      </c>
      <c r="Z333" s="19">
        <v>26811.200000000001</v>
      </c>
      <c r="AA333" s="19">
        <v>27134</v>
      </c>
      <c r="AB333" s="19">
        <v>27471.8</v>
      </c>
      <c r="AC333" s="19">
        <v>27825.4</v>
      </c>
      <c r="AD333" s="19">
        <v>28195.7</v>
      </c>
      <c r="AE333" s="19">
        <v>28583.4</v>
      </c>
      <c r="AF333" s="19">
        <v>28989.3</v>
      </c>
      <c r="AG333" s="19">
        <v>29414.6</v>
      </c>
      <c r="AH333" s="19">
        <v>29860.1</v>
      </c>
      <c r="AI333" s="19">
        <v>29327.1</v>
      </c>
      <c r="AJ333" s="19">
        <v>0</v>
      </c>
      <c r="AK333" s="19">
        <v>0</v>
      </c>
      <c r="AL333" s="19">
        <v>0</v>
      </c>
      <c r="AM333" s="19">
        <v>0</v>
      </c>
      <c r="AN333" s="19">
        <v>0</v>
      </c>
      <c r="AO333" s="19">
        <v>0</v>
      </c>
      <c r="AP333" s="19">
        <v>0</v>
      </c>
      <c r="AQ333" s="19">
        <v>0</v>
      </c>
      <c r="AR333" s="19">
        <v>0</v>
      </c>
      <c r="AS333" s="19">
        <v>0</v>
      </c>
      <c r="AT333" s="19">
        <v>0</v>
      </c>
      <c r="AU333" s="19">
        <v>0</v>
      </c>
      <c r="AV333" s="19">
        <v>0</v>
      </c>
      <c r="AW333" s="19">
        <v>0</v>
      </c>
      <c r="AX333" s="19">
        <v>0</v>
      </c>
      <c r="AY333" s="19">
        <v>0</v>
      </c>
      <c r="AZ333" s="19">
        <v>0</v>
      </c>
      <c r="BA333" s="19">
        <v>0</v>
      </c>
      <c r="BB333" s="19">
        <v>0</v>
      </c>
      <c r="BC333" s="19">
        <v>0</v>
      </c>
      <c r="BD333" s="19">
        <v>0</v>
      </c>
      <c r="BE333" s="19">
        <v>0</v>
      </c>
      <c r="BF333" s="19">
        <v>0</v>
      </c>
      <c r="BG333" s="19">
        <v>0</v>
      </c>
      <c r="BH333" s="19">
        <v>0</v>
      </c>
      <c r="BI333" s="19">
        <v>0</v>
      </c>
      <c r="BJ333" s="19">
        <v>0</v>
      </c>
      <c r="BK333" s="19">
        <v>0</v>
      </c>
      <c r="BL333" s="19">
        <v>0</v>
      </c>
      <c r="BM333" s="19">
        <v>0</v>
      </c>
      <c r="BN333" s="19">
        <v>0</v>
      </c>
      <c r="BO333" s="19">
        <v>0</v>
      </c>
      <c r="BP333" s="19">
        <v>0</v>
      </c>
      <c r="BQ333" s="19">
        <v>0</v>
      </c>
      <c r="BR333" s="19">
        <v>0</v>
      </c>
      <c r="BS333" s="19">
        <v>0</v>
      </c>
      <c r="BT333" s="19">
        <v>0</v>
      </c>
      <c r="BU333" s="19">
        <v>0</v>
      </c>
      <c r="BV333" s="19">
        <v>0</v>
      </c>
      <c r="BW333" s="19">
        <v>0</v>
      </c>
      <c r="BX333" s="19">
        <v>0</v>
      </c>
      <c r="BY333" s="19">
        <v>0</v>
      </c>
      <c r="BZ333" s="19">
        <v>0</v>
      </c>
      <c r="CA333" s="19">
        <v>0</v>
      </c>
      <c r="CB333" s="19">
        <v>0</v>
      </c>
      <c r="CC333" s="19">
        <v>0</v>
      </c>
      <c r="CD333" s="19">
        <v>0</v>
      </c>
      <c r="CE333" s="19">
        <v>0</v>
      </c>
      <c r="CF333" s="19">
        <v>0</v>
      </c>
      <c r="CG333" s="19">
        <v>0</v>
      </c>
      <c r="CH333" s="19">
        <v>0</v>
      </c>
      <c r="CI333" s="19">
        <v>0</v>
      </c>
      <c r="CJ333" s="19">
        <v>0</v>
      </c>
      <c r="CK333" s="19">
        <v>0</v>
      </c>
      <c r="CL333" s="19">
        <v>0</v>
      </c>
      <c r="CM333" s="19">
        <v>0</v>
      </c>
      <c r="CN333" s="19">
        <v>0</v>
      </c>
      <c r="CO333" s="19">
        <v>0</v>
      </c>
      <c r="CP333" s="19">
        <v>0</v>
      </c>
      <c r="CQ333" s="19">
        <v>0</v>
      </c>
      <c r="CR333" s="19">
        <v>0</v>
      </c>
      <c r="CS333" s="19">
        <v>0</v>
      </c>
      <c r="CT333" s="19">
        <v>0</v>
      </c>
      <c r="CU333" s="19">
        <v>0</v>
      </c>
      <c r="CV333" s="19">
        <v>0</v>
      </c>
      <c r="CW333" s="19">
        <v>0</v>
      </c>
      <c r="CX333" s="19">
        <v>0</v>
      </c>
      <c r="CY333" s="19">
        <v>0</v>
      </c>
      <c r="CZ333" s="19">
        <v>0</v>
      </c>
      <c r="DA333" s="19">
        <v>0</v>
      </c>
      <c r="DB333" s="19">
        <v>0</v>
      </c>
      <c r="DC333" s="19">
        <v>0</v>
      </c>
      <c r="DD333" s="19">
        <v>0</v>
      </c>
      <c r="DE333" s="19">
        <v>0</v>
      </c>
      <c r="DF333" s="19">
        <v>0</v>
      </c>
      <c r="DG333" s="19">
        <v>0</v>
      </c>
    </row>
    <row r="334" spans="2:111" x14ac:dyDescent="0.15">
      <c r="B334" s="19" t="str">
        <f t="shared" si="5"/>
        <v>5_女_31</v>
      </c>
      <c r="C334" s="18">
        <v>5</v>
      </c>
      <c r="D334" s="18" t="s">
        <v>2</v>
      </c>
      <c r="E334" s="18">
        <v>31</v>
      </c>
      <c r="F334" s="19">
        <v>3445.6</v>
      </c>
      <c r="G334" s="19">
        <v>7719.1</v>
      </c>
      <c r="H334" s="19">
        <v>12641.5</v>
      </c>
      <c r="I334" s="19">
        <v>18266.2</v>
      </c>
      <c r="J334" s="19">
        <v>23382</v>
      </c>
      <c r="K334" s="19">
        <v>23545.1</v>
      </c>
      <c r="L334" s="19">
        <v>23715.9</v>
      </c>
      <c r="M334" s="19">
        <v>23894.6</v>
      </c>
      <c r="N334" s="19">
        <v>24081.7</v>
      </c>
      <c r="O334" s="19">
        <v>24277.5</v>
      </c>
      <c r="P334" s="19">
        <v>24482.400000000001</v>
      </c>
      <c r="Q334" s="19">
        <v>24696.799999999999</v>
      </c>
      <c r="R334" s="19">
        <v>24921.200000000001</v>
      </c>
      <c r="S334" s="19">
        <v>25155.9</v>
      </c>
      <c r="T334" s="19">
        <v>25401.599999999999</v>
      </c>
      <c r="U334" s="19">
        <v>25658.7</v>
      </c>
      <c r="V334" s="19">
        <v>25927.7</v>
      </c>
      <c r="W334" s="19">
        <v>26209.200000000001</v>
      </c>
      <c r="X334" s="19">
        <v>26503.9</v>
      </c>
      <c r="Y334" s="19">
        <v>26812.2</v>
      </c>
      <c r="Z334" s="19">
        <v>27134.9</v>
      </c>
      <c r="AA334" s="19">
        <v>27472.7</v>
      </c>
      <c r="AB334" s="19">
        <v>27826.3</v>
      </c>
      <c r="AC334" s="19">
        <v>28196.400000000001</v>
      </c>
      <c r="AD334" s="19">
        <v>28584</v>
      </c>
      <c r="AE334" s="19">
        <v>28989.9</v>
      </c>
      <c r="AF334" s="19">
        <v>29415</v>
      </c>
      <c r="AG334" s="19">
        <v>29860.3</v>
      </c>
      <c r="AH334" s="19">
        <v>29327.1</v>
      </c>
      <c r="AI334" s="19">
        <v>0</v>
      </c>
      <c r="AJ334" s="19">
        <v>0</v>
      </c>
      <c r="AK334" s="19">
        <v>0</v>
      </c>
      <c r="AL334" s="19">
        <v>0</v>
      </c>
      <c r="AM334" s="19">
        <v>0</v>
      </c>
      <c r="AN334" s="19">
        <v>0</v>
      </c>
      <c r="AO334" s="19">
        <v>0</v>
      </c>
      <c r="AP334" s="19">
        <v>0</v>
      </c>
      <c r="AQ334" s="19">
        <v>0</v>
      </c>
      <c r="AR334" s="19">
        <v>0</v>
      </c>
      <c r="AS334" s="19">
        <v>0</v>
      </c>
      <c r="AT334" s="19">
        <v>0</v>
      </c>
      <c r="AU334" s="19">
        <v>0</v>
      </c>
      <c r="AV334" s="19">
        <v>0</v>
      </c>
      <c r="AW334" s="19">
        <v>0</v>
      </c>
      <c r="AX334" s="19">
        <v>0</v>
      </c>
      <c r="AY334" s="19">
        <v>0</v>
      </c>
      <c r="AZ334" s="19">
        <v>0</v>
      </c>
      <c r="BA334" s="19">
        <v>0</v>
      </c>
      <c r="BB334" s="19">
        <v>0</v>
      </c>
      <c r="BC334" s="19">
        <v>0</v>
      </c>
      <c r="BD334" s="19">
        <v>0</v>
      </c>
      <c r="BE334" s="19">
        <v>0</v>
      </c>
      <c r="BF334" s="19">
        <v>0</v>
      </c>
      <c r="BG334" s="19">
        <v>0</v>
      </c>
      <c r="BH334" s="19">
        <v>0</v>
      </c>
      <c r="BI334" s="19">
        <v>0</v>
      </c>
      <c r="BJ334" s="19">
        <v>0</v>
      </c>
      <c r="BK334" s="19">
        <v>0</v>
      </c>
      <c r="BL334" s="19">
        <v>0</v>
      </c>
      <c r="BM334" s="19">
        <v>0</v>
      </c>
      <c r="BN334" s="19">
        <v>0</v>
      </c>
      <c r="BO334" s="19">
        <v>0</v>
      </c>
      <c r="BP334" s="19">
        <v>0</v>
      </c>
      <c r="BQ334" s="19">
        <v>0</v>
      </c>
      <c r="BR334" s="19">
        <v>0</v>
      </c>
      <c r="BS334" s="19">
        <v>0</v>
      </c>
      <c r="BT334" s="19">
        <v>0</v>
      </c>
      <c r="BU334" s="19">
        <v>0</v>
      </c>
      <c r="BV334" s="19">
        <v>0</v>
      </c>
      <c r="BW334" s="19">
        <v>0</v>
      </c>
      <c r="BX334" s="19">
        <v>0</v>
      </c>
      <c r="BY334" s="19">
        <v>0</v>
      </c>
      <c r="BZ334" s="19">
        <v>0</v>
      </c>
      <c r="CA334" s="19">
        <v>0</v>
      </c>
      <c r="CB334" s="19">
        <v>0</v>
      </c>
      <c r="CC334" s="19">
        <v>0</v>
      </c>
      <c r="CD334" s="19">
        <v>0</v>
      </c>
      <c r="CE334" s="19">
        <v>0</v>
      </c>
      <c r="CF334" s="19">
        <v>0</v>
      </c>
      <c r="CG334" s="19">
        <v>0</v>
      </c>
      <c r="CH334" s="19">
        <v>0</v>
      </c>
      <c r="CI334" s="19">
        <v>0</v>
      </c>
      <c r="CJ334" s="19">
        <v>0</v>
      </c>
      <c r="CK334" s="19">
        <v>0</v>
      </c>
      <c r="CL334" s="19">
        <v>0</v>
      </c>
      <c r="CM334" s="19">
        <v>0</v>
      </c>
      <c r="CN334" s="19">
        <v>0</v>
      </c>
      <c r="CO334" s="19">
        <v>0</v>
      </c>
      <c r="CP334" s="19">
        <v>0</v>
      </c>
      <c r="CQ334" s="19">
        <v>0</v>
      </c>
      <c r="CR334" s="19">
        <v>0</v>
      </c>
      <c r="CS334" s="19">
        <v>0</v>
      </c>
      <c r="CT334" s="19">
        <v>0</v>
      </c>
      <c r="CU334" s="19">
        <v>0</v>
      </c>
      <c r="CV334" s="19">
        <v>0</v>
      </c>
      <c r="CW334" s="19">
        <v>0</v>
      </c>
      <c r="CX334" s="19">
        <v>0</v>
      </c>
      <c r="CY334" s="19">
        <v>0</v>
      </c>
      <c r="CZ334" s="19">
        <v>0</v>
      </c>
      <c r="DA334" s="19">
        <v>0</v>
      </c>
      <c r="DB334" s="19">
        <v>0</v>
      </c>
      <c r="DC334" s="19">
        <v>0</v>
      </c>
      <c r="DD334" s="19">
        <v>0</v>
      </c>
      <c r="DE334" s="19">
        <v>0</v>
      </c>
      <c r="DF334" s="19">
        <v>0</v>
      </c>
      <c r="DG334" s="19">
        <v>0</v>
      </c>
    </row>
    <row r="335" spans="2:111" x14ac:dyDescent="0.15">
      <c r="B335" s="19" t="str">
        <f t="shared" si="5"/>
        <v>5_女_32</v>
      </c>
      <c r="C335" s="18">
        <v>5</v>
      </c>
      <c r="D335" s="18" t="s">
        <v>2</v>
      </c>
      <c r="E335" s="18">
        <v>32</v>
      </c>
      <c r="F335" s="19">
        <v>3468.9</v>
      </c>
      <c r="G335" s="19">
        <v>7771.3</v>
      </c>
      <c r="H335" s="19">
        <v>12726.8</v>
      </c>
      <c r="I335" s="19">
        <v>18389.3</v>
      </c>
      <c r="J335" s="19">
        <v>23546.2</v>
      </c>
      <c r="K335" s="19">
        <v>23717</v>
      </c>
      <c r="L335" s="19">
        <v>23895.7</v>
      </c>
      <c r="M335" s="19">
        <v>24082.799999999999</v>
      </c>
      <c r="N335" s="19">
        <v>24278.6</v>
      </c>
      <c r="O335" s="19">
        <v>24483.5</v>
      </c>
      <c r="P335" s="19">
        <v>24698</v>
      </c>
      <c r="Q335" s="19">
        <v>24922.3</v>
      </c>
      <c r="R335" s="19">
        <v>25157.1</v>
      </c>
      <c r="S335" s="19">
        <v>25402.799999999999</v>
      </c>
      <c r="T335" s="19">
        <v>25659.8</v>
      </c>
      <c r="U335" s="19">
        <v>25928.9</v>
      </c>
      <c r="V335" s="19">
        <v>26210.400000000001</v>
      </c>
      <c r="W335" s="19">
        <v>26505</v>
      </c>
      <c r="X335" s="19">
        <v>26813.3</v>
      </c>
      <c r="Y335" s="19">
        <v>27135.9</v>
      </c>
      <c r="Z335" s="19">
        <v>27473.7</v>
      </c>
      <c r="AA335" s="19">
        <v>27827.1</v>
      </c>
      <c r="AB335" s="19">
        <v>28197.200000000001</v>
      </c>
      <c r="AC335" s="19">
        <v>28584.7</v>
      </c>
      <c r="AD335" s="19">
        <v>28990.400000000001</v>
      </c>
      <c r="AE335" s="19">
        <v>29415.3</v>
      </c>
      <c r="AF335" s="19">
        <v>29860.5</v>
      </c>
      <c r="AG335" s="19">
        <v>29327.1</v>
      </c>
      <c r="AH335" s="19">
        <v>0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v>0</v>
      </c>
      <c r="AO335" s="19">
        <v>0</v>
      </c>
      <c r="AP335" s="19">
        <v>0</v>
      </c>
      <c r="AQ335" s="19">
        <v>0</v>
      </c>
      <c r="AR335" s="19">
        <v>0</v>
      </c>
      <c r="AS335" s="19">
        <v>0</v>
      </c>
      <c r="AT335" s="19">
        <v>0</v>
      </c>
      <c r="AU335" s="19">
        <v>0</v>
      </c>
      <c r="AV335" s="19">
        <v>0</v>
      </c>
      <c r="AW335" s="19">
        <v>0</v>
      </c>
      <c r="AX335" s="19">
        <v>0</v>
      </c>
      <c r="AY335" s="19">
        <v>0</v>
      </c>
      <c r="AZ335" s="19">
        <v>0</v>
      </c>
      <c r="BA335" s="19">
        <v>0</v>
      </c>
      <c r="BB335" s="19">
        <v>0</v>
      </c>
      <c r="BC335" s="19">
        <v>0</v>
      </c>
      <c r="BD335" s="19">
        <v>0</v>
      </c>
      <c r="BE335" s="19">
        <v>0</v>
      </c>
      <c r="BF335" s="19">
        <v>0</v>
      </c>
      <c r="BG335" s="19">
        <v>0</v>
      </c>
      <c r="BH335" s="19">
        <v>0</v>
      </c>
      <c r="BI335" s="19">
        <v>0</v>
      </c>
      <c r="BJ335" s="19">
        <v>0</v>
      </c>
      <c r="BK335" s="19">
        <v>0</v>
      </c>
      <c r="BL335" s="19">
        <v>0</v>
      </c>
      <c r="BM335" s="19">
        <v>0</v>
      </c>
      <c r="BN335" s="19">
        <v>0</v>
      </c>
      <c r="BO335" s="19">
        <v>0</v>
      </c>
      <c r="BP335" s="19">
        <v>0</v>
      </c>
      <c r="BQ335" s="19">
        <v>0</v>
      </c>
      <c r="BR335" s="19">
        <v>0</v>
      </c>
      <c r="BS335" s="19">
        <v>0</v>
      </c>
      <c r="BT335" s="19">
        <v>0</v>
      </c>
      <c r="BU335" s="19">
        <v>0</v>
      </c>
      <c r="BV335" s="19">
        <v>0</v>
      </c>
      <c r="BW335" s="19">
        <v>0</v>
      </c>
      <c r="BX335" s="19">
        <v>0</v>
      </c>
      <c r="BY335" s="19">
        <v>0</v>
      </c>
      <c r="BZ335" s="19">
        <v>0</v>
      </c>
      <c r="CA335" s="19">
        <v>0</v>
      </c>
      <c r="CB335" s="19">
        <v>0</v>
      </c>
      <c r="CC335" s="19">
        <v>0</v>
      </c>
      <c r="CD335" s="19">
        <v>0</v>
      </c>
      <c r="CE335" s="19">
        <v>0</v>
      </c>
      <c r="CF335" s="19">
        <v>0</v>
      </c>
      <c r="CG335" s="19">
        <v>0</v>
      </c>
      <c r="CH335" s="19">
        <v>0</v>
      </c>
      <c r="CI335" s="19">
        <v>0</v>
      </c>
      <c r="CJ335" s="19">
        <v>0</v>
      </c>
      <c r="CK335" s="19">
        <v>0</v>
      </c>
      <c r="CL335" s="19">
        <v>0</v>
      </c>
      <c r="CM335" s="19">
        <v>0</v>
      </c>
      <c r="CN335" s="19">
        <v>0</v>
      </c>
      <c r="CO335" s="19">
        <v>0</v>
      </c>
      <c r="CP335" s="19">
        <v>0</v>
      </c>
      <c r="CQ335" s="19">
        <v>0</v>
      </c>
      <c r="CR335" s="19">
        <v>0</v>
      </c>
      <c r="CS335" s="19">
        <v>0</v>
      </c>
      <c r="CT335" s="19">
        <v>0</v>
      </c>
      <c r="CU335" s="19">
        <v>0</v>
      </c>
      <c r="CV335" s="19">
        <v>0</v>
      </c>
      <c r="CW335" s="19">
        <v>0</v>
      </c>
      <c r="CX335" s="19">
        <v>0</v>
      </c>
      <c r="CY335" s="19">
        <v>0</v>
      </c>
      <c r="CZ335" s="19">
        <v>0</v>
      </c>
      <c r="DA335" s="19">
        <v>0</v>
      </c>
      <c r="DB335" s="19">
        <v>0</v>
      </c>
      <c r="DC335" s="19">
        <v>0</v>
      </c>
      <c r="DD335" s="19">
        <v>0</v>
      </c>
      <c r="DE335" s="19">
        <v>0</v>
      </c>
      <c r="DF335" s="19">
        <v>0</v>
      </c>
      <c r="DG335" s="19">
        <v>0</v>
      </c>
    </row>
    <row r="336" spans="2:111" x14ac:dyDescent="0.15">
      <c r="B336" s="19" t="str">
        <f t="shared" si="5"/>
        <v>5_女_33</v>
      </c>
      <c r="C336" s="18">
        <v>5</v>
      </c>
      <c r="D336" s="18" t="s">
        <v>2</v>
      </c>
      <c r="E336" s="18">
        <v>33</v>
      </c>
      <c r="F336" s="19">
        <v>3493.3</v>
      </c>
      <c r="G336" s="19">
        <v>7825.9</v>
      </c>
      <c r="H336" s="19">
        <v>12816.2</v>
      </c>
      <c r="I336" s="19">
        <v>18518.3</v>
      </c>
      <c r="J336" s="19">
        <v>23718.1</v>
      </c>
      <c r="K336" s="19">
        <v>23896.9</v>
      </c>
      <c r="L336" s="19">
        <v>24084</v>
      </c>
      <c r="M336" s="19">
        <v>24279.8</v>
      </c>
      <c r="N336" s="19">
        <v>24484.7</v>
      </c>
      <c r="O336" s="19">
        <v>24699.200000000001</v>
      </c>
      <c r="P336" s="19">
        <v>24923.599999999999</v>
      </c>
      <c r="Q336" s="19">
        <v>25158.3</v>
      </c>
      <c r="R336" s="19">
        <v>25404</v>
      </c>
      <c r="S336" s="19">
        <v>25661.1</v>
      </c>
      <c r="T336" s="19">
        <v>25930</v>
      </c>
      <c r="U336" s="19">
        <v>26211.5</v>
      </c>
      <c r="V336" s="19">
        <v>26506.1</v>
      </c>
      <c r="W336" s="19">
        <v>26814.400000000001</v>
      </c>
      <c r="X336" s="19">
        <v>27137</v>
      </c>
      <c r="Y336" s="19">
        <v>27474.6</v>
      </c>
      <c r="Z336" s="19">
        <v>27828</v>
      </c>
      <c r="AA336" s="19">
        <v>28198</v>
      </c>
      <c r="AB336" s="19">
        <v>28585.3</v>
      </c>
      <c r="AC336" s="19">
        <v>28990.9</v>
      </c>
      <c r="AD336" s="19">
        <v>29415.7</v>
      </c>
      <c r="AE336" s="19">
        <v>29860.799999999999</v>
      </c>
      <c r="AF336" s="19">
        <v>29327.1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19">
        <v>0</v>
      </c>
      <c r="AM336" s="19">
        <v>0</v>
      </c>
      <c r="AN336" s="19">
        <v>0</v>
      </c>
      <c r="AO336" s="19">
        <v>0</v>
      </c>
      <c r="AP336" s="19">
        <v>0</v>
      </c>
      <c r="AQ336" s="19">
        <v>0</v>
      </c>
      <c r="AR336" s="19">
        <v>0</v>
      </c>
      <c r="AS336" s="19">
        <v>0</v>
      </c>
      <c r="AT336" s="19">
        <v>0</v>
      </c>
      <c r="AU336" s="19">
        <v>0</v>
      </c>
      <c r="AV336" s="19">
        <v>0</v>
      </c>
      <c r="AW336" s="19">
        <v>0</v>
      </c>
      <c r="AX336" s="19">
        <v>0</v>
      </c>
      <c r="AY336" s="19">
        <v>0</v>
      </c>
      <c r="AZ336" s="19">
        <v>0</v>
      </c>
      <c r="BA336" s="19">
        <v>0</v>
      </c>
      <c r="BB336" s="19">
        <v>0</v>
      </c>
      <c r="BC336" s="19">
        <v>0</v>
      </c>
      <c r="BD336" s="19">
        <v>0</v>
      </c>
      <c r="BE336" s="19">
        <v>0</v>
      </c>
      <c r="BF336" s="19">
        <v>0</v>
      </c>
      <c r="BG336" s="19">
        <v>0</v>
      </c>
      <c r="BH336" s="19">
        <v>0</v>
      </c>
      <c r="BI336" s="19">
        <v>0</v>
      </c>
      <c r="BJ336" s="19">
        <v>0</v>
      </c>
      <c r="BK336" s="19">
        <v>0</v>
      </c>
      <c r="BL336" s="19">
        <v>0</v>
      </c>
      <c r="BM336" s="19">
        <v>0</v>
      </c>
      <c r="BN336" s="19">
        <v>0</v>
      </c>
      <c r="BO336" s="19">
        <v>0</v>
      </c>
      <c r="BP336" s="19">
        <v>0</v>
      </c>
      <c r="BQ336" s="19">
        <v>0</v>
      </c>
      <c r="BR336" s="19">
        <v>0</v>
      </c>
      <c r="BS336" s="19">
        <v>0</v>
      </c>
      <c r="BT336" s="19">
        <v>0</v>
      </c>
      <c r="BU336" s="19">
        <v>0</v>
      </c>
      <c r="BV336" s="19">
        <v>0</v>
      </c>
      <c r="BW336" s="19">
        <v>0</v>
      </c>
      <c r="BX336" s="19">
        <v>0</v>
      </c>
      <c r="BY336" s="19">
        <v>0</v>
      </c>
      <c r="BZ336" s="19">
        <v>0</v>
      </c>
      <c r="CA336" s="19">
        <v>0</v>
      </c>
      <c r="CB336" s="19">
        <v>0</v>
      </c>
      <c r="CC336" s="19">
        <v>0</v>
      </c>
      <c r="CD336" s="19">
        <v>0</v>
      </c>
      <c r="CE336" s="19">
        <v>0</v>
      </c>
      <c r="CF336" s="19">
        <v>0</v>
      </c>
      <c r="CG336" s="19">
        <v>0</v>
      </c>
      <c r="CH336" s="19">
        <v>0</v>
      </c>
      <c r="CI336" s="19">
        <v>0</v>
      </c>
      <c r="CJ336" s="19">
        <v>0</v>
      </c>
      <c r="CK336" s="19">
        <v>0</v>
      </c>
      <c r="CL336" s="19">
        <v>0</v>
      </c>
      <c r="CM336" s="19">
        <v>0</v>
      </c>
      <c r="CN336" s="19">
        <v>0</v>
      </c>
      <c r="CO336" s="19">
        <v>0</v>
      </c>
      <c r="CP336" s="19">
        <v>0</v>
      </c>
      <c r="CQ336" s="19">
        <v>0</v>
      </c>
      <c r="CR336" s="19">
        <v>0</v>
      </c>
      <c r="CS336" s="19">
        <v>0</v>
      </c>
      <c r="CT336" s="19">
        <v>0</v>
      </c>
      <c r="CU336" s="19">
        <v>0</v>
      </c>
      <c r="CV336" s="19">
        <v>0</v>
      </c>
      <c r="CW336" s="19">
        <v>0</v>
      </c>
      <c r="CX336" s="19">
        <v>0</v>
      </c>
      <c r="CY336" s="19">
        <v>0</v>
      </c>
      <c r="CZ336" s="19">
        <v>0</v>
      </c>
      <c r="DA336" s="19">
        <v>0</v>
      </c>
      <c r="DB336" s="19">
        <v>0</v>
      </c>
      <c r="DC336" s="19">
        <v>0</v>
      </c>
      <c r="DD336" s="19">
        <v>0</v>
      </c>
      <c r="DE336" s="19">
        <v>0</v>
      </c>
      <c r="DF336" s="19">
        <v>0</v>
      </c>
      <c r="DG336" s="19">
        <v>0</v>
      </c>
    </row>
    <row r="337" spans="2:111" x14ac:dyDescent="0.15">
      <c r="B337" s="19" t="str">
        <f t="shared" si="5"/>
        <v>5_女_34</v>
      </c>
      <c r="C337" s="18">
        <v>5</v>
      </c>
      <c r="D337" s="18" t="s">
        <v>2</v>
      </c>
      <c r="E337" s="18">
        <v>34</v>
      </c>
      <c r="F337" s="19">
        <v>3518.9</v>
      </c>
      <c r="G337" s="19">
        <v>7883.1</v>
      </c>
      <c r="H337" s="19">
        <v>12909.8</v>
      </c>
      <c r="I337" s="19">
        <v>18653.3</v>
      </c>
      <c r="J337" s="19">
        <v>23898</v>
      </c>
      <c r="K337" s="19">
        <v>24085.200000000001</v>
      </c>
      <c r="L337" s="19">
        <v>24281</v>
      </c>
      <c r="M337" s="19">
        <v>24486</v>
      </c>
      <c r="N337" s="19">
        <v>24700.400000000001</v>
      </c>
      <c r="O337" s="19">
        <v>24924.799999999999</v>
      </c>
      <c r="P337" s="19">
        <v>25159.599999999999</v>
      </c>
      <c r="Q337" s="19">
        <v>25405.200000000001</v>
      </c>
      <c r="R337" s="19">
        <v>25662.3</v>
      </c>
      <c r="S337" s="19">
        <v>25931.3</v>
      </c>
      <c r="T337" s="19">
        <v>26212.7</v>
      </c>
      <c r="U337" s="19">
        <v>26507.3</v>
      </c>
      <c r="V337" s="19">
        <v>26815.5</v>
      </c>
      <c r="W337" s="19">
        <v>27138</v>
      </c>
      <c r="X337" s="19">
        <v>27475.599999999999</v>
      </c>
      <c r="Y337" s="19">
        <v>27829</v>
      </c>
      <c r="Z337" s="19">
        <v>28198.799999999999</v>
      </c>
      <c r="AA337" s="19">
        <v>28586</v>
      </c>
      <c r="AB337" s="19">
        <v>28991.5</v>
      </c>
      <c r="AC337" s="19">
        <v>29416.1</v>
      </c>
      <c r="AD337" s="19">
        <v>29861</v>
      </c>
      <c r="AE337" s="19">
        <v>29327.1</v>
      </c>
      <c r="AF337" s="19">
        <v>0</v>
      </c>
      <c r="AG337" s="19">
        <v>0</v>
      </c>
      <c r="AH337" s="19">
        <v>0</v>
      </c>
      <c r="AI337" s="19">
        <v>0</v>
      </c>
      <c r="AJ337" s="19">
        <v>0</v>
      </c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>
        <v>0</v>
      </c>
      <c r="AS337" s="19">
        <v>0</v>
      </c>
      <c r="AT337" s="19">
        <v>0</v>
      </c>
      <c r="AU337" s="19">
        <v>0</v>
      </c>
      <c r="AV337" s="19">
        <v>0</v>
      </c>
      <c r="AW337" s="19">
        <v>0</v>
      </c>
      <c r="AX337" s="19">
        <v>0</v>
      </c>
      <c r="AY337" s="19">
        <v>0</v>
      </c>
      <c r="AZ337" s="19">
        <v>0</v>
      </c>
      <c r="BA337" s="19">
        <v>0</v>
      </c>
      <c r="BB337" s="19">
        <v>0</v>
      </c>
      <c r="BC337" s="19">
        <v>0</v>
      </c>
      <c r="BD337" s="19">
        <v>0</v>
      </c>
      <c r="BE337" s="19">
        <v>0</v>
      </c>
      <c r="BF337" s="19">
        <v>0</v>
      </c>
      <c r="BG337" s="19">
        <v>0</v>
      </c>
      <c r="BH337" s="19">
        <v>0</v>
      </c>
      <c r="BI337" s="19">
        <v>0</v>
      </c>
      <c r="BJ337" s="19">
        <v>0</v>
      </c>
      <c r="BK337" s="19">
        <v>0</v>
      </c>
      <c r="BL337" s="19">
        <v>0</v>
      </c>
      <c r="BM337" s="19">
        <v>0</v>
      </c>
      <c r="BN337" s="19">
        <v>0</v>
      </c>
      <c r="BO337" s="19">
        <v>0</v>
      </c>
      <c r="BP337" s="19">
        <v>0</v>
      </c>
      <c r="BQ337" s="19">
        <v>0</v>
      </c>
      <c r="BR337" s="19">
        <v>0</v>
      </c>
      <c r="BS337" s="19">
        <v>0</v>
      </c>
      <c r="BT337" s="19">
        <v>0</v>
      </c>
      <c r="BU337" s="19">
        <v>0</v>
      </c>
      <c r="BV337" s="19">
        <v>0</v>
      </c>
      <c r="BW337" s="19">
        <v>0</v>
      </c>
      <c r="BX337" s="19">
        <v>0</v>
      </c>
      <c r="BY337" s="19">
        <v>0</v>
      </c>
      <c r="BZ337" s="19">
        <v>0</v>
      </c>
      <c r="CA337" s="19">
        <v>0</v>
      </c>
      <c r="CB337" s="19">
        <v>0</v>
      </c>
      <c r="CC337" s="19">
        <v>0</v>
      </c>
      <c r="CD337" s="19">
        <v>0</v>
      </c>
      <c r="CE337" s="19">
        <v>0</v>
      </c>
      <c r="CF337" s="19">
        <v>0</v>
      </c>
      <c r="CG337" s="19">
        <v>0</v>
      </c>
      <c r="CH337" s="19">
        <v>0</v>
      </c>
      <c r="CI337" s="19">
        <v>0</v>
      </c>
      <c r="CJ337" s="19">
        <v>0</v>
      </c>
      <c r="CK337" s="19">
        <v>0</v>
      </c>
      <c r="CL337" s="19">
        <v>0</v>
      </c>
      <c r="CM337" s="19">
        <v>0</v>
      </c>
      <c r="CN337" s="19">
        <v>0</v>
      </c>
      <c r="CO337" s="19">
        <v>0</v>
      </c>
      <c r="CP337" s="19">
        <v>0</v>
      </c>
      <c r="CQ337" s="19">
        <v>0</v>
      </c>
      <c r="CR337" s="19">
        <v>0</v>
      </c>
      <c r="CS337" s="19">
        <v>0</v>
      </c>
      <c r="CT337" s="19">
        <v>0</v>
      </c>
      <c r="CU337" s="19">
        <v>0</v>
      </c>
      <c r="CV337" s="19">
        <v>0</v>
      </c>
      <c r="CW337" s="19">
        <v>0</v>
      </c>
      <c r="CX337" s="19">
        <v>0</v>
      </c>
      <c r="CY337" s="19">
        <v>0</v>
      </c>
      <c r="CZ337" s="19">
        <v>0</v>
      </c>
      <c r="DA337" s="19">
        <v>0</v>
      </c>
      <c r="DB337" s="19">
        <v>0</v>
      </c>
      <c r="DC337" s="19">
        <v>0</v>
      </c>
      <c r="DD337" s="19">
        <v>0</v>
      </c>
      <c r="DE337" s="19">
        <v>0</v>
      </c>
      <c r="DF337" s="19">
        <v>0</v>
      </c>
      <c r="DG337" s="19">
        <v>0</v>
      </c>
    </row>
    <row r="338" spans="2:111" x14ac:dyDescent="0.15">
      <c r="B338" s="19" t="str">
        <f t="shared" si="5"/>
        <v>5_女_35</v>
      </c>
      <c r="C338" s="18">
        <v>5</v>
      </c>
      <c r="D338" s="18" t="s">
        <v>2</v>
      </c>
      <c r="E338" s="18">
        <v>35</v>
      </c>
      <c r="F338" s="19">
        <v>3545.7</v>
      </c>
      <c r="G338" s="19">
        <v>7943</v>
      </c>
      <c r="H338" s="19">
        <v>13007.7</v>
      </c>
      <c r="I338" s="19">
        <v>18794.7</v>
      </c>
      <c r="J338" s="19">
        <v>24086.400000000001</v>
      </c>
      <c r="K338" s="19">
        <v>24282.3</v>
      </c>
      <c r="L338" s="19">
        <v>24487.3</v>
      </c>
      <c r="M338" s="19">
        <v>24701.7</v>
      </c>
      <c r="N338" s="19">
        <v>24926.1</v>
      </c>
      <c r="O338" s="19">
        <v>25160.9</v>
      </c>
      <c r="P338" s="19">
        <v>25406.5</v>
      </c>
      <c r="Q338" s="19">
        <v>25663.599999999999</v>
      </c>
      <c r="R338" s="19">
        <v>25932.5</v>
      </c>
      <c r="S338" s="19">
        <v>26214</v>
      </c>
      <c r="T338" s="19">
        <v>26508.5</v>
      </c>
      <c r="U338" s="19">
        <v>26816.6</v>
      </c>
      <c r="V338" s="19">
        <v>27139.1</v>
      </c>
      <c r="W338" s="19">
        <v>27476.6</v>
      </c>
      <c r="X338" s="19">
        <v>27829.9</v>
      </c>
      <c r="Y338" s="19">
        <v>28199.7</v>
      </c>
      <c r="Z338" s="19">
        <v>28586.799999999999</v>
      </c>
      <c r="AA338" s="19">
        <v>28992.1</v>
      </c>
      <c r="AB338" s="19">
        <v>29416.5</v>
      </c>
      <c r="AC338" s="19">
        <v>29861.200000000001</v>
      </c>
      <c r="AD338" s="19">
        <v>29327.1</v>
      </c>
      <c r="AE338" s="19">
        <v>0</v>
      </c>
      <c r="AF338" s="19">
        <v>0</v>
      </c>
      <c r="AG338" s="19">
        <v>0</v>
      </c>
      <c r="AH338" s="19">
        <v>0</v>
      </c>
      <c r="AI338" s="19">
        <v>0</v>
      </c>
      <c r="AJ338" s="19">
        <v>0</v>
      </c>
      <c r="AK338" s="19">
        <v>0</v>
      </c>
      <c r="AL338" s="19">
        <v>0</v>
      </c>
      <c r="AM338" s="19">
        <v>0</v>
      </c>
      <c r="AN338" s="19">
        <v>0</v>
      </c>
      <c r="AO338" s="19">
        <v>0</v>
      </c>
      <c r="AP338" s="19">
        <v>0</v>
      </c>
      <c r="AQ338" s="19">
        <v>0</v>
      </c>
      <c r="AR338" s="19">
        <v>0</v>
      </c>
      <c r="AS338" s="19">
        <v>0</v>
      </c>
      <c r="AT338" s="19">
        <v>0</v>
      </c>
      <c r="AU338" s="19">
        <v>0</v>
      </c>
      <c r="AV338" s="19">
        <v>0</v>
      </c>
      <c r="AW338" s="19">
        <v>0</v>
      </c>
      <c r="AX338" s="19">
        <v>0</v>
      </c>
      <c r="AY338" s="19">
        <v>0</v>
      </c>
      <c r="AZ338" s="19">
        <v>0</v>
      </c>
      <c r="BA338" s="19">
        <v>0</v>
      </c>
      <c r="BB338" s="19">
        <v>0</v>
      </c>
      <c r="BC338" s="19">
        <v>0</v>
      </c>
      <c r="BD338" s="19">
        <v>0</v>
      </c>
      <c r="BE338" s="19">
        <v>0</v>
      </c>
      <c r="BF338" s="19">
        <v>0</v>
      </c>
      <c r="BG338" s="19">
        <v>0</v>
      </c>
      <c r="BH338" s="19">
        <v>0</v>
      </c>
      <c r="BI338" s="19">
        <v>0</v>
      </c>
      <c r="BJ338" s="19">
        <v>0</v>
      </c>
      <c r="BK338" s="19">
        <v>0</v>
      </c>
      <c r="BL338" s="19">
        <v>0</v>
      </c>
      <c r="BM338" s="19">
        <v>0</v>
      </c>
      <c r="BN338" s="19">
        <v>0</v>
      </c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>
        <v>0</v>
      </c>
      <c r="BV338" s="19">
        <v>0</v>
      </c>
      <c r="BW338" s="19">
        <v>0</v>
      </c>
      <c r="BX338" s="19">
        <v>0</v>
      </c>
      <c r="BY338" s="19">
        <v>0</v>
      </c>
      <c r="BZ338" s="19">
        <v>0</v>
      </c>
      <c r="CA338" s="19">
        <v>0</v>
      </c>
      <c r="CB338" s="19">
        <v>0</v>
      </c>
      <c r="CC338" s="19">
        <v>0</v>
      </c>
      <c r="CD338" s="19">
        <v>0</v>
      </c>
      <c r="CE338" s="19">
        <v>0</v>
      </c>
      <c r="CF338" s="19">
        <v>0</v>
      </c>
      <c r="CG338" s="19">
        <v>0</v>
      </c>
      <c r="CH338" s="19">
        <v>0</v>
      </c>
      <c r="CI338" s="19">
        <v>0</v>
      </c>
      <c r="CJ338" s="19">
        <v>0</v>
      </c>
      <c r="CK338" s="19">
        <v>0</v>
      </c>
      <c r="CL338" s="19">
        <v>0</v>
      </c>
      <c r="CM338" s="19">
        <v>0</v>
      </c>
      <c r="CN338" s="19">
        <v>0</v>
      </c>
      <c r="CO338" s="19">
        <v>0</v>
      </c>
      <c r="CP338" s="19">
        <v>0</v>
      </c>
      <c r="CQ338" s="19">
        <v>0</v>
      </c>
      <c r="CR338" s="19">
        <v>0</v>
      </c>
      <c r="CS338" s="19">
        <v>0</v>
      </c>
      <c r="CT338" s="19">
        <v>0</v>
      </c>
      <c r="CU338" s="19">
        <v>0</v>
      </c>
      <c r="CV338" s="19">
        <v>0</v>
      </c>
      <c r="CW338" s="19">
        <v>0</v>
      </c>
      <c r="CX338" s="19">
        <v>0</v>
      </c>
      <c r="CY338" s="19">
        <v>0</v>
      </c>
      <c r="CZ338" s="19">
        <v>0</v>
      </c>
      <c r="DA338" s="19">
        <v>0</v>
      </c>
      <c r="DB338" s="19">
        <v>0</v>
      </c>
      <c r="DC338" s="19">
        <v>0</v>
      </c>
      <c r="DD338" s="19">
        <v>0</v>
      </c>
      <c r="DE338" s="19">
        <v>0</v>
      </c>
      <c r="DF338" s="19">
        <v>0</v>
      </c>
      <c r="DG338" s="19">
        <v>0</v>
      </c>
    </row>
    <row r="339" spans="2:111" x14ac:dyDescent="0.15">
      <c r="B339" s="19" t="str">
        <f t="shared" si="5"/>
        <v>5_女_36</v>
      </c>
      <c r="C339" s="18">
        <v>5</v>
      </c>
      <c r="D339" s="18" t="s">
        <v>2</v>
      </c>
      <c r="E339" s="18">
        <v>36</v>
      </c>
      <c r="F339" s="19">
        <v>3573.7</v>
      </c>
      <c r="G339" s="19">
        <v>8005.8</v>
      </c>
      <c r="H339" s="19">
        <v>13110.3</v>
      </c>
      <c r="I339" s="19">
        <v>18942.599999999999</v>
      </c>
      <c r="J339" s="19">
        <v>24283.599999999999</v>
      </c>
      <c r="K339" s="19">
        <v>24488.6</v>
      </c>
      <c r="L339" s="19">
        <v>24703</v>
      </c>
      <c r="M339" s="19">
        <v>24927.4</v>
      </c>
      <c r="N339" s="19">
        <v>25162.2</v>
      </c>
      <c r="O339" s="19">
        <v>25407.9</v>
      </c>
      <c r="P339" s="19">
        <v>25664.9</v>
      </c>
      <c r="Q339" s="19">
        <v>25933.8</v>
      </c>
      <c r="R339" s="19">
        <v>26215.200000000001</v>
      </c>
      <c r="S339" s="19">
        <v>26509.7</v>
      </c>
      <c r="T339" s="19">
        <v>26817.8</v>
      </c>
      <c r="U339" s="19">
        <v>27140.3</v>
      </c>
      <c r="V339" s="19">
        <v>27477.7</v>
      </c>
      <c r="W339" s="19">
        <v>27830.9</v>
      </c>
      <c r="X339" s="19">
        <v>28200.5</v>
      </c>
      <c r="Y339" s="19">
        <v>28587.5</v>
      </c>
      <c r="Z339" s="19">
        <v>28992.7</v>
      </c>
      <c r="AA339" s="19">
        <v>29417</v>
      </c>
      <c r="AB339" s="19">
        <v>29861.4</v>
      </c>
      <c r="AC339" s="19">
        <v>29327.1</v>
      </c>
      <c r="AD339" s="19">
        <v>0</v>
      </c>
      <c r="AE339" s="19">
        <v>0</v>
      </c>
      <c r="AF339" s="19">
        <v>0</v>
      </c>
      <c r="AG339" s="19">
        <v>0</v>
      </c>
      <c r="AH339" s="19">
        <v>0</v>
      </c>
      <c r="AI339" s="19">
        <v>0</v>
      </c>
      <c r="AJ339" s="19">
        <v>0</v>
      </c>
      <c r="AK339" s="19">
        <v>0</v>
      </c>
      <c r="AL339" s="19">
        <v>0</v>
      </c>
      <c r="AM339" s="19">
        <v>0</v>
      </c>
      <c r="AN339" s="19">
        <v>0</v>
      </c>
      <c r="AO339" s="19">
        <v>0</v>
      </c>
      <c r="AP339" s="19">
        <v>0</v>
      </c>
      <c r="AQ339" s="19">
        <v>0</v>
      </c>
      <c r="AR339" s="19">
        <v>0</v>
      </c>
      <c r="AS339" s="19">
        <v>0</v>
      </c>
      <c r="AT339" s="19">
        <v>0</v>
      </c>
      <c r="AU339" s="19">
        <v>0</v>
      </c>
      <c r="AV339" s="19">
        <v>0</v>
      </c>
      <c r="AW339" s="19">
        <v>0</v>
      </c>
      <c r="AX339" s="19">
        <v>0</v>
      </c>
      <c r="AY339" s="19">
        <v>0</v>
      </c>
      <c r="AZ339" s="19">
        <v>0</v>
      </c>
      <c r="BA339" s="19">
        <v>0</v>
      </c>
      <c r="BB339" s="19">
        <v>0</v>
      </c>
      <c r="BC339" s="19">
        <v>0</v>
      </c>
      <c r="BD339" s="19">
        <v>0</v>
      </c>
      <c r="BE339" s="19">
        <v>0</v>
      </c>
      <c r="BF339" s="19">
        <v>0</v>
      </c>
      <c r="BG339" s="19">
        <v>0</v>
      </c>
      <c r="BH339" s="19">
        <v>0</v>
      </c>
      <c r="BI339" s="19">
        <v>0</v>
      </c>
      <c r="BJ339" s="19">
        <v>0</v>
      </c>
      <c r="BK339" s="19">
        <v>0</v>
      </c>
      <c r="BL339" s="19">
        <v>0</v>
      </c>
      <c r="BM339" s="19">
        <v>0</v>
      </c>
      <c r="BN339" s="19">
        <v>0</v>
      </c>
      <c r="BO339" s="19">
        <v>0</v>
      </c>
      <c r="BP339" s="19">
        <v>0</v>
      </c>
      <c r="BQ339" s="19">
        <v>0</v>
      </c>
      <c r="BR339" s="19">
        <v>0</v>
      </c>
      <c r="BS339" s="19">
        <v>0</v>
      </c>
      <c r="BT339" s="19">
        <v>0</v>
      </c>
      <c r="BU339" s="19">
        <v>0</v>
      </c>
      <c r="BV339" s="19">
        <v>0</v>
      </c>
      <c r="BW339" s="19">
        <v>0</v>
      </c>
      <c r="BX339" s="19">
        <v>0</v>
      </c>
      <c r="BY339" s="19">
        <v>0</v>
      </c>
      <c r="BZ339" s="19">
        <v>0</v>
      </c>
      <c r="CA339" s="19">
        <v>0</v>
      </c>
      <c r="CB339" s="19">
        <v>0</v>
      </c>
      <c r="CC339" s="19">
        <v>0</v>
      </c>
      <c r="CD339" s="19">
        <v>0</v>
      </c>
      <c r="CE339" s="19">
        <v>0</v>
      </c>
      <c r="CF339" s="19">
        <v>0</v>
      </c>
      <c r="CG339" s="19">
        <v>0</v>
      </c>
      <c r="CH339" s="19">
        <v>0</v>
      </c>
      <c r="CI339" s="19">
        <v>0</v>
      </c>
      <c r="CJ339" s="19">
        <v>0</v>
      </c>
      <c r="CK339" s="19">
        <v>0</v>
      </c>
      <c r="CL339" s="19">
        <v>0</v>
      </c>
      <c r="CM339" s="19">
        <v>0</v>
      </c>
      <c r="CN339" s="19">
        <v>0</v>
      </c>
      <c r="CO339" s="19">
        <v>0</v>
      </c>
      <c r="CP339" s="19">
        <v>0</v>
      </c>
      <c r="CQ339" s="19">
        <v>0</v>
      </c>
      <c r="CR339" s="19">
        <v>0</v>
      </c>
      <c r="CS339" s="19">
        <v>0</v>
      </c>
      <c r="CT339" s="19">
        <v>0</v>
      </c>
      <c r="CU339" s="19">
        <v>0</v>
      </c>
      <c r="CV339" s="19">
        <v>0</v>
      </c>
      <c r="CW339" s="19">
        <v>0</v>
      </c>
      <c r="CX339" s="19">
        <v>0</v>
      </c>
      <c r="CY339" s="19">
        <v>0</v>
      </c>
      <c r="CZ339" s="19">
        <v>0</v>
      </c>
      <c r="DA339" s="19">
        <v>0</v>
      </c>
      <c r="DB339" s="19">
        <v>0</v>
      </c>
      <c r="DC339" s="19">
        <v>0</v>
      </c>
      <c r="DD339" s="19">
        <v>0</v>
      </c>
      <c r="DE339" s="19">
        <v>0</v>
      </c>
      <c r="DF339" s="19">
        <v>0</v>
      </c>
      <c r="DG339" s="19">
        <v>0</v>
      </c>
    </row>
    <row r="340" spans="2:111" x14ac:dyDescent="0.15">
      <c r="B340" s="19" t="str">
        <f t="shared" si="5"/>
        <v>5_女_37</v>
      </c>
      <c r="C340" s="18">
        <v>5</v>
      </c>
      <c r="D340" s="18" t="s">
        <v>2</v>
      </c>
      <c r="E340" s="18">
        <v>37</v>
      </c>
      <c r="F340" s="19">
        <v>3603.1</v>
      </c>
      <c r="G340" s="19">
        <v>8071.4</v>
      </c>
      <c r="H340" s="19">
        <v>13217.6</v>
      </c>
      <c r="I340" s="19">
        <v>19097.400000000001</v>
      </c>
      <c r="J340" s="19">
        <v>24489.9</v>
      </c>
      <c r="K340" s="19">
        <v>24704.400000000001</v>
      </c>
      <c r="L340" s="19">
        <v>24928.799999999999</v>
      </c>
      <c r="M340" s="19">
        <v>25163.599999999999</v>
      </c>
      <c r="N340" s="19">
        <v>25409.200000000001</v>
      </c>
      <c r="O340" s="19">
        <v>25666.2</v>
      </c>
      <c r="P340" s="19">
        <v>25935.200000000001</v>
      </c>
      <c r="Q340" s="19">
        <v>26216.5</v>
      </c>
      <c r="R340" s="19">
        <v>26511</v>
      </c>
      <c r="S340" s="19">
        <v>26819</v>
      </c>
      <c r="T340" s="19">
        <v>27141.4</v>
      </c>
      <c r="U340" s="19">
        <v>27478.799999999999</v>
      </c>
      <c r="V340" s="19">
        <v>27831.9</v>
      </c>
      <c r="W340" s="19">
        <v>28201.4</v>
      </c>
      <c r="X340" s="19">
        <v>28588.3</v>
      </c>
      <c r="Y340" s="19">
        <v>28993.3</v>
      </c>
      <c r="Z340" s="19">
        <v>29417.4</v>
      </c>
      <c r="AA340" s="19">
        <v>29861.599999999999</v>
      </c>
      <c r="AB340" s="19">
        <v>29327.1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19">
        <v>0</v>
      </c>
      <c r="AM340" s="19">
        <v>0</v>
      </c>
      <c r="AN340" s="19">
        <v>0</v>
      </c>
      <c r="AO340" s="19">
        <v>0</v>
      </c>
      <c r="AP340" s="19">
        <v>0</v>
      </c>
      <c r="AQ340" s="19">
        <v>0</v>
      </c>
      <c r="AR340" s="19">
        <v>0</v>
      </c>
      <c r="AS340" s="19">
        <v>0</v>
      </c>
      <c r="AT340" s="19">
        <v>0</v>
      </c>
      <c r="AU340" s="19">
        <v>0</v>
      </c>
      <c r="AV340" s="19">
        <v>0</v>
      </c>
      <c r="AW340" s="19">
        <v>0</v>
      </c>
      <c r="AX340" s="19">
        <v>0</v>
      </c>
      <c r="AY340" s="19">
        <v>0</v>
      </c>
      <c r="AZ340" s="19">
        <v>0</v>
      </c>
      <c r="BA340" s="19">
        <v>0</v>
      </c>
      <c r="BB340" s="19">
        <v>0</v>
      </c>
      <c r="BC340" s="19">
        <v>0</v>
      </c>
      <c r="BD340" s="19">
        <v>0</v>
      </c>
      <c r="BE340" s="19">
        <v>0</v>
      </c>
      <c r="BF340" s="19">
        <v>0</v>
      </c>
      <c r="BG340" s="19">
        <v>0</v>
      </c>
      <c r="BH340" s="19">
        <v>0</v>
      </c>
      <c r="BI340" s="19">
        <v>0</v>
      </c>
      <c r="BJ340" s="19">
        <v>0</v>
      </c>
      <c r="BK340" s="19">
        <v>0</v>
      </c>
      <c r="BL340" s="19">
        <v>0</v>
      </c>
      <c r="BM340" s="19">
        <v>0</v>
      </c>
      <c r="BN340" s="19">
        <v>0</v>
      </c>
      <c r="BO340" s="19">
        <v>0</v>
      </c>
      <c r="BP340" s="19">
        <v>0</v>
      </c>
      <c r="BQ340" s="19">
        <v>0</v>
      </c>
      <c r="BR340" s="19">
        <v>0</v>
      </c>
      <c r="BS340" s="19">
        <v>0</v>
      </c>
      <c r="BT340" s="19">
        <v>0</v>
      </c>
      <c r="BU340" s="19">
        <v>0</v>
      </c>
      <c r="BV340" s="19">
        <v>0</v>
      </c>
      <c r="BW340" s="19">
        <v>0</v>
      </c>
      <c r="BX340" s="19">
        <v>0</v>
      </c>
      <c r="BY340" s="19">
        <v>0</v>
      </c>
      <c r="BZ340" s="19">
        <v>0</v>
      </c>
      <c r="CA340" s="19">
        <v>0</v>
      </c>
      <c r="CB340" s="19">
        <v>0</v>
      </c>
      <c r="CC340" s="19">
        <v>0</v>
      </c>
      <c r="CD340" s="19">
        <v>0</v>
      </c>
      <c r="CE340" s="19">
        <v>0</v>
      </c>
      <c r="CF340" s="19">
        <v>0</v>
      </c>
      <c r="CG340" s="19">
        <v>0</v>
      </c>
      <c r="CH340" s="19">
        <v>0</v>
      </c>
      <c r="CI340" s="19">
        <v>0</v>
      </c>
      <c r="CJ340" s="19">
        <v>0</v>
      </c>
      <c r="CK340" s="19">
        <v>0</v>
      </c>
      <c r="CL340" s="19">
        <v>0</v>
      </c>
      <c r="CM340" s="19">
        <v>0</v>
      </c>
      <c r="CN340" s="19">
        <v>0</v>
      </c>
      <c r="CO340" s="19">
        <v>0</v>
      </c>
      <c r="CP340" s="19">
        <v>0</v>
      </c>
      <c r="CQ340" s="19">
        <v>0</v>
      </c>
      <c r="CR340" s="19">
        <v>0</v>
      </c>
      <c r="CS340" s="19">
        <v>0</v>
      </c>
      <c r="CT340" s="19">
        <v>0</v>
      </c>
      <c r="CU340" s="19">
        <v>0</v>
      </c>
      <c r="CV340" s="19">
        <v>0</v>
      </c>
      <c r="CW340" s="19">
        <v>0</v>
      </c>
      <c r="CX340" s="19">
        <v>0</v>
      </c>
      <c r="CY340" s="19">
        <v>0</v>
      </c>
      <c r="CZ340" s="19">
        <v>0</v>
      </c>
      <c r="DA340" s="19">
        <v>0</v>
      </c>
      <c r="DB340" s="19">
        <v>0</v>
      </c>
      <c r="DC340" s="19">
        <v>0</v>
      </c>
      <c r="DD340" s="19">
        <v>0</v>
      </c>
      <c r="DE340" s="19">
        <v>0</v>
      </c>
      <c r="DF340" s="19">
        <v>0</v>
      </c>
      <c r="DG340" s="19">
        <v>0</v>
      </c>
    </row>
    <row r="341" spans="2:111" x14ac:dyDescent="0.15">
      <c r="B341" s="19" t="str">
        <f t="shared" si="5"/>
        <v>5_女_38</v>
      </c>
      <c r="C341" s="18">
        <v>5</v>
      </c>
      <c r="D341" s="18" t="s">
        <v>2</v>
      </c>
      <c r="E341" s="18">
        <v>38</v>
      </c>
      <c r="F341" s="19">
        <v>3633.8</v>
      </c>
      <c r="G341" s="19">
        <v>8140.1</v>
      </c>
      <c r="H341" s="19">
        <v>13329.9</v>
      </c>
      <c r="I341" s="19">
        <v>19259.400000000001</v>
      </c>
      <c r="J341" s="19">
        <v>24705.8</v>
      </c>
      <c r="K341" s="19">
        <v>24930.2</v>
      </c>
      <c r="L341" s="19">
        <v>25165</v>
      </c>
      <c r="M341" s="19">
        <v>25410.6</v>
      </c>
      <c r="N341" s="19">
        <v>25667.599999999999</v>
      </c>
      <c r="O341" s="19">
        <v>25936.5</v>
      </c>
      <c r="P341" s="19">
        <v>26217.9</v>
      </c>
      <c r="Q341" s="19">
        <v>26512.3</v>
      </c>
      <c r="R341" s="19">
        <v>26820.3</v>
      </c>
      <c r="S341" s="19">
        <v>27142.6</v>
      </c>
      <c r="T341" s="19">
        <v>27479.9</v>
      </c>
      <c r="U341" s="19">
        <v>27832.9</v>
      </c>
      <c r="V341" s="19">
        <v>28202.3</v>
      </c>
      <c r="W341" s="19">
        <v>28589</v>
      </c>
      <c r="X341" s="19">
        <v>28993.9</v>
      </c>
      <c r="Y341" s="19">
        <v>29417.8</v>
      </c>
      <c r="Z341" s="19">
        <v>29861.9</v>
      </c>
      <c r="AA341" s="19">
        <v>29327.1</v>
      </c>
      <c r="AB341" s="19">
        <v>0</v>
      </c>
      <c r="AC341" s="19">
        <v>0</v>
      </c>
      <c r="AD341" s="19">
        <v>0</v>
      </c>
      <c r="AE341" s="19">
        <v>0</v>
      </c>
      <c r="AF341" s="19">
        <v>0</v>
      </c>
      <c r="AG341" s="19">
        <v>0</v>
      </c>
      <c r="AH341" s="19">
        <v>0</v>
      </c>
      <c r="AI341" s="19">
        <v>0</v>
      </c>
      <c r="AJ341" s="19">
        <v>0</v>
      </c>
      <c r="AK341" s="19">
        <v>0</v>
      </c>
      <c r="AL341" s="19">
        <v>0</v>
      </c>
      <c r="AM341" s="19">
        <v>0</v>
      </c>
      <c r="AN341" s="19">
        <v>0</v>
      </c>
      <c r="AO341" s="19">
        <v>0</v>
      </c>
      <c r="AP341" s="19">
        <v>0</v>
      </c>
      <c r="AQ341" s="19">
        <v>0</v>
      </c>
      <c r="AR341" s="19">
        <v>0</v>
      </c>
      <c r="AS341" s="19">
        <v>0</v>
      </c>
      <c r="AT341" s="19">
        <v>0</v>
      </c>
      <c r="AU341" s="19">
        <v>0</v>
      </c>
      <c r="AV341" s="19">
        <v>0</v>
      </c>
      <c r="AW341" s="19">
        <v>0</v>
      </c>
      <c r="AX341" s="19">
        <v>0</v>
      </c>
      <c r="AY341" s="19">
        <v>0</v>
      </c>
      <c r="AZ341" s="19">
        <v>0</v>
      </c>
      <c r="BA341" s="19">
        <v>0</v>
      </c>
      <c r="BB341" s="19">
        <v>0</v>
      </c>
      <c r="BC341" s="19">
        <v>0</v>
      </c>
      <c r="BD341" s="19">
        <v>0</v>
      </c>
      <c r="BE341" s="19">
        <v>0</v>
      </c>
      <c r="BF341" s="19">
        <v>0</v>
      </c>
      <c r="BG341" s="19">
        <v>0</v>
      </c>
      <c r="BH341" s="19">
        <v>0</v>
      </c>
      <c r="BI341" s="19">
        <v>0</v>
      </c>
      <c r="BJ341" s="19">
        <v>0</v>
      </c>
      <c r="BK341" s="19">
        <v>0</v>
      </c>
      <c r="BL341" s="19">
        <v>0</v>
      </c>
      <c r="BM341" s="19">
        <v>0</v>
      </c>
      <c r="BN341" s="19">
        <v>0</v>
      </c>
      <c r="BO341" s="19">
        <v>0</v>
      </c>
      <c r="BP341" s="19">
        <v>0</v>
      </c>
      <c r="BQ341" s="19">
        <v>0</v>
      </c>
      <c r="BR341" s="19">
        <v>0</v>
      </c>
      <c r="BS341" s="19">
        <v>0</v>
      </c>
      <c r="BT341" s="19">
        <v>0</v>
      </c>
      <c r="BU341" s="19">
        <v>0</v>
      </c>
      <c r="BV341" s="19">
        <v>0</v>
      </c>
      <c r="BW341" s="19">
        <v>0</v>
      </c>
      <c r="BX341" s="19">
        <v>0</v>
      </c>
      <c r="BY341" s="19">
        <v>0</v>
      </c>
      <c r="BZ341" s="19">
        <v>0</v>
      </c>
      <c r="CA341" s="19">
        <v>0</v>
      </c>
      <c r="CB341" s="19">
        <v>0</v>
      </c>
      <c r="CC341" s="19">
        <v>0</v>
      </c>
      <c r="CD341" s="19">
        <v>0</v>
      </c>
      <c r="CE341" s="19">
        <v>0</v>
      </c>
      <c r="CF341" s="19">
        <v>0</v>
      </c>
      <c r="CG341" s="19">
        <v>0</v>
      </c>
      <c r="CH341" s="19">
        <v>0</v>
      </c>
      <c r="CI341" s="19">
        <v>0</v>
      </c>
      <c r="CJ341" s="19">
        <v>0</v>
      </c>
      <c r="CK341" s="19">
        <v>0</v>
      </c>
      <c r="CL341" s="19">
        <v>0</v>
      </c>
      <c r="CM341" s="19">
        <v>0</v>
      </c>
      <c r="CN341" s="19">
        <v>0</v>
      </c>
      <c r="CO341" s="19">
        <v>0</v>
      </c>
      <c r="CP341" s="19">
        <v>0</v>
      </c>
      <c r="CQ341" s="19">
        <v>0</v>
      </c>
      <c r="CR341" s="19">
        <v>0</v>
      </c>
      <c r="CS341" s="19">
        <v>0</v>
      </c>
      <c r="CT341" s="19">
        <v>0</v>
      </c>
      <c r="CU341" s="19">
        <v>0</v>
      </c>
      <c r="CV341" s="19">
        <v>0</v>
      </c>
      <c r="CW341" s="19">
        <v>0</v>
      </c>
      <c r="CX341" s="19">
        <v>0</v>
      </c>
      <c r="CY341" s="19">
        <v>0</v>
      </c>
      <c r="CZ341" s="19">
        <v>0</v>
      </c>
      <c r="DA341" s="19">
        <v>0</v>
      </c>
      <c r="DB341" s="19">
        <v>0</v>
      </c>
      <c r="DC341" s="19">
        <v>0</v>
      </c>
      <c r="DD341" s="19">
        <v>0</v>
      </c>
      <c r="DE341" s="19">
        <v>0</v>
      </c>
      <c r="DF341" s="19">
        <v>0</v>
      </c>
      <c r="DG341" s="19">
        <v>0</v>
      </c>
    </row>
    <row r="342" spans="2:111" x14ac:dyDescent="0.15">
      <c r="B342" s="19" t="str">
        <f t="shared" si="5"/>
        <v>5_女_39</v>
      </c>
      <c r="C342" s="18">
        <v>5</v>
      </c>
      <c r="D342" s="18" t="s">
        <v>2</v>
      </c>
      <c r="E342" s="18">
        <v>39</v>
      </c>
      <c r="F342" s="19">
        <v>3665.9</v>
      </c>
      <c r="G342" s="19">
        <v>8212</v>
      </c>
      <c r="H342" s="19">
        <v>13447.4</v>
      </c>
      <c r="I342" s="19">
        <v>19428.900000000001</v>
      </c>
      <c r="J342" s="19">
        <v>24931.7</v>
      </c>
      <c r="K342" s="19">
        <v>25166.5</v>
      </c>
      <c r="L342" s="19">
        <v>25412.1</v>
      </c>
      <c r="M342" s="19">
        <v>25669.1</v>
      </c>
      <c r="N342" s="19">
        <v>25938</v>
      </c>
      <c r="O342" s="19">
        <v>26219.3</v>
      </c>
      <c r="P342" s="19">
        <v>26513.599999999999</v>
      </c>
      <c r="Q342" s="19">
        <v>26821.599999999999</v>
      </c>
      <c r="R342" s="19">
        <v>27143.9</v>
      </c>
      <c r="S342" s="19">
        <v>27481.1</v>
      </c>
      <c r="T342" s="19">
        <v>27833.9</v>
      </c>
      <c r="U342" s="19">
        <v>28203.3</v>
      </c>
      <c r="V342" s="19">
        <v>28589.8</v>
      </c>
      <c r="W342" s="19">
        <v>28994.5</v>
      </c>
      <c r="X342" s="19">
        <v>29418.3</v>
      </c>
      <c r="Y342" s="19">
        <v>29862.1</v>
      </c>
      <c r="Z342" s="19">
        <v>29327.1</v>
      </c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>
        <v>0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>
        <v>0</v>
      </c>
      <c r="AS342" s="19">
        <v>0</v>
      </c>
      <c r="AT342" s="19">
        <v>0</v>
      </c>
      <c r="AU342" s="19">
        <v>0</v>
      </c>
      <c r="AV342" s="19">
        <v>0</v>
      </c>
      <c r="AW342" s="19">
        <v>0</v>
      </c>
      <c r="AX342" s="19">
        <v>0</v>
      </c>
      <c r="AY342" s="19">
        <v>0</v>
      </c>
      <c r="AZ342" s="19">
        <v>0</v>
      </c>
      <c r="BA342" s="19">
        <v>0</v>
      </c>
      <c r="BB342" s="19">
        <v>0</v>
      </c>
      <c r="BC342" s="19">
        <v>0</v>
      </c>
      <c r="BD342" s="19">
        <v>0</v>
      </c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>
        <v>0</v>
      </c>
      <c r="BM342" s="19">
        <v>0</v>
      </c>
      <c r="BN342" s="19">
        <v>0</v>
      </c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>
        <v>0</v>
      </c>
      <c r="BV342" s="19">
        <v>0</v>
      </c>
      <c r="BW342" s="19">
        <v>0</v>
      </c>
      <c r="BX342" s="19">
        <v>0</v>
      </c>
      <c r="BY342" s="19">
        <v>0</v>
      </c>
      <c r="BZ342" s="19">
        <v>0</v>
      </c>
      <c r="CA342" s="19">
        <v>0</v>
      </c>
      <c r="CB342" s="19">
        <v>0</v>
      </c>
      <c r="CC342" s="19">
        <v>0</v>
      </c>
      <c r="CD342" s="19">
        <v>0</v>
      </c>
      <c r="CE342" s="19">
        <v>0</v>
      </c>
      <c r="CF342" s="19">
        <v>0</v>
      </c>
      <c r="CG342" s="19">
        <v>0</v>
      </c>
      <c r="CH342" s="19">
        <v>0</v>
      </c>
      <c r="CI342" s="19">
        <v>0</v>
      </c>
      <c r="CJ342" s="19">
        <v>0</v>
      </c>
      <c r="CK342" s="19">
        <v>0</v>
      </c>
      <c r="CL342" s="19">
        <v>0</v>
      </c>
      <c r="CM342" s="19">
        <v>0</v>
      </c>
      <c r="CN342" s="19">
        <v>0</v>
      </c>
      <c r="CO342" s="19">
        <v>0</v>
      </c>
      <c r="CP342" s="19">
        <v>0</v>
      </c>
      <c r="CQ342" s="19">
        <v>0</v>
      </c>
      <c r="CR342" s="19">
        <v>0</v>
      </c>
      <c r="CS342" s="19">
        <v>0</v>
      </c>
      <c r="CT342" s="19">
        <v>0</v>
      </c>
      <c r="CU342" s="19">
        <v>0</v>
      </c>
      <c r="CV342" s="19">
        <v>0</v>
      </c>
      <c r="CW342" s="19">
        <v>0</v>
      </c>
      <c r="CX342" s="19">
        <v>0</v>
      </c>
      <c r="CY342" s="19">
        <v>0</v>
      </c>
      <c r="CZ342" s="19">
        <v>0</v>
      </c>
      <c r="DA342" s="19">
        <v>0</v>
      </c>
      <c r="DB342" s="19">
        <v>0</v>
      </c>
      <c r="DC342" s="19">
        <v>0</v>
      </c>
      <c r="DD342" s="19">
        <v>0</v>
      </c>
      <c r="DE342" s="19">
        <v>0</v>
      </c>
      <c r="DF342" s="19">
        <v>0</v>
      </c>
      <c r="DG342" s="19">
        <v>0</v>
      </c>
    </row>
    <row r="343" spans="2:111" x14ac:dyDescent="0.15">
      <c r="B343" s="19" t="str">
        <f t="shared" si="5"/>
        <v>5_女_40</v>
      </c>
      <c r="C343" s="18">
        <v>5</v>
      </c>
      <c r="D343" s="18" t="s">
        <v>2</v>
      </c>
      <c r="E343" s="18">
        <v>40</v>
      </c>
      <c r="F343" s="19">
        <v>3699.6</v>
      </c>
      <c r="G343" s="19">
        <v>8287.1</v>
      </c>
      <c r="H343" s="19">
        <v>13570.3</v>
      </c>
      <c r="I343" s="19">
        <v>19606.2</v>
      </c>
      <c r="J343" s="19">
        <v>25167.9</v>
      </c>
      <c r="K343" s="19">
        <v>25413.599999999999</v>
      </c>
      <c r="L343" s="19">
        <v>25670.6</v>
      </c>
      <c r="M343" s="19">
        <v>25939.4</v>
      </c>
      <c r="N343" s="19">
        <v>26220.7</v>
      </c>
      <c r="O343" s="19">
        <v>26515</v>
      </c>
      <c r="P343" s="19">
        <v>26822.9</v>
      </c>
      <c r="Q343" s="19">
        <v>27145.1</v>
      </c>
      <c r="R343" s="19">
        <v>27482.2</v>
      </c>
      <c r="S343" s="19">
        <v>27835</v>
      </c>
      <c r="T343" s="19">
        <v>28204.2</v>
      </c>
      <c r="U343" s="19">
        <v>28590.7</v>
      </c>
      <c r="V343" s="19">
        <v>28995.200000000001</v>
      </c>
      <c r="W343" s="19">
        <v>29418.799999999999</v>
      </c>
      <c r="X343" s="19">
        <v>29862.400000000001</v>
      </c>
      <c r="Y343" s="19">
        <v>29327.1</v>
      </c>
      <c r="Z343" s="19">
        <v>0</v>
      </c>
      <c r="AA343" s="19">
        <v>0</v>
      </c>
      <c r="AB343" s="19">
        <v>0</v>
      </c>
      <c r="AC343" s="19">
        <v>0</v>
      </c>
      <c r="AD343" s="19">
        <v>0</v>
      </c>
      <c r="AE343" s="19">
        <v>0</v>
      </c>
      <c r="AF343" s="19">
        <v>0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v>0</v>
      </c>
      <c r="AO343" s="19">
        <v>0</v>
      </c>
      <c r="AP343" s="19">
        <v>0</v>
      </c>
      <c r="AQ343" s="19">
        <v>0</v>
      </c>
      <c r="AR343" s="19">
        <v>0</v>
      </c>
      <c r="AS343" s="19">
        <v>0</v>
      </c>
      <c r="AT343" s="19">
        <v>0</v>
      </c>
      <c r="AU343" s="19">
        <v>0</v>
      </c>
      <c r="AV343" s="19">
        <v>0</v>
      </c>
      <c r="AW343" s="19">
        <v>0</v>
      </c>
      <c r="AX343" s="19">
        <v>0</v>
      </c>
      <c r="AY343" s="19">
        <v>0</v>
      </c>
      <c r="AZ343" s="19">
        <v>0</v>
      </c>
      <c r="BA343" s="19">
        <v>0</v>
      </c>
      <c r="BB343" s="19">
        <v>0</v>
      </c>
      <c r="BC343" s="19">
        <v>0</v>
      </c>
      <c r="BD343" s="19">
        <v>0</v>
      </c>
      <c r="BE343" s="19">
        <v>0</v>
      </c>
      <c r="BF343" s="19">
        <v>0</v>
      </c>
      <c r="BG343" s="19">
        <v>0</v>
      </c>
      <c r="BH343" s="19">
        <v>0</v>
      </c>
      <c r="BI343" s="19">
        <v>0</v>
      </c>
      <c r="BJ343" s="19">
        <v>0</v>
      </c>
      <c r="BK343" s="19">
        <v>0</v>
      </c>
      <c r="BL343" s="19">
        <v>0</v>
      </c>
      <c r="BM343" s="19">
        <v>0</v>
      </c>
      <c r="BN343" s="19">
        <v>0</v>
      </c>
      <c r="BO343" s="19">
        <v>0</v>
      </c>
      <c r="BP343" s="19">
        <v>0</v>
      </c>
      <c r="BQ343" s="19">
        <v>0</v>
      </c>
      <c r="BR343" s="19">
        <v>0</v>
      </c>
      <c r="BS343" s="19">
        <v>0</v>
      </c>
      <c r="BT343" s="19">
        <v>0</v>
      </c>
      <c r="BU343" s="19">
        <v>0</v>
      </c>
      <c r="BV343" s="19">
        <v>0</v>
      </c>
      <c r="BW343" s="19">
        <v>0</v>
      </c>
      <c r="BX343" s="19">
        <v>0</v>
      </c>
      <c r="BY343" s="19">
        <v>0</v>
      </c>
      <c r="BZ343" s="19">
        <v>0</v>
      </c>
      <c r="CA343" s="19">
        <v>0</v>
      </c>
      <c r="CB343" s="19">
        <v>0</v>
      </c>
      <c r="CC343" s="19">
        <v>0</v>
      </c>
      <c r="CD343" s="19">
        <v>0</v>
      </c>
      <c r="CE343" s="19">
        <v>0</v>
      </c>
      <c r="CF343" s="19">
        <v>0</v>
      </c>
      <c r="CG343" s="19">
        <v>0</v>
      </c>
      <c r="CH343" s="19">
        <v>0</v>
      </c>
      <c r="CI343" s="19">
        <v>0</v>
      </c>
      <c r="CJ343" s="19">
        <v>0</v>
      </c>
      <c r="CK343" s="19">
        <v>0</v>
      </c>
      <c r="CL343" s="19">
        <v>0</v>
      </c>
      <c r="CM343" s="19">
        <v>0</v>
      </c>
      <c r="CN343" s="19">
        <v>0</v>
      </c>
      <c r="CO343" s="19">
        <v>0</v>
      </c>
      <c r="CP343" s="19">
        <v>0</v>
      </c>
      <c r="CQ343" s="19">
        <v>0</v>
      </c>
      <c r="CR343" s="19">
        <v>0</v>
      </c>
      <c r="CS343" s="19">
        <v>0</v>
      </c>
      <c r="CT343" s="19">
        <v>0</v>
      </c>
      <c r="CU343" s="19">
        <v>0</v>
      </c>
      <c r="CV343" s="19">
        <v>0</v>
      </c>
      <c r="CW343" s="19">
        <v>0</v>
      </c>
      <c r="CX343" s="19">
        <v>0</v>
      </c>
      <c r="CY343" s="19">
        <v>0</v>
      </c>
      <c r="CZ343" s="19">
        <v>0</v>
      </c>
      <c r="DA343" s="19">
        <v>0</v>
      </c>
      <c r="DB343" s="19">
        <v>0</v>
      </c>
      <c r="DC343" s="19">
        <v>0</v>
      </c>
      <c r="DD343" s="19">
        <v>0</v>
      </c>
      <c r="DE343" s="19">
        <v>0</v>
      </c>
      <c r="DF343" s="19">
        <v>0</v>
      </c>
      <c r="DG343" s="19">
        <v>0</v>
      </c>
    </row>
    <row r="344" spans="2:111" x14ac:dyDescent="0.15">
      <c r="B344" s="19" t="str">
        <f t="shared" si="5"/>
        <v>5_女_41</v>
      </c>
      <c r="C344" s="18">
        <v>5</v>
      </c>
      <c r="D344" s="18" t="s">
        <v>2</v>
      </c>
      <c r="E344" s="18">
        <v>41</v>
      </c>
      <c r="F344" s="19">
        <v>3734.7</v>
      </c>
      <c r="G344" s="19">
        <v>8365.7999999999993</v>
      </c>
      <c r="H344" s="19">
        <v>13698.9</v>
      </c>
      <c r="I344" s="19">
        <v>19791.7</v>
      </c>
      <c r="J344" s="19">
        <v>25415.1</v>
      </c>
      <c r="K344" s="19">
        <v>25672.1</v>
      </c>
      <c r="L344" s="19">
        <v>25940.9</v>
      </c>
      <c r="M344" s="19">
        <v>26222.2</v>
      </c>
      <c r="N344" s="19">
        <v>26516.400000000001</v>
      </c>
      <c r="O344" s="19">
        <v>26824.3</v>
      </c>
      <c r="P344" s="19">
        <v>27146.400000000001</v>
      </c>
      <c r="Q344" s="19">
        <v>27483.5</v>
      </c>
      <c r="R344" s="19">
        <v>27836.1</v>
      </c>
      <c r="S344" s="19">
        <v>28205.200000000001</v>
      </c>
      <c r="T344" s="19">
        <v>28591.5</v>
      </c>
      <c r="U344" s="19">
        <v>28995.9</v>
      </c>
      <c r="V344" s="19">
        <v>29419.3</v>
      </c>
      <c r="W344" s="19">
        <v>29862.6</v>
      </c>
      <c r="X344" s="19">
        <v>29327.1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19">
        <v>0</v>
      </c>
      <c r="AE344" s="19">
        <v>0</v>
      </c>
      <c r="AF344" s="19">
        <v>0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19">
        <v>0</v>
      </c>
      <c r="AM344" s="19">
        <v>0</v>
      </c>
      <c r="AN344" s="19">
        <v>0</v>
      </c>
      <c r="AO344" s="19">
        <v>0</v>
      </c>
      <c r="AP344" s="19">
        <v>0</v>
      </c>
      <c r="AQ344" s="19">
        <v>0</v>
      </c>
      <c r="AR344" s="19">
        <v>0</v>
      </c>
      <c r="AS344" s="19">
        <v>0</v>
      </c>
      <c r="AT344" s="19">
        <v>0</v>
      </c>
      <c r="AU344" s="19">
        <v>0</v>
      </c>
      <c r="AV344" s="19">
        <v>0</v>
      </c>
      <c r="AW344" s="19">
        <v>0</v>
      </c>
      <c r="AX344" s="19">
        <v>0</v>
      </c>
      <c r="AY344" s="19">
        <v>0</v>
      </c>
      <c r="AZ344" s="19">
        <v>0</v>
      </c>
      <c r="BA344" s="19">
        <v>0</v>
      </c>
      <c r="BB344" s="19">
        <v>0</v>
      </c>
      <c r="BC344" s="19">
        <v>0</v>
      </c>
      <c r="BD344" s="19">
        <v>0</v>
      </c>
      <c r="BE344" s="19">
        <v>0</v>
      </c>
      <c r="BF344" s="19">
        <v>0</v>
      </c>
      <c r="BG344" s="19">
        <v>0</v>
      </c>
      <c r="BH344" s="19">
        <v>0</v>
      </c>
      <c r="BI344" s="19">
        <v>0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  <c r="BP344" s="19">
        <v>0</v>
      </c>
      <c r="BQ344" s="19">
        <v>0</v>
      </c>
      <c r="BR344" s="19">
        <v>0</v>
      </c>
      <c r="BS344" s="19">
        <v>0</v>
      </c>
      <c r="BT344" s="19">
        <v>0</v>
      </c>
      <c r="BU344" s="19">
        <v>0</v>
      </c>
      <c r="BV344" s="19">
        <v>0</v>
      </c>
      <c r="BW344" s="19">
        <v>0</v>
      </c>
      <c r="BX344" s="19">
        <v>0</v>
      </c>
      <c r="BY344" s="19">
        <v>0</v>
      </c>
      <c r="BZ344" s="19">
        <v>0</v>
      </c>
      <c r="CA344" s="19">
        <v>0</v>
      </c>
      <c r="CB344" s="19">
        <v>0</v>
      </c>
      <c r="CC344" s="19">
        <v>0</v>
      </c>
      <c r="CD344" s="19">
        <v>0</v>
      </c>
      <c r="CE344" s="19">
        <v>0</v>
      </c>
      <c r="CF344" s="19">
        <v>0</v>
      </c>
      <c r="CG344" s="19">
        <v>0</v>
      </c>
      <c r="CH344" s="19">
        <v>0</v>
      </c>
      <c r="CI344" s="19">
        <v>0</v>
      </c>
      <c r="CJ344" s="19">
        <v>0</v>
      </c>
      <c r="CK344" s="19">
        <v>0</v>
      </c>
      <c r="CL344" s="19">
        <v>0</v>
      </c>
      <c r="CM344" s="19">
        <v>0</v>
      </c>
      <c r="CN344" s="19">
        <v>0</v>
      </c>
      <c r="CO344" s="19">
        <v>0</v>
      </c>
      <c r="CP344" s="19">
        <v>0</v>
      </c>
      <c r="CQ344" s="19">
        <v>0</v>
      </c>
      <c r="CR344" s="19">
        <v>0</v>
      </c>
      <c r="CS344" s="19">
        <v>0</v>
      </c>
      <c r="CT344" s="19">
        <v>0</v>
      </c>
      <c r="CU344" s="19">
        <v>0</v>
      </c>
      <c r="CV344" s="19">
        <v>0</v>
      </c>
      <c r="CW344" s="19">
        <v>0</v>
      </c>
      <c r="CX344" s="19">
        <v>0</v>
      </c>
      <c r="CY344" s="19">
        <v>0</v>
      </c>
      <c r="CZ344" s="19">
        <v>0</v>
      </c>
      <c r="DA344" s="19">
        <v>0</v>
      </c>
      <c r="DB344" s="19">
        <v>0</v>
      </c>
      <c r="DC344" s="19">
        <v>0</v>
      </c>
      <c r="DD344" s="19">
        <v>0</v>
      </c>
      <c r="DE344" s="19">
        <v>0</v>
      </c>
      <c r="DF344" s="19">
        <v>0</v>
      </c>
      <c r="DG344" s="19">
        <v>0</v>
      </c>
    </row>
    <row r="345" spans="2:111" x14ac:dyDescent="0.15">
      <c r="B345" s="19" t="str">
        <f t="shared" si="5"/>
        <v>5_女_42</v>
      </c>
      <c r="C345" s="18">
        <v>5</v>
      </c>
      <c r="D345" s="18" t="s">
        <v>2</v>
      </c>
      <c r="E345" s="18">
        <v>42</v>
      </c>
      <c r="F345" s="19">
        <v>3771.5</v>
      </c>
      <c r="G345" s="19">
        <v>8448.1</v>
      </c>
      <c r="H345" s="19">
        <v>13833.3</v>
      </c>
      <c r="I345" s="19">
        <v>19985.7</v>
      </c>
      <c r="J345" s="19">
        <v>25673.599999999999</v>
      </c>
      <c r="K345" s="19">
        <v>25942.400000000001</v>
      </c>
      <c r="L345" s="19">
        <v>26223.7</v>
      </c>
      <c r="M345" s="19">
        <v>26517.9</v>
      </c>
      <c r="N345" s="19">
        <v>26825.7</v>
      </c>
      <c r="O345" s="19">
        <v>27147.8</v>
      </c>
      <c r="P345" s="19">
        <v>27484.7</v>
      </c>
      <c r="Q345" s="19">
        <v>27837.3</v>
      </c>
      <c r="R345" s="19">
        <v>28206.3</v>
      </c>
      <c r="S345" s="19">
        <v>28592.400000000001</v>
      </c>
      <c r="T345" s="19">
        <v>28996.6</v>
      </c>
      <c r="U345" s="19">
        <v>29419.8</v>
      </c>
      <c r="V345" s="19">
        <v>29862.9</v>
      </c>
      <c r="W345" s="19">
        <v>29327.1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0</v>
      </c>
      <c r="AD345" s="19">
        <v>0</v>
      </c>
      <c r="AE345" s="19">
        <v>0</v>
      </c>
      <c r="AF345" s="19">
        <v>0</v>
      </c>
      <c r="AG345" s="19">
        <v>0</v>
      </c>
      <c r="AH345" s="19">
        <v>0</v>
      </c>
      <c r="AI345" s="19">
        <v>0</v>
      </c>
      <c r="AJ345" s="19">
        <v>0</v>
      </c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>
        <v>0</v>
      </c>
      <c r="AS345" s="19">
        <v>0</v>
      </c>
      <c r="AT345" s="19">
        <v>0</v>
      </c>
      <c r="AU345" s="19">
        <v>0</v>
      </c>
      <c r="AV345" s="19">
        <v>0</v>
      </c>
      <c r="AW345" s="19">
        <v>0</v>
      </c>
      <c r="AX345" s="19">
        <v>0</v>
      </c>
      <c r="AY345" s="19">
        <v>0</v>
      </c>
      <c r="AZ345" s="19">
        <v>0</v>
      </c>
      <c r="BA345" s="19">
        <v>0</v>
      </c>
      <c r="BB345" s="19">
        <v>0</v>
      </c>
      <c r="BC345" s="19">
        <v>0</v>
      </c>
      <c r="BD345" s="19">
        <v>0</v>
      </c>
      <c r="BE345" s="19">
        <v>0</v>
      </c>
      <c r="BF345" s="19">
        <v>0</v>
      </c>
      <c r="BG345" s="19">
        <v>0</v>
      </c>
      <c r="BH345" s="19">
        <v>0</v>
      </c>
      <c r="BI345" s="19">
        <v>0</v>
      </c>
      <c r="BJ345" s="19">
        <v>0</v>
      </c>
      <c r="BK345" s="19">
        <v>0</v>
      </c>
      <c r="BL345" s="19">
        <v>0</v>
      </c>
      <c r="BM345" s="19">
        <v>0</v>
      </c>
      <c r="BN345" s="19">
        <v>0</v>
      </c>
      <c r="BO345" s="19">
        <v>0</v>
      </c>
      <c r="BP345" s="19">
        <v>0</v>
      </c>
      <c r="BQ345" s="19">
        <v>0</v>
      </c>
      <c r="BR345" s="19">
        <v>0</v>
      </c>
      <c r="BS345" s="19">
        <v>0</v>
      </c>
      <c r="BT345" s="19">
        <v>0</v>
      </c>
      <c r="BU345" s="19">
        <v>0</v>
      </c>
      <c r="BV345" s="19">
        <v>0</v>
      </c>
      <c r="BW345" s="19">
        <v>0</v>
      </c>
      <c r="BX345" s="19">
        <v>0</v>
      </c>
      <c r="BY345" s="19">
        <v>0</v>
      </c>
      <c r="BZ345" s="19">
        <v>0</v>
      </c>
      <c r="CA345" s="19">
        <v>0</v>
      </c>
      <c r="CB345" s="19">
        <v>0</v>
      </c>
      <c r="CC345" s="19">
        <v>0</v>
      </c>
      <c r="CD345" s="19">
        <v>0</v>
      </c>
      <c r="CE345" s="19">
        <v>0</v>
      </c>
      <c r="CF345" s="19">
        <v>0</v>
      </c>
      <c r="CG345" s="19">
        <v>0</v>
      </c>
      <c r="CH345" s="19">
        <v>0</v>
      </c>
      <c r="CI345" s="19">
        <v>0</v>
      </c>
      <c r="CJ345" s="19">
        <v>0</v>
      </c>
      <c r="CK345" s="19">
        <v>0</v>
      </c>
      <c r="CL345" s="19">
        <v>0</v>
      </c>
      <c r="CM345" s="19">
        <v>0</v>
      </c>
      <c r="CN345" s="19">
        <v>0</v>
      </c>
      <c r="CO345" s="19">
        <v>0</v>
      </c>
      <c r="CP345" s="19">
        <v>0</v>
      </c>
      <c r="CQ345" s="19">
        <v>0</v>
      </c>
      <c r="CR345" s="19">
        <v>0</v>
      </c>
      <c r="CS345" s="19">
        <v>0</v>
      </c>
      <c r="CT345" s="19">
        <v>0</v>
      </c>
      <c r="CU345" s="19">
        <v>0</v>
      </c>
      <c r="CV345" s="19">
        <v>0</v>
      </c>
      <c r="CW345" s="19">
        <v>0</v>
      </c>
      <c r="CX345" s="19">
        <v>0</v>
      </c>
      <c r="CY345" s="19">
        <v>0</v>
      </c>
      <c r="CZ345" s="19">
        <v>0</v>
      </c>
      <c r="DA345" s="19">
        <v>0</v>
      </c>
      <c r="DB345" s="19">
        <v>0</v>
      </c>
      <c r="DC345" s="19">
        <v>0</v>
      </c>
      <c r="DD345" s="19">
        <v>0</v>
      </c>
      <c r="DE345" s="19">
        <v>0</v>
      </c>
      <c r="DF345" s="19">
        <v>0</v>
      </c>
      <c r="DG345" s="19">
        <v>0</v>
      </c>
    </row>
    <row r="346" spans="2:111" x14ac:dyDescent="0.15">
      <c r="B346" s="19" t="str">
        <f t="shared" si="5"/>
        <v>5_女_43</v>
      </c>
      <c r="C346" s="18">
        <v>5</v>
      </c>
      <c r="D346" s="18" t="s">
        <v>2</v>
      </c>
      <c r="E346" s="18">
        <v>43</v>
      </c>
      <c r="F346" s="19">
        <v>3810</v>
      </c>
      <c r="G346" s="19">
        <v>8534.1</v>
      </c>
      <c r="H346" s="19">
        <v>13974</v>
      </c>
      <c r="I346" s="19">
        <v>20188.599999999999</v>
      </c>
      <c r="J346" s="19">
        <v>25944</v>
      </c>
      <c r="K346" s="19">
        <v>26225.200000000001</v>
      </c>
      <c r="L346" s="19">
        <v>26519.4</v>
      </c>
      <c r="M346" s="19">
        <v>26827.200000000001</v>
      </c>
      <c r="N346" s="19">
        <v>27149.1</v>
      </c>
      <c r="O346" s="19">
        <v>27486</v>
      </c>
      <c r="P346" s="19">
        <v>27838.5</v>
      </c>
      <c r="Q346" s="19">
        <v>28207.3</v>
      </c>
      <c r="R346" s="19">
        <v>28593.3</v>
      </c>
      <c r="S346" s="19">
        <v>28997.3</v>
      </c>
      <c r="T346" s="19">
        <v>29420.3</v>
      </c>
      <c r="U346" s="19">
        <v>29863.200000000001</v>
      </c>
      <c r="V346" s="19">
        <v>29327.1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19">
        <v>0</v>
      </c>
      <c r="AC346" s="19">
        <v>0</v>
      </c>
      <c r="AD346" s="19">
        <v>0</v>
      </c>
      <c r="AE346" s="19">
        <v>0</v>
      </c>
      <c r="AF346" s="19">
        <v>0</v>
      </c>
      <c r="AG346" s="19">
        <v>0</v>
      </c>
      <c r="AH346" s="19">
        <v>0</v>
      </c>
      <c r="AI346" s="19">
        <v>0</v>
      </c>
      <c r="AJ346" s="19">
        <v>0</v>
      </c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>
        <v>0</v>
      </c>
      <c r="AS346" s="19">
        <v>0</v>
      </c>
      <c r="AT346" s="19">
        <v>0</v>
      </c>
      <c r="AU346" s="19">
        <v>0</v>
      </c>
      <c r="AV346" s="19">
        <v>0</v>
      </c>
      <c r="AW346" s="19">
        <v>0</v>
      </c>
      <c r="AX346" s="19">
        <v>0</v>
      </c>
      <c r="AY346" s="19">
        <v>0</v>
      </c>
      <c r="AZ346" s="19">
        <v>0</v>
      </c>
      <c r="BA346" s="19">
        <v>0</v>
      </c>
      <c r="BB346" s="19">
        <v>0</v>
      </c>
      <c r="BC346" s="19">
        <v>0</v>
      </c>
      <c r="BD346" s="19">
        <v>0</v>
      </c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>
        <v>0</v>
      </c>
      <c r="BM346" s="19">
        <v>0</v>
      </c>
      <c r="BN346" s="19">
        <v>0</v>
      </c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>
        <v>0</v>
      </c>
      <c r="BV346" s="19">
        <v>0</v>
      </c>
      <c r="BW346" s="19">
        <v>0</v>
      </c>
      <c r="BX346" s="19">
        <v>0</v>
      </c>
      <c r="BY346" s="19">
        <v>0</v>
      </c>
      <c r="BZ346" s="19">
        <v>0</v>
      </c>
      <c r="CA346" s="19">
        <v>0</v>
      </c>
      <c r="CB346" s="19">
        <v>0</v>
      </c>
      <c r="CC346" s="19">
        <v>0</v>
      </c>
      <c r="CD346" s="19">
        <v>0</v>
      </c>
      <c r="CE346" s="19">
        <v>0</v>
      </c>
      <c r="CF346" s="19">
        <v>0</v>
      </c>
      <c r="CG346" s="19">
        <v>0</v>
      </c>
      <c r="CH346" s="19">
        <v>0</v>
      </c>
      <c r="CI346" s="19">
        <v>0</v>
      </c>
      <c r="CJ346" s="19">
        <v>0</v>
      </c>
      <c r="CK346" s="19">
        <v>0</v>
      </c>
      <c r="CL346" s="19">
        <v>0</v>
      </c>
      <c r="CM346" s="19">
        <v>0</v>
      </c>
      <c r="CN346" s="19">
        <v>0</v>
      </c>
      <c r="CO346" s="19">
        <v>0</v>
      </c>
      <c r="CP346" s="19">
        <v>0</v>
      </c>
      <c r="CQ346" s="19">
        <v>0</v>
      </c>
      <c r="CR346" s="19">
        <v>0</v>
      </c>
      <c r="CS346" s="19">
        <v>0</v>
      </c>
      <c r="CT346" s="19">
        <v>0</v>
      </c>
      <c r="CU346" s="19">
        <v>0</v>
      </c>
      <c r="CV346" s="19">
        <v>0</v>
      </c>
      <c r="CW346" s="19">
        <v>0</v>
      </c>
      <c r="CX346" s="19">
        <v>0</v>
      </c>
      <c r="CY346" s="19">
        <v>0</v>
      </c>
      <c r="CZ346" s="19">
        <v>0</v>
      </c>
      <c r="DA346" s="19">
        <v>0</v>
      </c>
      <c r="DB346" s="19">
        <v>0</v>
      </c>
      <c r="DC346" s="19">
        <v>0</v>
      </c>
      <c r="DD346" s="19">
        <v>0</v>
      </c>
      <c r="DE346" s="19">
        <v>0</v>
      </c>
      <c r="DF346" s="19">
        <v>0</v>
      </c>
      <c r="DG346" s="19">
        <v>0</v>
      </c>
    </row>
    <row r="347" spans="2:111" x14ac:dyDescent="0.15">
      <c r="B347" s="19" t="str">
        <f t="shared" si="5"/>
        <v>5_女_44</v>
      </c>
      <c r="C347" s="18">
        <v>5</v>
      </c>
      <c r="D347" s="18" t="s">
        <v>2</v>
      </c>
      <c r="E347" s="18">
        <v>44</v>
      </c>
      <c r="F347" s="19">
        <v>3850.3</v>
      </c>
      <c r="G347" s="19">
        <v>8624.1</v>
      </c>
      <c r="H347" s="19">
        <v>14121.1</v>
      </c>
      <c r="I347" s="19">
        <v>20400.7</v>
      </c>
      <c r="J347" s="19">
        <v>26226.799999999999</v>
      </c>
      <c r="K347" s="19">
        <v>26520.9</v>
      </c>
      <c r="L347" s="19">
        <v>26828.6</v>
      </c>
      <c r="M347" s="19">
        <v>27150.6</v>
      </c>
      <c r="N347" s="19">
        <v>27487.3</v>
      </c>
      <c r="O347" s="19">
        <v>27839.7</v>
      </c>
      <c r="P347" s="19">
        <v>28208.400000000001</v>
      </c>
      <c r="Q347" s="19">
        <v>28594.2</v>
      </c>
      <c r="R347" s="19">
        <v>28998</v>
      </c>
      <c r="S347" s="19">
        <v>29420.799999999999</v>
      </c>
      <c r="T347" s="19">
        <v>29863.5</v>
      </c>
      <c r="U347" s="19">
        <v>29327.1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19">
        <v>0</v>
      </c>
      <c r="AC347" s="19">
        <v>0</v>
      </c>
      <c r="AD347" s="19">
        <v>0</v>
      </c>
      <c r="AE347" s="19">
        <v>0</v>
      </c>
      <c r="AF347" s="19">
        <v>0</v>
      </c>
      <c r="AG347" s="19">
        <v>0</v>
      </c>
      <c r="AH347" s="19">
        <v>0</v>
      </c>
      <c r="AI347" s="19">
        <v>0</v>
      </c>
      <c r="AJ347" s="19">
        <v>0</v>
      </c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>
        <v>0</v>
      </c>
      <c r="AS347" s="19">
        <v>0</v>
      </c>
      <c r="AT347" s="19">
        <v>0</v>
      </c>
      <c r="AU347" s="19">
        <v>0</v>
      </c>
      <c r="AV347" s="19">
        <v>0</v>
      </c>
      <c r="AW347" s="19">
        <v>0</v>
      </c>
      <c r="AX347" s="19">
        <v>0</v>
      </c>
      <c r="AY347" s="19">
        <v>0</v>
      </c>
      <c r="AZ347" s="19">
        <v>0</v>
      </c>
      <c r="BA347" s="19">
        <v>0</v>
      </c>
      <c r="BB347" s="19">
        <v>0</v>
      </c>
      <c r="BC347" s="19">
        <v>0</v>
      </c>
      <c r="BD347" s="19">
        <v>0</v>
      </c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>
        <v>0</v>
      </c>
      <c r="BM347" s="19">
        <v>0</v>
      </c>
      <c r="BN347" s="19">
        <v>0</v>
      </c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>
        <v>0</v>
      </c>
      <c r="BV347" s="19">
        <v>0</v>
      </c>
      <c r="BW347" s="19">
        <v>0</v>
      </c>
      <c r="BX347" s="19">
        <v>0</v>
      </c>
      <c r="BY347" s="19">
        <v>0</v>
      </c>
      <c r="BZ347" s="19">
        <v>0</v>
      </c>
      <c r="CA347" s="19">
        <v>0</v>
      </c>
      <c r="CB347" s="19">
        <v>0</v>
      </c>
      <c r="CC347" s="19">
        <v>0</v>
      </c>
      <c r="CD347" s="19">
        <v>0</v>
      </c>
      <c r="CE347" s="19">
        <v>0</v>
      </c>
      <c r="CF347" s="19">
        <v>0</v>
      </c>
      <c r="CG347" s="19">
        <v>0</v>
      </c>
      <c r="CH347" s="19">
        <v>0</v>
      </c>
      <c r="CI347" s="19">
        <v>0</v>
      </c>
      <c r="CJ347" s="19">
        <v>0</v>
      </c>
      <c r="CK347" s="19">
        <v>0</v>
      </c>
      <c r="CL347" s="19">
        <v>0</v>
      </c>
      <c r="CM347" s="19">
        <v>0</v>
      </c>
      <c r="CN347" s="19">
        <v>0</v>
      </c>
      <c r="CO347" s="19">
        <v>0</v>
      </c>
      <c r="CP347" s="19">
        <v>0</v>
      </c>
      <c r="CQ347" s="19">
        <v>0</v>
      </c>
      <c r="CR347" s="19">
        <v>0</v>
      </c>
      <c r="CS347" s="19">
        <v>0</v>
      </c>
      <c r="CT347" s="19">
        <v>0</v>
      </c>
      <c r="CU347" s="19">
        <v>0</v>
      </c>
      <c r="CV347" s="19">
        <v>0</v>
      </c>
      <c r="CW347" s="19">
        <v>0</v>
      </c>
      <c r="CX347" s="19">
        <v>0</v>
      </c>
      <c r="CY347" s="19">
        <v>0</v>
      </c>
      <c r="CZ347" s="19">
        <v>0</v>
      </c>
      <c r="DA347" s="19">
        <v>0</v>
      </c>
      <c r="DB347" s="19">
        <v>0</v>
      </c>
      <c r="DC347" s="19">
        <v>0</v>
      </c>
      <c r="DD347" s="19">
        <v>0</v>
      </c>
      <c r="DE347" s="19">
        <v>0</v>
      </c>
      <c r="DF347" s="19">
        <v>0</v>
      </c>
      <c r="DG347" s="19">
        <v>0</v>
      </c>
    </row>
    <row r="348" spans="2:111" x14ac:dyDescent="0.15">
      <c r="B348" s="19" t="str">
        <f t="shared" si="5"/>
        <v>5_女_45</v>
      </c>
      <c r="C348" s="18">
        <v>5</v>
      </c>
      <c r="D348" s="18" t="s">
        <v>2</v>
      </c>
      <c r="E348" s="18">
        <v>45</v>
      </c>
      <c r="F348" s="19">
        <v>3892.3</v>
      </c>
      <c r="G348" s="19">
        <v>8718.2000000000007</v>
      </c>
      <c r="H348" s="19">
        <v>14274.9</v>
      </c>
      <c r="I348" s="19">
        <v>20622.7</v>
      </c>
      <c r="J348" s="19">
        <v>26522.5</v>
      </c>
      <c r="K348" s="19">
        <v>26830.2</v>
      </c>
      <c r="L348" s="19">
        <v>27152</v>
      </c>
      <c r="M348" s="19">
        <v>27488.7</v>
      </c>
      <c r="N348" s="19">
        <v>27840.9</v>
      </c>
      <c r="O348" s="19">
        <v>28209.5</v>
      </c>
      <c r="P348" s="19">
        <v>28595.200000000001</v>
      </c>
      <c r="Q348" s="19">
        <v>28998.799999999999</v>
      </c>
      <c r="R348" s="19">
        <v>29421.3</v>
      </c>
      <c r="S348" s="19">
        <v>29863.8</v>
      </c>
      <c r="T348" s="19">
        <v>29327.1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0</v>
      </c>
      <c r="AI348" s="19">
        <v>0</v>
      </c>
      <c r="AJ348" s="19">
        <v>0</v>
      </c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>
        <v>0</v>
      </c>
      <c r="AS348" s="19">
        <v>0</v>
      </c>
      <c r="AT348" s="19">
        <v>0</v>
      </c>
      <c r="AU348" s="19">
        <v>0</v>
      </c>
      <c r="AV348" s="19">
        <v>0</v>
      </c>
      <c r="AW348" s="19">
        <v>0</v>
      </c>
      <c r="AX348" s="19">
        <v>0</v>
      </c>
      <c r="AY348" s="19">
        <v>0</v>
      </c>
      <c r="AZ348" s="19">
        <v>0</v>
      </c>
      <c r="BA348" s="19">
        <v>0</v>
      </c>
      <c r="BB348" s="19">
        <v>0</v>
      </c>
      <c r="BC348" s="19">
        <v>0</v>
      </c>
      <c r="BD348" s="19">
        <v>0</v>
      </c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>
        <v>0</v>
      </c>
      <c r="BM348" s="19">
        <v>0</v>
      </c>
      <c r="BN348" s="19">
        <v>0</v>
      </c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>
        <v>0</v>
      </c>
      <c r="BV348" s="19">
        <v>0</v>
      </c>
      <c r="BW348" s="19">
        <v>0</v>
      </c>
      <c r="BX348" s="19">
        <v>0</v>
      </c>
      <c r="BY348" s="19">
        <v>0</v>
      </c>
      <c r="BZ348" s="19">
        <v>0</v>
      </c>
      <c r="CA348" s="19">
        <v>0</v>
      </c>
      <c r="CB348" s="19">
        <v>0</v>
      </c>
      <c r="CC348" s="19">
        <v>0</v>
      </c>
      <c r="CD348" s="19">
        <v>0</v>
      </c>
      <c r="CE348" s="19">
        <v>0</v>
      </c>
      <c r="CF348" s="19">
        <v>0</v>
      </c>
      <c r="CG348" s="19">
        <v>0</v>
      </c>
      <c r="CH348" s="19">
        <v>0</v>
      </c>
      <c r="CI348" s="19">
        <v>0</v>
      </c>
      <c r="CJ348" s="19">
        <v>0</v>
      </c>
      <c r="CK348" s="19">
        <v>0</v>
      </c>
      <c r="CL348" s="19">
        <v>0</v>
      </c>
      <c r="CM348" s="19">
        <v>0</v>
      </c>
      <c r="CN348" s="19">
        <v>0</v>
      </c>
      <c r="CO348" s="19">
        <v>0</v>
      </c>
      <c r="CP348" s="19">
        <v>0</v>
      </c>
      <c r="CQ348" s="19">
        <v>0</v>
      </c>
      <c r="CR348" s="19">
        <v>0</v>
      </c>
      <c r="CS348" s="19">
        <v>0</v>
      </c>
      <c r="CT348" s="19">
        <v>0</v>
      </c>
      <c r="CU348" s="19">
        <v>0</v>
      </c>
      <c r="CV348" s="19">
        <v>0</v>
      </c>
      <c r="CW348" s="19">
        <v>0</v>
      </c>
      <c r="CX348" s="19">
        <v>0</v>
      </c>
      <c r="CY348" s="19">
        <v>0</v>
      </c>
      <c r="CZ348" s="19">
        <v>0</v>
      </c>
      <c r="DA348" s="19">
        <v>0</v>
      </c>
      <c r="DB348" s="19">
        <v>0</v>
      </c>
      <c r="DC348" s="19">
        <v>0</v>
      </c>
      <c r="DD348" s="19">
        <v>0</v>
      </c>
      <c r="DE348" s="19">
        <v>0</v>
      </c>
      <c r="DF348" s="19">
        <v>0</v>
      </c>
      <c r="DG348" s="19">
        <v>0</v>
      </c>
    </row>
    <row r="349" spans="2:111" x14ac:dyDescent="0.15">
      <c r="B349" s="19" t="str">
        <f t="shared" si="5"/>
        <v>5_女_46</v>
      </c>
      <c r="C349" s="18">
        <v>5</v>
      </c>
      <c r="D349" s="18" t="s">
        <v>2</v>
      </c>
      <c r="E349" s="18">
        <v>46</v>
      </c>
      <c r="F349" s="19">
        <v>3936.4</v>
      </c>
      <c r="G349" s="19">
        <v>8816.6</v>
      </c>
      <c r="H349" s="19">
        <v>14435.7</v>
      </c>
      <c r="I349" s="19">
        <v>20854.7</v>
      </c>
      <c r="J349" s="19">
        <v>26831.7</v>
      </c>
      <c r="K349" s="19">
        <v>27153.5</v>
      </c>
      <c r="L349" s="19">
        <v>27490.1</v>
      </c>
      <c r="M349" s="19">
        <v>27842.2</v>
      </c>
      <c r="N349" s="19">
        <v>28210.6</v>
      </c>
      <c r="O349" s="19">
        <v>28596.1</v>
      </c>
      <c r="P349" s="19">
        <v>28999.599999999999</v>
      </c>
      <c r="Q349" s="19">
        <v>29421.9</v>
      </c>
      <c r="R349" s="19">
        <v>29864.1</v>
      </c>
      <c r="S349" s="19">
        <v>29327.1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>
        <v>0</v>
      </c>
      <c r="AI349" s="19">
        <v>0</v>
      </c>
      <c r="AJ349" s="19">
        <v>0</v>
      </c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19">
        <v>0</v>
      </c>
      <c r="AQ349" s="19">
        <v>0</v>
      </c>
      <c r="AR349" s="19">
        <v>0</v>
      </c>
      <c r="AS349" s="19">
        <v>0</v>
      </c>
      <c r="AT349" s="19">
        <v>0</v>
      </c>
      <c r="AU349" s="19">
        <v>0</v>
      </c>
      <c r="AV349" s="19">
        <v>0</v>
      </c>
      <c r="AW349" s="19">
        <v>0</v>
      </c>
      <c r="AX349" s="19">
        <v>0</v>
      </c>
      <c r="AY349" s="19">
        <v>0</v>
      </c>
      <c r="AZ349" s="19">
        <v>0</v>
      </c>
      <c r="BA349" s="19">
        <v>0</v>
      </c>
      <c r="BB349" s="19">
        <v>0</v>
      </c>
      <c r="BC349" s="19">
        <v>0</v>
      </c>
      <c r="BD349" s="19">
        <v>0</v>
      </c>
      <c r="BE349" s="19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19">
        <v>0</v>
      </c>
      <c r="BL349" s="19">
        <v>0</v>
      </c>
      <c r="BM349" s="19">
        <v>0</v>
      </c>
      <c r="BN349" s="19">
        <v>0</v>
      </c>
      <c r="BO349" s="19">
        <v>0</v>
      </c>
      <c r="BP349" s="19">
        <v>0</v>
      </c>
      <c r="BQ349" s="19">
        <v>0</v>
      </c>
      <c r="BR349" s="19">
        <v>0</v>
      </c>
      <c r="BS349" s="19">
        <v>0</v>
      </c>
      <c r="BT349" s="19">
        <v>0</v>
      </c>
      <c r="BU349" s="19">
        <v>0</v>
      </c>
      <c r="BV349" s="19">
        <v>0</v>
      </c>
      <c r="BW349" s="19">
        <v>0</v>
      </c>
      <c r="BX349" s="19">
        <v>0</v>
      </c>
      <c r="BY349" s="19">
        <v>0</v>
      </c>
      <c r="BZ349" s="19">
        <v>0</v>
      </c>
      <c r="CA349" s="19">
        <v>0</v>
      </c>
      <c r="CB349" s="19">
        <v>0</v>
      </c>
      <c r="CC349" s="19">
        <v>0</v>
      </c>
      <c r="CD349" s="19">
        <v>0</v>
      </c>
      <c r="CE349" s="19">
        <v>0</v>
      </c>
      <c r="CF349" s="19">
        <v>0</v>
      </c>
      <c r="CG349" s="19">
        <v>0</v>
      </c>
      <c r="CH349" s="19">
        <v>0</v>
      </c>
      <c r="CI349" s="19">
        <v>0</v>
      </c>
      <c r="CJ349" s="19">
        <v>0</v>
      </c>
      <c r="CK349" s="19">
        <v>0</v>
      </c>
      <c r="CL349" s="19">
        <v>0</v>
      </c>
      <c r="CM349" s="19">
        <v>0</v>
      </c>
      <c r="CN349" s="19">
        <v>0</v>
      </c>
      <c r="CO349" s="19">
        <v>0</v>
      </c>
      <c r="CP349" s="19">
        <v>0</v>
      </c>
      <c r="CQ349" s="19">
        <v>0</v>
      </c>
      <c r="CR349" s="19">
        <v>0</v>
      </c>
      <c r="CS349" s="19">
        <v>0</v>
      </c>
      <c r="CT349" s="19">
        <v>0</v>
      </c>
      <c r="CU349" s="19">
        <v>0</v>
      </c>
      <c r="CV349" s="19">
        <v>0</v>
      </c>
      <c r="CW349" s="19">
        <v>0</v>
      </c>
      <c r="CX349" s="19">
        <v>0</v>
      </c>
      <c r="CY349" s="19">
        <v>0</v>
      </c>
      <c r="CZ349" s="19">
        <v>0</v>
      </c>
      <c r="DA349" s="19">
        <v>0</v>
      </c>
      <c r="DB349" s="19">
        <v>0</v>
      </c>
      <c r="DC349" s="19">
        <v>0</v>
      </c>
      <c r="DD349" s="19">
        <v>0</v>
      </c>
      <c r="DE349" s="19">
        <v>0</v>
      </c>
      <c r="DF349" s="19">
        <v>0</v>
      </c>
      <c r="DG349" s="19">
        <v>0</v>
      </c>
    </row>
    <row r="350" spans="2:111" x14ac:dyDescent="0.15">
      <c r="B350" s="19" t="str">
        <f t="shared" si="5"/>
        <v>5_女_47</v>
      </c>
      <c r="C350" s="18">
        <v>5</v>
      </c>
      <c r="D350" s="18" t="s">
        <v>2</v>
      </c>
      <c r="E350" s="18">
        <v>47</v>
      </c>
      <c r="F350" s="19">
        <v>3982.4</v>
      </c>
      <c r="G350" s="19">
        <v>8919.5</v>
      </c>
      <c r="H350" s="19">
        <v>14603.9</v>
      </c>
      <c r="I350" s="19">
        <v>21097.3</v>
      </c>
      <c r="J350" s="19">
        <v>27155</v>
      </c>
      <c r="K350" s="19">
        <v>27491.5</v>
      </c>
      <c r="L350" s="19">
        <v>27843.5</v>
      </c>
      <c r="M350" s="19">
        <v>28211.8</v>
      </c>
      <c r="N350" s="19">
        <v>28597.1</v>
      </c>
      <c r="O350" s="19">
        <v>29000.400000000001</v>
      </c>
      <c r="P350" s="19">
        <v>29422.5</v>
      </c>
      <c r="Q350" s="19">
        <v>29864.400000000001</v>
      </c>
      <c r="R350" s="19">
        <v>29327.1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19">
        <v>0</v>
      </c>
      <c r="AQ350" s="19">
        <v>0</v>
      </c>
      <c r="AR350" s="19">
        <v>0</v>
      </c>
      <c r="AS350" s="19">
        <v>0</v>
      </c>
      <c r="AT350" s="19">
        <v>0</v>
      </c>
      <c r="AU350" s="19">
        <v>0</v>
      </c>
      <c r="AV350" s="19">
        <v>0</v>
      </c>
      <c r="AW350" s="19">
        <v>0</v>
      </c>
      <c r="AX350" s="19">
        <v>0</v>
      </c>
      <c r="AY350" s="19">
        <v>0</v>
      </c>
      <c r="AZ350" s="19">
        <v>0</v>
      </c>
      <c r="BA350" s="19">
        <v>0</v>
      </c>
      <c r="BB350" s="19">
        <v>0</v>
      </c>
      <c r="BC350" s="19">
        <v>0</v>
      </c>
      <c r="BD350" s="19">
        <v>0</v>
      </c>
      <c r="BE350" s="19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19">
        <v>0</v>
      </c>
      <c r="BL350" s="19">
        <v>0</v>
      </c>
      <c r="BM350" s="19">
        <v>0</v>
      </c>
      <c r="BN350" s="19">
        <v>0</v>
      </c>
      <c r="BO350" s="19">
        <v>0</v>
      </c>
      <c r="BP350" s="19">
        <v>0</v>
      </c>
      <c r="BQ350" s="19">
        <v>0</v>
      </c>
      <c r="BR350" s="19">
        <v>0</v>
      </c>
      <c r="BS350" s="19">
        <v>0</v>
      </c>
      <c r="BT350" s="19">
        <v>0</v>
      </c>
      <c r="BU350" s="19">
        <v>0</v>
      </c>
      <c r="BV350" s="19">
        <v>0</v>
      </c>
      <c r="BW350" s="19">
        <v>0</v>
      </c>
      <c r="BX350" s="19">
        <v>0</v>
      </c>
      <c r="BY350" s="19">
        <v>0</v>
      </c>
      <c r="BZ350" s="19">
        <v>0</v>
      </c>
      <c r="CA350" s="19">
        <v>0</v>
      </c>
      <c r="CB350" s="19">
        <v>0</v>
      </c>
      <c r="CC350" s="19">
        <v>0</v>
      </c>
      <c r="CD350" s="19">
        <v>0</v>
      </c>
      <c r="CE350" s="19">
        <v>0</v>
      </c>
      <c r="CF350" s="19">
        <v>0</v>
      </c>
      <c r="CG350" s="19">
        <v>0</v>
      </c>
      <c r="CH350" s="19">
        <v>0</v>
      </c>
      <c r="CI350" s="19">
        <v>0</v>
      </c>
      <c r="CJ350" s="19">
        <v>0</v>
      </c>
      <c r="CK350" s="19">
        <v>0</v>
      </c>
      <c r="CL350" s="19">
        <v>0</v>
      </c>
      <c r="CM350" s="19">
        <v>0</v>
      </c>
      <c r="CN350" s="19">
        <v>0</v>
      </c>
      <c r="CO350" s="19">
        <v>0</v>
      </c>
      <c r="CP350" s="19">
        <v>0</v>
      </c>
      <c r="CQ350" s="19">
        <v>0</v>
      </c>
      <c r="CR350" s="19">
        <v>0</v>
      </c>
      <c r="CS350" s="19">
        <v>0</v>
      </c>
      <c r="CT350" s="19">
        <v>0</v>
      </c>
      <c r="CU350" s="19">
        <v>0</v>
      </c>
      <c r="CV350" s="19">
        <v>0</v>
      </c>
      <c r="CW350" s="19">
        <v>0</v>
      </c>
      <c r="CX350" s="19">
        <v>0</v>
      </c>
      <c r="CY350" s="19">
        <v>0</v>
      </c>
      <c r="CZ350" s="19">
        <v>0</v>
      </c>
      <c r="DA350" s="19">
        <v>0</v>
      </c>
      <c r="DB350" s="19">
        <v>0</v>
      </c>
      <c r="DC350" s="19">
        <v>0</v>
      </c>
      <c r="DD350" s="19">
        <v>0</v>
      </c>
      <c r="DE350" s="19">
        <v>0</v>
      </c>
      <c r="DF350" s="19">
        <v>0</v>
      </c>
      <c r="DG350" s="19">
        <v>0</v>
      </c>
    </row>
    <row r="351" spans="2:111" x14ac:dyDescent="0.15">
      <c r="B351" s="19" t="str">
        <f t="shared" si="5"/>
        <v>5_女_48</v>
      </c>
      <c r="C351" s="18">
        <v>5</v>
      </c>
      <c r="D351" s="18" t="s">
        <v>2</v>
      </c>
      <c r="E351" s="18">
        <v>48</v>
      </c>
      <c r="F351" s="19">
        <v>4030.5</v>
      </c>
      <c r="G351" s="19">
        <v>9027</v>
      </c>
      <c r="H351" s="19">
        <v>14779.7</v>
      </c>
      <c r="I351" s="19">
        <v>21350.9</v>
      </c>
      <c r="J351" s="19">
        <v>27493</v>
      </c>
      <c r="K351" s="19">
        <v>27844.9</v>
      </c>
      <c r="L351" s="19">
        <v>28213</v>
      </c>
      <c r="M351" s="19">
        <v>28598.2</v>
      </c>
      <c r="N351" s="19">
        <v>29001.200000000001</v>
      </c>
      <c r="O351" s="19">
        <v>29423.1</v>
      </c>
      <c r="P351" s="19">
        <v>29864.7</v>
      </c>
      <c r="Q351" s="19">
        <v>29327.1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>
        <v>0</v>
      </c>
      <c r="AI351" s="19">
        <v>0</v>
      </c>
      <c r="AJ351" s="19">
        <v>0</v>
      </c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19">
        <v>0</v>
      </c>
      <c r="AQ351" s="19">
        <v>0</v>
      </c>
      <c r="AR351" s="19">
        <v>0</v>
      </c>
      <c r="AS351" s="19">
        <v>0</v>
      </c>
      <c r="AT351" s="19">
        <v>0</v>
      </c>
      <c r="AU351" s="19">
        <v>0</v>
      </c>
      <c r="AV351" s="19">
        <v>0</v>
      </c>
      <c r="AW351" s="19">
        <v>0</v>
      </c>
      <c r="AX351" s="19">
        <v>0</v>
      </c>
      <c r="AY351" s="19">
        <v>0</v>
      </c>
      <c r="AZ351" s="19">
        <v>0</v>
      </c>
      <c r="BA351" s="19">
        <v>0</v>
      </c>
      <c r="BB351" s="19">
        <v>0</v>
      </c>
      <c r="BC351" s="19">
        <v>0</v>
      </c>
      <c r="BD351" s="19">
        <v>0</v>
      </c>
      <c r="BE351" s="19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19">
        <v>0</v>
      </c>
      <c r="BL351" s="19">
        <v>0</v>
      </c>
      <c r="BM351" s="19">
        <v>0</v>
      </c>
      <c r="BN351" s="19">
        <v>0</v>
      </c>
      <c r="BO351" s="19">
        <v>0</v>
      </c>
      <c r="BP351" s="19">
        <v>0</v>
      </c>
      <c r="BQ351" s="19">
        <v>0</v>
      </c>
      <c r="BR351" s="19">
        <v>0</v>
      </c>
      <c r="BS351" s="19">
        <v>0</v>
      </c>
      <c r="BT351" s="19">
        <v>0</v>
      </c>
      <c r="BU351" s="19">
        <v>0</v>
      </c>
      <c r="BV351" s="19">
        <v>0</v>
      </c>
      <c r="BW351" s="19">
        <v>0</v>
      </c>
      <c r="BX351" s="19">
        <v>0</v>
      </c>
      <c r="BY351" s="19">
        <v>0</v>
      </c>
      <c r="BZ351" s="19">
        <v>0</v>
      </c>
      <c r="CA351" s="19">
        <v>0</v>
      </c>
      <c r="CB351" s="19">
        <v>0</v>
      </c>
      <c r="CC351" s="19">
        <v>0</v>
      </c>
      <c r="CD351" s="19">
        <v>0</v>
      </c>
      <c r="CE351" s="19">
        <v>0</v>
      </c>
      <c r="CF351" s="19">
        <v>0</v>
      </c>
      <c r="CG351" s="19">
        <v>0</v>
      </c>
      <c r="CH351" s="19">
        <v>0</v>
      </c>
      <c r="CI351" s="19">
        <v>0</v>
      </c>
      <c r="CJ351" s="19">
        <v>0</v>
      </c>
      <c r="CK351" s="19">
        <v>0</v>
      </c>
      <c r="CL351" s="19">
        <v>0</v>
      </c>
      <c r="CM351" s="19">
        <v>0</v>
      </c>
      <c r="CN351" s="19">
        <v>0</v>
      </c>
      <c r="CO351" s="19">
        <v>0</v>
      </c>
      <c r="CP351" s="19">
        <v>0</v>
      </c>
      <c r="CQ351" s="19">
        <v>0</v>
      </c>
      <c r="CR351" s="19">
        <v>0</v>
      </c>
      <c r="CS351" s="19">
        <v>0</v>
      </c>
      <c r="CT351" s="19">
        <v>0</v>
      </c>
      <c r="CU351" s="19">
        <v>0</v>
      </c>
      <c r="CV351" s="19">
        <v>0</v>
      </c>
      <c r="CW351" s="19">
        <v>0</v>
      </c>
      <c r="CX351" s="19">
        <v>0</v>
      </c>
      <c r="CY351" s="19">
        <v>0</v>
      </c>
      <c r="CZ351" s="19">
        <v>0</v>
      </c>
      <c r="DA351" s="19">
        <v>0</v>
      </c>
      <c r="DB351" s="19">
        <v>0</v>
      </c>
      <c r="DC351" s="19">
        <v>0</v>
      </c>
      <c r="DD351" s="19">
        <v>0</v>
      </c>
      <c r="DE351" s="19">
        <v>0</v>
      </c>
      <c r="DF351" s="19">
        <v>0</v>
      </c>
      <c r="DG351" s="19">
        <v>0</v>
      </c>
    </row>
    <row r="352" spans="2:111" x14ac:dyDescent="0.15">
      <c r="B352" s="19" t="str">
        <f t="shared" si="5"/>
        <v>5_女_49</v>
      </c>
      <c r="C352" s="18">
        <v>5</v>
      </c>
      <c r="D352" s="18" t="s">
        <v>2</v>
      </c>
      <c r="E352" s="18">
        <v>49</v>
      </c>
      <c r="F352" s="19">
        <v>4080.8</v>
      </c>
      <c r="G352" s="19">
        <v>9139.5</v>
      </c>
      <c r="H352" s="19">
        <v>14963.5</v>
      </c>
      <c r="I352" s="19">
        <v>21616</v>
      </c>
      <c r="J352" s="19">
        <v>27846.2</v>
      </c>
      <c r="K352" s="19">
        <v>28214.2</v>
      </c>
      <c r="L352" s="19">
        <v>28599.200000000001</v>
      </c>
      <c r="M352" s="19">
        <v>29002.1</v>
      </c>
      <c r="N352" s="19">
        <v>29423.7</v>
      </c>
      <c r="O352" s="19">
        <v>29865</v>
      </c>
      <c r="P352" s="19">
        <v>29327.1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19">
        <v>0</v>
      </c>
      <c r="AJ352" s="19">
        <v>0</v>
      </c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0</v>
      </c>
      <c r="AV352" s="19">
        <v>0</v>
      </c>
      <c r="AW352" s="19">
        <v>0</v>
      </c>
      <c r="AX352" s="19">
        <v>0</v>
      </c>
      <c r="AY352" s="19">
        <v>0</v>
      </c>
      <c r="AZ352" s="19">
        <v>0</v>
      </c>
      <c r="BA352" s="19">
        <v>0</v>
      </c>
      <c r="BB352" s="19">
        <v>0</v>
      </c>
      <c r="BC352" s="19">
        <v>0</v>
      </c>
      <c r="BD352" s="19">
        <v>0</v>
      </c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>
        <v>0</v>
      </c>
      <c r="BM352" s="19">
        <v>0</v>
      </c>
      <c r="BN352" s="19">
        <v>0</v>
      </c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>
        <v>0</v>
      </c>
      <c r="BV352" s="19">
        <v>0</v>
      </c>
      <c r="BW352" s="19">
        <v>0</v>
      </c>
      <c r="BX352" s="19">
        <v>0</v>
      </c>
      <c r="BY352" s="19">
        <v>0</v>
      </c>
      <c r="BZ352" s="19">
        <v>0</v>
      </c>
      <c r="CA352" s="19">
        <v>0</v>
      </c>
      <c r="CB352" s="19">
        <v>0</v>
      </c>
      <c r="CC352" s="19">
        <v>0</v>
      </c>
      <c r="CD352" s="19">
        <v>0</v>
      </c>
      <c r="CE352" s="19">
        <v>0</v>
      </c>
      <c r="CF352" s="19">
        <v>0</v>
      </c>
      <c r="CG352" s="19">
        <v>0</v>
      </c>
      <c r="CH352" s="19">
        <v>0</v>
      </c>
      <c r="CI352" s="19">
        <v>0</v>
      </c>
      <c r="CJ352" s="19">
        <v>0</v>
      </c>
      <c r="CK352" s="19">
        <v>0</v>
      </c>
      <c r="CL352" s="19">
        <v>0</v>
      </c>
      <c r="CM352" s="19">
        <v>0</v>
      </c>
      <c r="CN352" s="19">
        <v>0</v>
      </c>
      <c r="CO352" s="19">
        <v>0</v>
      </c>
      <c r="CP352" s="19">
        <v>0</v>
      </c>
      <c r="CQ352" s="19">
        <v>0</v>
      </c>
      <c r="CR352" s="19">
        <v>0</v>
      </c>
      <c r="CS352" s="19">
        <v>0</v>
      </c>
      <c r="CT352" s="19">
        <v>0</v>
      </c>
      <c r="CU352" s="19">
        <v>0</v>
      </c>
      <c r="CV352" s="19">
        <v>0</v>
      </c>
      <c r="CW352" s="19">
        <v>0</v>
      </c>
      <c r="CX352" s="19">
        <v>0</v>
      </c>
      <c r="CY352" s="19">
        <v>0</v>
      </c>
      <c r="CZ352" s="19">
        <v>0</v>
      </c>
      <c r="DA352" s="19">
        <v>0</v>
      </c>
      <c r="DB352" s="19">
        <v>0</v>
      </c>
      <c r="DC352" s="19">
        <v>0</v>
      </c>
      <c r="DD352" s="19">
        <v>0</v>
      </c>
      <c r="DE352" s="19">
        <v>0</v>
      </c>
      <c r="DF352" s="19">
        <v>0</v>
      </c>
      <c r="DG352" s="19">
        <v>0</v>
      </c>
    </row>
    <row r="353" spans="2:111" x14ac:dyDescent="0.15">
      <c r="B353" s="19" t="str">
        <f t="shared" si="5"/>
        <v>5_女_50</v>
      </c>
      <c r="C353" s="18">
        <v>5</v>
      </c>
      <c r="D353" s="18" t="s">
        <v>2</v>
      </c>
      <c r="E353" s="18">
        <v>50</v>
      </c>
      <c r="F353" s="19">
        <v>4133.3999999999996</v>
      </c>
      <c r="G353" s="19">
        <v>9257</v>
      </c>
      <c r="H353" s="19">
        <v>15155.6</v>
      </c>
      <c r="I353" s="19">
        <v>21893</v>
      </c>
      <c r="J353" s="19">
        <v>28215.5</v>
      </c>
      <c r="K353" s="19">
        <v>28600.3</v>
      </c>
      <c r="L353" s="19">
        <v>29002.9</v>
      </c>
      <c r="M353" s="19">
        <v>29424.3</v>
      </c>
      <c r="N353" s="19">
        <v>29865.3</v>
      </c>
      <c r="O353" s="19">
        <v>29327.1</v>
      </c>
      <c r="P353" s="19">
        <v>0</v>
      </c>
      <c r="Q353" s="19">
        <v>0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>
        <v>0</v>
      </c>
      <c r="AI353" s="19">
        <v>0</v>
      </c>
      <c r="AJ353" s="19">
        <v>0</v>
      </c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>
        <v>0</v>
      </c>
      <c r="AS353" s="19">
        <v>0</v>
      </c>
      <c r="AT353" s="19">
        <v>0</v>
      </c>
      <c r="AU353" s="19">
        <v>0</v>
      </c>
      <c r="AV353" s="19">
        <v>0</v>
      </c>
      <c r="AW353" s="19">
        <v>0</v>
      </c>
      <c r="AX353" s="19">
        <v>0</v>
      </c>
      <c r="AY353" s="19">
        <v>0</v>
      </c>
      <c r="AZ353" s="19">
        <v>0</v>
      </c>
      <c r="BA353" s="19">
        <v>0</v>
      </c>
      <c r="BB353" s="19">
        <v>0</v>
      </c>
      <c r="BC353" s="19">
        <v>0</v>
      </c>
      <c r="BD353" s="19">
        <v>0</v>
      </c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>
        <v>0</v>
      </c>
      <c r="BM353" s="19">
        <v>0</v>
      </c>
      <c r="BN353" s="19">
        <v>0</v>
      </c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>
        <v>0</v>
      </c>
      <c r="BV353" s="19">
        <v>0</v>
      </c>
      <c r="BW353" s="19">
        <v>0</v>
      </c>
      <c r="BX353" s="19">
        <v>0</v>
      </c>
      <c r="BY353" s="19">
        <v>0</v>
      </c>
      <c r="BZ353" s="19">
        <v>0</v>
      </c>
      <c r="CA353" s="19">
        <v>0</v>
      </c>
      <c r="CB353" s="19">
        <v>0</v>
      </c>
      <c r="CC353" s="19">
        <v>0</v>
      </c>
      <c r="CD353" s="19">
        <v>0</v>
      </c>
      <c r="CE353" s="19">
        <v>0</v>
      </c>
      <c r="CF353" s="19">
        <v>0</v>
      </c>
      <c r="CG353" s="19">
        <v>0</v>
      </c>
      <c r="CH353" s="19">
        <v>0</v>
      </c>
      <c r="CI353" s="19">
        <v>0</v>
      </c>
      <c r="CJ353" s="19">
        <v>0</v>
      </c>
      <c r="CK353" s="19">
        <v>0</v>
      </c>
      <c r="CL353" s="19">
        <v>0</v>
      </c>
      <c r="CM353" s="19">
        <v>0</v>
      </c>
      <c r="CN353" s="19">
        <v>0</v>
      </c>
      <c r="CO353" s="19">
        <v>0</v>
      </c>
      <c r="CP353" s="19">
        <v>0</v>
      </c>
      <c r="CQ353" s="19">
        <v>0</v>
      </c>
      <c r="CR353" s="19">
        <v>0</v>
      </c>
      <c r="CS353" s="19">
        <v>0</v>
      </c>
      <c r="CT353" s="19">
        <v>0</v>
      </c>
      <c r="CU353" s="19">
        <v>0</v>
      </c>
      <c r="CV353" s="19">
        <v>0</v>
      </c>
      <c r="CW353" s="19">
        <v>0</v>
      </c>
      <c r="CX353" s="19">
        <v>0</v>
      </c>
      <c r="CY353" s="19">
        <v>0</v>
      </c>
      <c r="CZ353" s="19">
        <v>0</v>
      </c>
      <c r="DA353" s="19">
        <v>0</v>
      </c>
      <c r="DB353" s="19">
        <v>0</v>
      </c>
      <c r="DC353" s="19">
        <v>0</v>
      </c>
      <c r="DD353" s="19">
        <v>0</v>
      </c>
      <c r="DE353" s="19">
        <v>0</v>
      </c>
      <c r="DF353" s="19">
        <v>0</v>
      </c>
      <c r="DG353" s="19">
        <v>0</v>
      </c>
    </row>
    <row r="354" spans="2:111" x14ac:dyDescent="0.15">
      <c r="B354" s="19" t="str">
        <f t="shared" si="5"/>
        <v>10_女_0</v>
      </c>
      <c r="C354" s="18">
        <v>10</v>
      </c>
      <c r="D354" s="18" t="s">
        <v>2</v>
      </c>
      <c r="E354" s="18">
        <v>0</v>
      </c>
      <c r="F354" s="19">
        <v>1437.1</v>
      </c>
      <c r="G354" s="19">
        <v>3341.7</v>
      </c>
      <c r="H354" s="19">
        <v>5627.8</v>
      </c>
      <c r="I354" s="19">
        <v>8199.7999999999993</v>
      </c>
      <c r="J354" s="19">
        <v>10002.200000000001</v>
      </c>
      <c r="K354" s="19">
        <v>11927.2</v>
      </c>
      <c r="L354" s="19">
        <v>13982</v>
      </c>
      <c r="M354" s="19">
        <v>16174</v>
      </c>
      <c r="N354" s="19">
        <v>18511.2</v>
      </c>
      <c r="O354" s="19">
        <v>21001.7</v>
      </c>
      <c r="P354" s="19">
        <v>21049.7</v>
      </c>
      <c r="Q354" s="19">
        <v>21100.2</v>
      </c>
      <c r="R354" s="19">
        <v>21153</v>
      </c>
      <c r="S354" s="19">
        <v>21208.400000000001</v>
      </c>
      <c r="T354" s="19">
        <v>21266.5</v>
      </c>
      <c r="U354" s="19">
        <v>21327.3</v>
      </c>
      <c r="V354" s="19">
        <v>21391.1</v>
      </c>
      <c r="W354" s="19">
        <v>21457.9</v>
      </c>
      <c r="X354" s="19">
        <v>21527.9</v>
      </c>
      <c r="Y354" s="19">
        <v>21601.3</v>
      </c>
      <c r="Z354" s="19">
        <v>21678.3</v>
      </c>
      <c r="AA354" s="19">
        <v>21758.9</v>
      </c>
      <c r="AB354" s="19">
        <v>21843.5</v>
      </c>
      <c r="AC354" s="19">
        <v>21932.2</v>
      </c>
      <c r="AD354" s="19">
        <v>22025.200000000001</v>
      </c>
      <c r="AE354" s="19">
        <v>22122.7</v>
      </c>
      <c r="AF354" s="19">
        <v>22225</v>
      </c>
      <c r="AG354" s="19">
        <v>22332.3</v>
      </c>
      <c r="AH354" s="19">
        <v>22444.7</v>
      </c>
      <c r="AI354" s="19">
        <v>22562.7</v>
      </c>
      <c r="AJ354" s="19">
        <v>22686.400000000001</v>
      </c>
      <c r="AK354" s="19">
        <v>22816</v>
      </c>
      <c r="AL354" s="19">
        <v>22951.8</v>
      </c>
      <c r="AM354" s="19">
        <v>23094.2</v>
      </c>
      <c r="AN354" s="19">
        <v>23243.3</v>
      </c>
      <c r="AO354" s="19">
        <v>23399.4</v>
      </c>
      <c r="AP354" s="19">
        <v>23562.9</v>
      </c>
      <c r="AQ354" s="19">
        <v>23734</v>
      </c>
      <c r="AR354" s="19">
        <v>23913.1</v>
      </c>
      <c r="AS354" s="19">
        <v>24100.5</v>
      </c>
      <c r="AT354" s="19">
        <v>24296.6</v>
      </c>
      <c r="AU354" s="19">
        <v>24501.8</v>
      </c>
      <c r="AV354" s="19">
        <v>24716.3</v>
      </c>
      <c r="AW354" s="19">
        <v>24940.799999999999</v>
      </c>
      <c r="AX354" s="19">
        <v>25175.599999999999</v>
      </c>
      <c r="AY354" s="19">
        <v>25421.200000000001</v>
      </c>
      <c r="AZ354" s="19">
        <v>25678.1</v>
      </c>
      <c r="BA354" s="19">
        <v>25946.9</v>
      </c>
      <c r="BB354" s="19">
        <v>26228</v>
      </c>
      <c r="BC354" s="19">
        <v>26522.1</v>
      </c>
      <c r="BD354" s="19">
        <v>26829.8</v>
      </c>
      <c r="BE354" s="19">
        <v>27151.599999999999</v>
      </c>
      <c r="BF354" s="19">
        <v>27488.3</v>
      </c>
      <c r="BG354" s="19">
        <v>27840.6</v>
      </c>
      <c r="BH354" s="19">
        <v>28209.200000000001</v>
      </c>
      <c r="BI354" s="19">
        <v>28594.9</v>
      </c>
      <c r="BJ354" s="19">
        <v>28998.6</v>
      </c>
      <c r="BK354" s="19">
        <v>29421.200000000001</v>
      </c>
      <c r="BL354" s="19">
        <v>29863.7</v>
      </c>
      <c r="BM354" s="19">
        <v>29327.1</v>
      </c>
      <c r="BN354" s="19">
        <v>0</v>
      </c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>
        <v>0</v>
      </c>
      <c r="BV354" s="19">
        <v>0</v>
      </c>
      <c r="BW354" s="19">
        <v>0</v>
      </c>
      <c r="BX354" s="19">
        <v>0</v>
      </c>
      <c r="BY354" s="19">
        <v>0</v>
      </c>
      <c r="BZ354" s="19">
        <v>0</v>
      </c>
      <c r="CA354" s="19">
        <v>0</v>
      </c>
      <c r="CB354" s="19">
        <v>0</v>
      </c>
      <c r="CC354" s="19">
        <v>0</v>
      </c>
      <c r="CD354" s="19">
        <v>0</v>
      </c>
      <c r="CE354" s="19">
        <v>0</v>
      </c>
      <c r="CF354" s="19">
        <v>0</v>
      </c>
      <c r="CG354" s="19">
        <v>0</v>
      </c>
      <c r="CH354" s="19">
        <v>0</v>
      </c>
      <c r="CI354" s="19">
        <v>0</v>
      </c>
      <c r="CJ354" s="19">
        <v>0</v>
      </c>
      <c r="CK354" s="19">
        <v>0</v>
      </c>
      <c r="CL354" s="19">
        <v>0</v>
      </c>
      <c r="CM354" s="19">
        <v>0</v>
      </c>
      <c r="CN354" s="19">
        <v>0</v>
      </c>
      <c r="CO354" s="19">
        <v>0</v>
      </c>
      <c r="CP354" s="19">
        <v>0</v>
      </c>
      <c r="CQ354" s="19">
        <v>0</v>
      </c>
      <c r="CR354" s="19">
        <v>0</v>
      </c>
      <c r="CS354" s="19">
        <v>0</v>
      </c>
      <c r="CT354" s="19">
        <v>0</v>
      </c>
      <c r="CU354" s="19">
        <v>0</v>
      </c>
      <c r="CV354" s="19">
        <v>0</v>
      </c>
      <c r="CW354" s="19">
        <v>0</v>
      </c>
      <c r="CX354" s="19">
        <v>0</v>
      </c>
      <c r="CY354" s="19">
        <v>0</v>
      </c>
      <c r="CZ354" s="19">
        <v>0</v>
      </c>
      <c r="DA354" s="19">
        <v>0</v>
      </c>
      <c r="DB354" s="19">
        <v>0</v>
      </c>
      <c r="DC354" s="19">
        <v>0</v>
      </c>
      <c r="DD354" s="19">
        <v>0</v>
      </c>
      <c r="DE354" s="19">
        <v>0</v>
      </c>
      <c r="DF354" s="19">
        <v>0</v>
      </c>
      <c r="DG354" s="19">
        <v>0</v>
      </c>
    </row>
    <row r="355" spans="2:111" x14ac:dyDescent="0.15">
      <c r="B355" s="19" t="str">
        <f t="shared" si="5"/>
        <v>10_女_1</v>
      </c>
      <c r="C355" s="18">
        <v>10</v>
      </c>
      <c r="D355" s="18" t="s">
        <v>2</v>
      </c>
      <c r="E355" s="18">
        <v>1</v>
      </c>
      <c r="F355" s="19">
        <v>1439.8</v>
      </c>
      <c r="G355" s="19">
        <v>3347.9</v>
      </c>
      <c r="H355" s="19">
        <v>5638.1</v>
      </c>
      <c r="I355" s="19">
        <v>8214.6</v>
      </c>
      <c r="J355" s="19">
        <v>10021.799999999999</v>
      </c>
      <c r="K355" s="19">
        <v>11951.9</v>
      </c>
      <c r="L355" s="19">
        <v>14012.1</v>
      </c>
      <c r="M355" s="19">
        <v>16209.8</v>
      </c>
      <c r="N355" s="19">
        <v>18553</v>
      </c>
      <c r="O355" s="19">
        <v>21049.9</v>
      </c>
      <c r="P355" s="19">
        <v>21100.400000000001</v>
      </c>
      <c r="Q355" s="19">
        <v>21153.200000000001</v>
      </c>
      <c r="R355" s="19">
        <v>21208.6</v>
      </c>
      <c r="S355" s="19">
        <v>21266.7</v>
      </c>
      <c r="T355" s="19">
        <v>21327.599999999999</v>
      </c>
      <c r="U355" s="19">
        <v>21391.3</v>
      </c>
      <c r="V355" s="19">
        <v>21458.1</v>
      </c>
      <c r="W355" s="19">
        <v>21528.2</v>
      </c>
      <c r="X355" s="19">
        <v>21601.599999999999</v>
      </c>
      <c r="Y355" s="19">
        <v>21678.5</v>
      </c>
      <c r="Z355" s="19">
        <v>21759.200000000001</v>
      </c>
      <c r="AA355" s="19">
        <v>21843.8</v>
      </c>
      <c r="AB355" s="19">
        <v>21932.5</v>
      </c>
      <c r="AC355" s="19">
        <v>22025.5</v>
      </c>
      <c r="AD355" s="19">
        <v>22123</v>
      </c>
      <c r="AE355" s="19">
        <v>22225.3</v>
      </c>
      <c r="AF355" s="19">
        <v>22332.6</v>
      </c>
      <c r="AG355" s="19">
        <v>22445.1</v>
      </c>
      <c r="AH355" s="19">
        <v>22563</v>
      </c>
      <c r="AI355" s="19">
        <v>22686.7</v>
      </c>
      <c r="AJ355" s="19">
        <v>22816.400000000001</v>
      </c>
      <c r="AK355" s="19">
        <v>22952.2</v>
      </c>
      <c r="AL355" s="19">
        <v>23094.6</v>
      </c>
      <c r="AM355" s="19">
        <v>23243.7</v>
      </c>
      <c r="AN355" s="19">
        <v>23399.8</v>
      </c>
      <c r="AO355" s="19">
        <v>23563.3</v>
      </c>
      <c r="AP355" s="19">
        <v>23734.5</v>
      </c>
      <c r="AQ355" s="19">
        <v>23913.599999999999</v>
      </c>
      <c r="AR355" s="19">
        <v>24101</v>
      </c>
      <c r="AS355" s="19">
        <v>24297.1</v>
      </c>
      <c r="AT355" s="19">
        <v>24502.2</v>
      </c>
      <c r="AU355" s="19">
        <v>24716.799999999999</v>
      </c>
      <c r="AV355" s="19">
        <v>24941.3</v>
      </c>
      <c r="AW355" s="19">
        <v>25176.1</v>
      </c>
      <c r="AX355" s="19">
        <v>25421.7</v>
      </c>
      <c r="AY355" s="19">
        <v>25678.6</v>
      </c>
      <c r="AZ355" s="19">
        <v>25947.4</v>
      </c>
      <c r="BA355" s="19">
        <v>26228.5</v>
      </c>
      <c r="BB355" s="19">
        <v>26522.6</v>
      </c>
      <c r="BC355" s="19">
        <v>26830.2</v>
      </c>
      <c r="BD355" s="19">
        <v>27152</v>
      </c>
      <c r="BE355" s="19">
        <v>27488.7</v>
      </c>
      <c r="BF355" s="19">
        <v>27841</v>
      </c>
      <c r="BG355" s="19">
        <v>28209.5</v>
      </c>
      <c r="BH355" s="19">
        <v>28595.200000000001</v>
      </c>
      <c r="BI355" s="19">
        <v>28998.799999999999</v>
      </c>
      <c r="BJ355" s="19">
        <v>29421.4</v>
      </c>
      <c r="BK355" s="19">
        <v>29863.8</v>
      </c>
      <c r="BL355" s="19">
        <v>29327.1</v>
      </c>
      <c r="BM355" s="19">
        <v>0</v>
      </c>
      <c r="BN355" s="19">
        <v>0</v>
      </c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>
        <v>0</v>
      </c>
      <c r="BV355" s="19">
        <v>0</v>
      </c>
      <c r="BW355" s="19">
        <v>0</v>
      </c>
      <c r="BX355" s="19">
        <v>0</v>
      </c>
      <c r="BY355" s="19">
        <v>0</v>
      </c>
      <c r="BZ355" s="19">
        <v>0</v>
      </c>
      <c r="CA355" s="19">
        <v>0</v>
      </c>
      <c r="CB355" s="19">
        <v>0</v>
      </c>
      <c r="CC355" s="19">
        <v>0</v>
      </c>
      <c r="CD355" s="19">
        <v>0</v>
      </c>
      <c r="CE355" s="19">
        <v>0</v>
      </c>
      <c r="CF355" s="19">
        <v>0</v>
      </c>
      <c r="CG355" s="19">
        <v>0</v>
      </c>
      <c r="CH355" s="19">
        <v>0</v>
      </c>
      <c r="CI355" s="19">
        <v>0</v>
      </c>
      <c r="CJ355" s="19">
        <v>0</v>
      </c>
      <c r="CK355" s="19">
        <v>0</v>
      </c>
      <c r="CL355" s="19">
        <v>0</v>
      </c>
      <c r="CM355" s="19">
        <v>0</v>
      </c>
      <c r="CN355" s="19">
        <v>0</v>
      </c>
      <c r="CO355" s="19">
        <v>0</v>
      </c>
      <c r="CP355" s="19">
        <v>0</v>
      </c>
      <c r="CQ355" s="19">
        <v>0</v>
      </c>
      <c r="CR355" s="19">
        <v>0</v>
      </c>
      <c r="CS355" s="19">
        <v>0</v>
      </c>
      <c r="CT355" s="19">
        <v>0</v>
      </c>
      <c r="CU355" s="19">
        <v>0</v>
      </c>
      <c r="CV355" s="19">
        <v>0</v>
      </c>
      <c r="CW355" s="19">
        <v>0</v>
      </c>
      <c r="CX355" s="19">
        <v>0</v>
      </c>
      <c r="CY355" s="19">
        <v>0</v>
      </c>
      <c r="CZ355" s="19">
        <v>0</v>
      </c>
      <c r="DA355" s="19">
        <v>0</v>
      </c>
      <c r="DB355" s="19">
        <v>0</v>
      </c>
      <c r="DC355" s="19">
        <v>0</v>
      </c>
      <c r="DD355" s="19">
        <v>0</v>
      </c>
      <c r="DE355" s="19">
        <v>0</v>
      </c>
      <c r="DF355" s="19">
        <v>0</v>
      </c>
      <c r="DG355" s="19">
        <v>0</v>
      </c>
    </row>
    <row r="356" spans="2:111" x14ac:dyDescent="0.15">
      <c r="B356" s="19" t="str">
        <f t="shared" si="5"/>
        <v>10_女_2</v>
      </c>
      <c r="C356" s="18">
        <v>10</v>
      </c>
      <c r="D356" s="18" t="s">
        <v>2</v>
      </c>
      <c r="E356" s="18">
        <v>2</v>
      </c>
      <c r="F356" s="19">
        <v>1442.6</v>
      </c>
      <c r="G356" s="19">
        <v>3354.3</v>
      </c>
      <c r="H356" s="19">
        <v>5648.7</v>
      </c>
      <c r="I356" s="19">
        <v>8229.9</v>
      </c>
      <c r="J356" s="19">
        <v>10042.1</v>
      </c>
      <c r="K356" s="19">
        <v>11977.6</v>
      </c>
      <c r="L356" s="19">
        <v>14043.5</v>
      </c>
      <c r="M356" s="19">
        <v>16247.2</v>
      </c>
      <c r="N356" s="19">
        <v>18596.8</v>
      </c>
      <c r="O356" s="19">
        <v>21100.6</v>
      </c>
      <c r="P356" s="19">
        <v>21153.5</v>
      </c>
      <c r="Q356" s="19">
        <v>21208.9</v>
      </c>
      <c r="R356" s="19">
        <v>21267</v>
      </c>
      <c r="S356" s="19">
        <v>21327.8</v>
      </c>
      <c r="T356" s="19">
        <v>21391.599999999999</v>
      </c>
      <c r="U356" s="19">
        <v>21458.400000000001</v>
      </c>
      <c r="V356" s="19">
        <v>21528.400000000001</v>
      </c>
      <c r="W356" s="19">
        <v>21601.9</v>
      </c>
      <c r="X356" s="19">
        <v>21678.799999999999</v>
      </c>
      <c r="Y356" s="19">
        <v>21759.5</v>
      </c>
      <c r="Z356" s="19">
        <v>21844.1</v>
      </c>
      <c r="AA356" s="19">
        <v>21932.799999999999</v>
      </c>
      <c r="AB356" s="19">
        <v>22025.8</v>
      </c>
      <c r="AC356" s="19">
        <v>22123.4</v>
      </c>
      <c r="AD356" s="19">
        <v>22225.7</v>
      </c>
      <c r="AE356" s="19">
        <v>22333</v>
      </c>
      <c r="AF356" s="19">
        <v>22445.5</v>
      </c>
      <c r="AG356" s="19">
        <v>22563.4</v>
      </c>
      <c r="AH356" s="19">
        <v>22687.1</v>
      </c>
      <c r="AI356" s="19">
        <v>22816.799999999999</v>
      </c>
      <c r="AJ356" s="19">
        <v>22952.6</v>
      </c>
      <c r="AK356" s="19">
        <v>23095</v>
      </c>
      <c r="AL356" s="19">
        <v>23244.1</v>
      </c>
      <c r="AM356" s="19">
        <v>23400.3</v>
      </c>
      <c r="AN356" s="19">
        <v>23563.8</v>
      </c>
      <c r="AO356" s="19">
        <v>23734.9</v>
      </c>
      <c r="AP356" s="19">
        <v>23914.1</v>
      </c>
      <c r="AQ356" s="19">
        <v>24101.5</v>
      </c>
      <c r="AR356" s="19">
        <v>24297.599999999999</v>
      </c>
      <c r="AS356" s="19">
        <v>24502.7</v>
      </c>
      <c r="AT356" s="19">
        <v>24717.3</v>
      </c>
      <c r="AU356" s="19">
        <v>24941.8</v>
      </c>
      <c r="AV356" s="19">
        <v>25176.6</v>
      </c>
      <c r="AW356" s="19">
        <v>25422.2</v>
      </c>
      <c r="AX356" s="19">
        <v>25679.1</v>
      </c>
      <c r="AY356" s="19">
        <v>25947.9</v>
      </c>
      <c r="AZ356" s="19">
        <v>26229</v>
      </c>
      <c r="BA356" s="19">
        <v>26523.1</v>
      </c>
      <c r="BB356" s="19">
        <v>26830.7</v>
      </c>
      <c r="BC356" s="19">
        <v>27152.5</v>
      </c>
      <c r="BD356" s="19">
        <v>27489.1</v>
      </c>
      <c r="BE356" s="19">
        <v>27841.3</v>
      </c>
      <c r="BF356" s="19">
        <v>28209.9</v>
      </c>
      <c r="BG356" s="19">
        <v>28595.5</v>
      </c>
      <c r="BH356" s="19">
        <v>28999.1</v>
      </c>
      <c r="BI356" s="19">
        <v>29421.5</v>
      </c>
      <c r="BJ356" s="19">
        <v>29863.9</v>
      </c>
      <c r="BK356" s="19">
        <v>29327.1</v>
      </c>
      <c r="BL356" s="19">
        <v>0</v>
      </c>
      <c r="BM356" s="19">
        <v>0</v>
      </c>
      <c r="BN356" s="19">
        <v>0</v>
      </c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>
        <v>0</v>
      </c>
      <c r="BV356" s="19">
        <v>0</v>
      </c>
      <c r="BW356" s="19">
        <v>0</v>
      </c>
      <c r="BX356" s="19">
        <v>0</v>
      </c>
      <c r="BY356" s="19">
        <v>0</v>
      </c>
      <c r="BZ356" s="19">
        <v>0</v>
      </c>
      <c r="CA356" s="19">
        <v>0</v>
      </c>
      <c r="CB356" s="19">
        <v>0</v>
      </c>
      <c r="CC356" s="19">
        <v>0</v>
      </c>
      <c r="CD356" s="19">
        <v>0</v>
      </c>
      <c r="CE356" s="19">
        <v>0</v>
      </c>
      <c r="CF356" s="19">
        <v>0</v>
      </c>
      <c r="CG356" s="19">
        <v>0</v>
      </c>
      <c r="CH356" s="19">
        <v>0</v>
      </c>
      <c r="CI356" s="19">
        <v>0</v>
      </c>
      <c r="CJ356" s="19">
        <v>0</v>
      </c>
      <c r="CK356" s="19">
        <v>0</v>
      </c>
      <c r="CL356" s="19">
        <v>0</v>
      </c>
      <c r="CM356" s="19">
        <v>0</v>
      </c>
      <c r="CN356" s="19">
        <v>0</v>
      </c>
      <c r="CO356" s="19">
        <v>0</v>
      </c>
      <c r="CP356" s="19">
        <v>0</v>
      </c>
      <c r="CQ356" s="19">
        <v>0</v>
      </c>
      <c r="CR356" s="19">
        <v>0</v>
      </c>
      <c r="CS356" s="19">
        <v>0</v>
      </c>
      <c r="CT356" s="19">
        <v>0</v>
      </c>
      <c r="CU356" s="19">
        <v>0</v>
      </c>
      <c r="CV356" s="19">
        <v>0</v>
      </c>
      <c r="CW356" s="19">
        <v>0</v>
      </c>
      <c r="CX356" s="19">
        <v>0</v>
      </c>
      <c r="CY356" s="19">
        <v>0</v>
      </c>
      <c r="CZ356" s="19">
        <v>0</v>
      </c>
      <c r="DA356" s="19">
        <v>0</v>
      </c>
      <c r="DB356" s="19">
        <v>0</v>
      </c>
      <c r="DC356" s="19">
        <v>0</v>
      </c>
      <c r="DD356" s="19">
        <v>0</v>
      </c>
      <c r="DE356" s="19">
        <v>0</v>
      </c>
      <c r="DF356" s="19">
        <v>0</v>
      </c>
      <c r="DG356" s="19">
        <v>0</v>
      </c>
    </row>
    <row r="357" spans="2:111" x14ac:dyDescent="0.15">
      <c r="B357" s="19" t="str">
        <f t="shared" si="5"/>
        <v>10_女_3</v>
      </c>
      <c r="C357" s="18">
        <v>10</v>
      </c>
      <c r="D357" s="18" t="s">
        <v>2</v>
      </c>
      <c r="E357" s="18">
        <v>3</v>
      </c>
      <c r="F357" s="19">
        <v>1445.4</v>
      </c>
      <c r="G357" s="19">
        <v>3360.8</v>
      </c>
      <c r="H357" s="19">
        <v>5659.7</v>
      </c>
      <c r="I357" s="19">
        <v>8245.9</v>
      </c>
      <c r="J357" s="19">
        <v>10063.4</v>
      </c>
      <c r="K357" s="19">
        <v>12004.5</v>
      </c>
      <c r="L357" s="19">
        <v>14076.3</v>
      </c>
      <c r="M357" s="19">
        <v>16286.4</v>
      </c>
      <c r="N357" s="19">
        <v>18642.8</v>
      </c>
      <c r="O357" s="19">
        <v>21153.7</v>
      </c>
      <c r="P357" s="19">
        <v>21209.1</v>
      </c>
      <c r="Q357" s="19">
        <v>21267.200000000001</v>
      </c>
      <c r="R357" s="19">
        <v>21328.1</v>
      </c>
      <c r="S357" s="19">
        <v>21391.8</v>
      </c>
      <c r="T357" s="19">
        <v>21458.7</v>
      </c>
      <c r="U357" s="19">
        <v>21528.7</v>
      </c>
      <c r="V357" s="19">
        <v>21602.2</v>
      </c>
      <c r="W357" s="19">
        <v>21679.1</v>
      </c>
      <c r="X357" s="19">
        <v>21759.8</v>
      </c>
      <c r="Y357" s="19">
        <v>21844.400000000001</v>
      </c>
      <c r="Z357" s="19">
        <v>21933.1</v>
      </c>
      <c r="AA357" s="19">
        <v>22026.2</v>
      </c>
      <c r="AB357" s="19">
        <v>22123.7</v>
      </c>
      <c r="AC357" s="19">
        <v>22226</v>
      </c>
      <c r="AD357" s="19">
        <v>22333.3</v>
      </c>
      <c r="AE357" s="19">
        <v>22445.8</v>
      </c>
      <c r="AF357" s="19">
        <v>22563.8</v>
      </c>
      <c r="AG357" s="19">
        <v>22687.5</v>
      </c>
      <c r="AH357" s="19">
        <v>22817.200000000001</v>
      </c>
      <c r="AI357" s="19">
        <v>22953.1</v>
      </c>
      <c r="AJ357" s="19">
        <v>23095.4</v>
      </c>
      <c r="AK357" s="19">
        <v>23244.6</v>
      </c>
      <c r="AL357" s="19">
        <v>23400.7</v>
      </c>
      <c r="AM357" s="19">
        <v>23564.3</v>
      </c>
      <c r="AN357" s="19">
        <v>23735.4</v>
      </c>
      <c r="AO357" s="19">
        <v>23914.6</v>
      </c>
      <c r="AP357" s="19">
        <v>24102</v>
      </c>
      <c r="AQ357" s="19">
        <v>24298.1</v>
      </c>
      <c r="AR357" s="19">
        <v>24503.200000000001</v>
      </c>
      <c r="AS357" s="19">
        <v>24717.8</v>
      </c>
      <c r="AT357" s="19">
        <v>24942.3</v>
      </c>
      <c r="AU357" s="19">
        <v>25177.1</v>
      </c>
      <c r="AV357" s="19">
        <v>25422.7</v>
      </c>
      <c r="AW357" s="19">
        <v>25679.599999999999</v>
      </c>
      <c r="AX357" s="19">
        <v>25948.400000000001</v>
      </c>
      <c r="AY357" s="19">
        <v>26229.5</v>
      </c>
      <c r="AZ357" s="19">
        <v>26523.5</v>
      </c>
      <c r="BA357" s="19">
        <v>26831.1</v>
      </c>
      <c r="BB357" s="19">
        <v>27152.9</v>
      </c>
      <c r="BC357" s="19">
        <v>27489.5</v>
      </c>
      <c r="BD357" s="19">
        <v>27841.7</v>
      </c>
      <c r="BE357" s="19">
        <v>28210.2</v>
      </c>
      <c r="BF357" s="19">
        <v>28595.8</v>
      </c>
      <c r="BG357" s="19">
        <v>28999.3</v>
      </c>
      <c r="BH357" s="19">
        <v>29421.7</v>
      </c>
      <c r="BI357" s="19">
        <v>29863.9</v>
      </c>
      <c r="BJ357" s="19">
        <v>29327.1</v>
      </c>
      <c r="BK357" s="19">
        <v>0</v>
      </c>
      <c r="BL357" s="19">
        <v>0</v>
      </c>
      <c r="BM357" s="19">
        <v>0</v>
      </c>
      <c r="BN357" s="19">
        <v>0</v>
      </c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>
        <v>0</v>
      </c>
      <c r="BV357" s="19">
        <v>0</v>
      </c>
      <c r="BW357" s="19">
        <v>0</v>
      </c>
      <c r="BX357" s="19">
        <v>0</v>
      </c>
      <c r="BY357" s="19">
        <v>0</v>
      </c>
      <c r="BZ357" s="19">
        <v>0</v>
      </c>
      <c r="CA357" s="19">
        <v>0</v>
      </c>
      <c r="CB357" s="19">
        <v>0</v>
      </c>
      <c r="CC357" s="19">
        <v>0</v>
      </c>
      <c r="CD357" s="19">
        <v>0</v>
      </c>
      <c r="CE357" s="19">
        <v>0</v>
      </c>
      <c r="CF357" s="19">
        <v>0</v>
      </c>
      <c r="CG357" s="19">
        <v>0</v>
      </c>
      <c r="CH357" s="19">
        <v>0</v>
      </c>
      <c r="CI357" s="19">
        <v>0</v>
      </c>
      <c r="CJ357" s="19">
        <v>0</v>
      </c>
      <c r="CK357" s="19">
        <v>0</v>
      </c>
      <c r="CL357" s="19">
        <v>0</v>
      </c>
      <c r="CM357" s="19">
        <v>0</v>
      </c>
      <c r="CN357" s="19">
        <v>0</v>
      </c>
      <c r="CO357" s="19">
        <v>0</v>
      </c>
      <c r="CP357" s="19">
        <v>0</v>
      </c>
      <c r="CQ357" s="19">
        <v>0</v>
      </c>
      <c r="CR357" s="19">
        <v>0</v>
      </c>
      <c r="CS357" s="19">
        <v>0</v>
      </c>
      <c r="CT357" s="19">
        <v>0</v>
      </c>
      <c r="CU357" s="19">
        <v>0</v>
      </c>
      <c r="CV357" s="19">
        <v>0</v>
      </c>
      <c r="CW357" s="19">
        <v>0</v>
      </c>
      <c r="CX357" s="19">
        <v>0</v>
      </c>
      <c r="CY357" s="19">
        <v>0</v>
      </c>
      <c r="CZ357" s="19">
        <v>0</v>
      </c>
      <c r="DA357" s="19">
        <v>0</v>
      </c>
      <c r="DB357" s="19">
        <v>0</v>
      </c>
      <c r="DC357" s="19">
        <v>0</v>
      </c>
      <c r="DD357" s="19">
        <v>0</v>
      </c>
      <c r="DE357" s="19">
        <v>0</v>
      </c>
      <c r="DF357" s="19">
        <v>0</v>
      </c>
      <c r="DG357" s="19">
        <v>0</v>
      </c>
    </row>
    <row r="358" spans="2:111" x14ac:dyDescent="0.15">
      <c r="B358" s="19" t="str">
        <f t="shared" si="5"/>
        <v>10_女_4</v>
      </c>
      <c r="C358" s="18">
        <v>10</v>
      </c>
      <c r="D358" s="18" t="s">
        <v>2</v>
      </c>
      <c r="E358" s="18">
        <v>4</v>
      </c>
      <c r="F358" s="19">
        <v>1448.3</v>
      </c>
      <c r="G358" s="19">
        <v>3367.6</v>
      </c>
      <c r="H358" s="19">
        <v>5671.1</v>
      </c>
      <c r="I358" s="19">
        <v>8262.5</v>
      </c>
      <c r="J358" s="19">
        <v>10085.5</v>
      </c>
      <c r="K358" s="19">
        <v>12032.5</v>
      </c>
      <c r="L358" s="19">
        <v>14110.7</v>
      </c>
      <c r="M358" s="19">
        <v>16327.5</v>
      </c>
      <c r="N358" s="19">
        <v>18690.900000000001</v>
      </c>
      <c r="O358" s="19">
        <v>21209.4</v>
      </c>
      <c r="P358" s="19">
        <v>21267.5</v>
      </c>
      <c r="Q358" s="19">
        <v>21328.3</v>
      </c>
      <c r="R358" s="19">
        <v>21392.1</v>
      </c>
      <c r="S358" s="19">
        <v>21459</v>
      </c>
      <c r="T358" s="19">
        <v>21529</v>
      </c>
      <c r="U358" s="19">
        <v>21602.5</v>
      </c>
      <c r="V358" s="19">
        <v>21679.4</v>
      </c>
      <c r="W358" s="19">
        <v>21760.2</v>
      </c>
      <c r="X358" s="19">
        <v>21844.799999999999</v>
      </c>
      <c r="Y358" s="19">
        <v>21933.5</v>
      </c>
      <c r="Z358" s="19">
        <v>22026.5</v>
      </c>
      <c r="AA358" s="19">
        <v>22124.1</v>
      </c>
      <c r="AB358" s="19">
        <v>22226.400000000001</v>
      </c>
      <c r="AC358" s="19">
        <v>22333.7</v>
      </c>
      <c r="AD358" s="19">
        <v>22446.2</v>
      </c>
      <c r="AE358" s="19">
        <v>22564.2</v>
      </c>
      <c r="AF358" s="19">
        <v>22687.9</v>
      </c>
      <c r="AG358" s="19">
        <v>22817.599999999999</v>
      </c>
      <c r="AH358" s="19">
        <v>22953.5</v>
      </c>
      <c r="AI358" s="19">
        <v>23095.9</v>
      </c>
      <c r="AJ358" s="19">
        <v>23245</v>
      </c>
      <c r="AK358" s="19">
        <v>23401.200000000001</v>
      </c>
      <c r="AL358" s="19">
        <v>23564.799999999999</v>
      </c>
      <c r="AM358" s="19">
        <v>23735.9</v>
      </c>
      <c r="AN358" s="19">
        <v>23915.1</v>
      </c>
      <c r="AO358" s="19">
        <v>24102.5</v>
      </c>
      <c r="AP358" s="19">
        <v>24298.6</v>
      </c>
      <c r="AQ358" s="19">
        <v>24503.8</v>
      </c>
      <c r="AR358" s="19">
        <v>24718.400000000001</v>
      </c>
      <c r="AS358" s="19">
        <v>24942.9</v>
      </c>
      <c r="AT358" s="19">
        <v>25177.7</v>
      </c>
      <c r="AU358" s="19">
        <v>25423.3</v>
      </c>
      <c r="AV358" s="19">
        <v>25680.2</v>
      </c>
      <c r="AW358" s="19">
        <v>25948.9</v>
      </c>
      <c r="AX358" s="19">
        <v>26230</v>
      </c>
      <c r="AY358" s="19">
        <v>26524.1</v>
      </c>
      <c r="AZ358" s="19">
        <v>26831.599999999999</v>
      </c>
      <c r="BA358" s="19">
        <v>27153.4</v>
      </c>
      <c r="BB358" s="19">
        <v>27490</v>
      </c>
      <c r="BC358" s="19">
        <v>27842.1</v>
      </c>
      <c r="BD358" s="19">
        <v>28210.6</v>
      </c>
      <c r="BE358" s="19">
        <v>28596.1</v>
      </c>
      <c r="BF358" s="19">
        <v>28999.5</v>
      </c>
      <c r="BG358" s="19">
        <v>29421.9</v>
      </c>
      <c r="BH358" s="19">
        <v>29864</v>
      </c>
      <c r="BI358" s="19">
        <v>29327.1</v>
      </c>
      <c r="BJ358" s="19">
        <v>0</v>
      </c>
      <c r="BK358" s="19">
        <v>0</v>
      </c>
      <c r="BL358" s="19">
        <v>0</v>
      </c>
      <c r="BM358" s="19">
        <v>0</v>
      </c>
      <c r="BN358" s="19">
        <v>0</v>
      </c>
      <c r="BO358" s="19">
        <v>0</v>
      </c>
      <c r="BP358" s="19">
        <v>0</v>
      </c>
      <c r="BQ358" s="19">
        <v>0</v>
      </c>
      <c r="BR358" s="19">
        <v>0</v>
      </c>
      <c r="BS358" s="19">
        <v>0</v>
      </c>
      <c r="BT358" s="19">
        <v>0</v>
      </c>
      <c r="BU358" s="19">
        <v>0</v>
      </c>
      <c r="BV358" s="19">
        <v>0</v>
      </c>
      <c r="BW358" s="19">
        <v>0</v>
      </c>
      <c r="BX358" s="19">
        <v>0</v>
      </c>
      <c r="BY358" s="19">
        <v>0</v>
      </c>
      <c r="BZ358" s="19">
        <v>0</v>
      </c>
      <c r="CA358" s="19">
        <v>0</v>
      </c>
      <c r="CB358" s="19">
        <v>0</v>
      </c>
      <c r="CC358" s="19">
        <v>0</v>
      </c>
      <c r="CD358" s="19">
        <v>0</v>
      </c>
      <c r="CE358" s="19">
        <v>0</v>
      </c>
      <c r="CF358" s="19">
        <v>0</v>
      </c>
      <c r="CG358" s="19">
        <v>0</v>
      </c>
      <c r="CH358" s="19">
        <v>0</v>
      </c>
      <c r="CI358" s="19">
        <v>0</v>
      </c>
      <c r="CJ358" s="19">
        <v>0</v>
      </c>
      <c r="CK358" s="19">
        <v>0</v>
      </c>
      <c r="CL358" s="19">
        <v>0</v>
      </c>
      <c r="CM358" s="19">
        <v>0</v>
      </c>
      <c r="CN358" s="19">
        <v>0</v>
      </c>
      <c r="CO358" s="19">
        <v>0</v>
      </c>
      <c r="CP358" s="19">
        <v>0</v>
      </c>
      <c r="CQ358" s="19">
        <v>0</v>
      </c>
      <c r="CR358" s="19">
        <v>0</v>
      </c>
      <c r="CS358" s="19">
        <v>0</v>
      </c>
      <c r="CT358" s="19">
        <v>0</v>
      </c>
      <c r="CU358" s="19">
        <v>0</v>
      </c>
      <c r="CV358" s="19">
        <v>0</v>
      </c>
      <c r="CW358" s="19">
        <v>0</v>
      </c>
      <c r="CX358" s="19">
        <v>0</v>
      </c>
      <c r="CY358" s="19">
        <v>0</v>
      </c>
      <c r="CZ358" s="19">
        <v>0</v>
      </c>
      <c r="DA358" s="19">
        <v>0</v>
      </c>
      <c r="DB358" s="19">
        <v>0</v>
      </c>
      <c r="DC358" s="19">
        <v>0</v>
      </c>
      <c r="DD358" s="19">
        <v>0</v>
      </c>
      <c r="DE358" s="19">
        <v>0</v>
      </c>
      <c r="DF358" s="19">
        <v>0</v>
      </c>
      <c r="DG358" s="19">
        <v>0</v>
      </c>
    </row>
    <row r="359" spans="2:111" x14ac:dyDescent="0.15">
      <c r="B359" s="19" t="str">
        <f t="shared" si="5"/>
        <v>10_女_5</v>
      </c>
      <c r="C359" s="18">
        <v>10</v>
      </c>
      <c r="D359" s="18" t="s">
        <v>2</v>
      </c>
      <c r="E359" s="18">
        <v>5</v>
      </c>
      <c r="F359" s="19">
        <v>1451.4</v>
      </c>
      <c r="G359" s="19">
        <v>3374.7</v>
      </c>
      <c r="H359" s="19">
        <v>5683.1</v>
      </c>
      <c r="I359" s="19">
        <v>8279.9</v>
      </c>
      <c r="J359" s="19">
        <v>10108.799999999999</v>
      </c>
      <c r="K359" s="19">
        <v>12062</v>
      </c>
      <c r="L359" s="19">
        <v>14146.7</v>
      </c>
      <c r="M359" s="19">
        <v>16370.5</v>
      </c>
      <c r="N359" s="19">
        <v>18741.400000000001</v>
      </c>
      <c r="O359" s="19">
        <v>21267.7</v>
      </c>
      <c r="P359" s="19">
        <v>21328.6</v>
      </c>
      <c r="Q359" s="19">
        <v>21392.400000000001</v>
      </c>
      <c r="R359" s="19">
        <v>21459.3</v>
      </c>
      <c r="S359" s="19">
        <v>21529.3</v>
      </c>
      <c r="T359" s="19">
        <v>21602.799999999999</v>
      </c>
      <c r="U359" s="19">
        <v>21679.8</v>
      </c>
      <c r="V359" s="19">
        <v>21760.5</v>
      </c>
      <c r="W359" s="19">
        <v>21845.1</v>
      </c>
      <c r="X359" s="19">
        <v>21933.8</v>
      </c>
      <c r="Y359" s="19">
        <v>22026.9</v>
      </c>
      <c r="Z359" s="19">
        <v>22124.5</v>
      </c>
      <c r="AA359" s="19">
        <v>22226.799999999999</v>
      </c>
      <c r="AB359" s="19">
        <v>22334.1</v>
      </c>
      <c r="AC359" s="19">
        <v>22446.7</v>
      </c>
      <c r="AD359" s="19">
        <v>22564.7</v>
      </c>
      <c r="AE359" s="19">
        <v>22688.400000000001</v>
      </c>
      <c r="AF359" s="19">
        <v>22818.1</v>
      </c>
      <c r="AG359" s="19">
        <v>22954</v>
      </c>
      <c r="AH359" s="19">
        <v>23096.400000000001</v>
      </c>
      <c r="AI359" s="19">
        <v>23245.5</v>
      </c>
      <c r="AJ359" s="19">
        <v>23401.7</v>
      </c>
      <c r="AK359" s="19">
        <v>23565.3</v>
      </c>
      <c r="AL359" s="19">
        <v>23736.5</v>
      </c>
      <c r="AM359" s="19">
        <v>23915.599999999999</v>
      </c>
      <c r="AN359" s="19">
        <v>24103.1</v>
      </c>
      <c r="AO359" s="19">
        <v>24299.200000000001</v>
      </c>
      <c r="AP359" s="19">
        <v>24504.400000000001</v>
      </c>
      <c r="AQ359" s="19">
        <v>24719</v>
      </c>
      <c r="AR359" s="19">
        <v>24943.5</v>
      </c>
      <c r="AS359" s="19">
        <v>25178.3</v>
      </c>
      <c r="AT359" s="19">
        <v>25423.9</v>
      </c>
      <c r="AU359" s="19">
        <v>25680.799999999999</v>
      </c>
      <c r="AV359" s="19">
        <v>25949.5</v>
      </c>
      <c r="AW359" s="19">
        <v>26230.6</v>
      </c>
      <c r="AX359" s="19">
        <v>26524.6</v>
      </c>
      <c r="AY359" s="19">
        <v>26832.1</v>
      </c>
      <c r="AZ359" s="19">
        <v>27153.9</v>
      </c>
      <c r="BA359" s="19">
        <v>27490.400000000001</v>
      </c>
      <c r="BB359" s="19">
        <v>27842.5</v>
      </c>
      <c r="BC359" s="19">
        <v>28210.9</v>
      </c>
      <c r="BD359" s="19">
        <v>28596.400000000001</v>
      </c>
      <c r="BE359" s="19">
        <v>28999.8</v>
      </c>
      <c r="BF359" s="19">
        <v>29422</v>
      </c>
      <c r="BG359" s="19">
        <v>29864.1</v>
      </c>
      <c r="BH359" s="19">
        <v>29327.1</v>
      </c>
      <c r="BI359" s="19">
        <v>0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  <c r="BP359" s="19">
        <v>0</v>
      </c>
      <c r="BQ359" s="19">
        <v>0</v>
      </c>
      <c r="BR359" s="19">
        <v>0</v>
      </c>
      <c r="BS359" s="19">
        <v>0</v>
      </c>
      <c r="BT359" s="19">
        <v>0</v>
      </c>
      <c r="BU359" s="19">
        <v>0</v>
      </c>
      <c r="BV359" s="19">
        <v>0</v>
      </c>
      <c r="BW359" s="19">
        <v>0</v>
      </c>
      <c r="BX359" s="19">
        <v>0</v>
      </c>
      <c r="BY359" s="19">
        <v>0</v>
      </c>
      <c r="BZ359" s="19">
        <v>0</v>
      </c>
      <c r="CA359" s="19">
        <v>0</v>
      </c>
      <c r="CB359" s="19">
        <v>0</v>
      </c>
      <c r="CC359" s="19">
        <v>0</v>
      </c>
      <c r="CD359" s="19">
        <v>0</v>
      </c>
      <c r="CE359" s="19">
        <v>0</v>
      </c>
      <c r="CF359" s="19">
        <v>0</v>
      </c>
      <c r="CG359" s="19">
        <v>0</v>
      </c>
      <c r="CH359" s="19">
        <v>0</v>
      </c>
      <c r="CI359" s="19">
        <v>0</v>
      </c>
      <c r="CJ359" s="19">
        <v>0</v>
      </c>
      <c r="CK359" s="19">
        <v>0</v>
      </c>
      <c r="CL359" s="19">
        <v>0</v>
      </c>
      <c r="CM359" s="19">
        <v>0</v>
      </c>
      <c r="CN359" s="19">
        <v>0</v>
      </c>
      <c r="CO359" s="19">
        <v>0</v>
      </c>
      <c r="CP359" s="19">
        <v>0</v>
      </c>
      <c r="CQ359" s="19">
        <v>0</v>
      </c>
      <c r="CR359" s="19">
        <v>0</v>
      </c>
      <c r="CS359" s="19">
        <v>0</v>
      </c>
      <c r="CT359" s="19">
        <v>0</v>
      </c>
      <c r="CU359" s="19">
        <v>0</v>
      </c>
      <c r="CV359" s="19">
        <v>0</v>
      </c>
      <c r="CW359" s="19">
        <v>0</v>
      </c>
      <c r="CX359" s="19">
        <v>0</v>
      </c>
      <c r="CY359" s="19">
        <v>0</v>
      </c>
      <c r="CZ359" s="19">
        <v>0</v>
      </c>
      <c r="DA359" s="19">
        <v>0</v>
      </c>
      <c r="DB359" s="19">
        <v>0</v>
      </c>
      <c r="DC359" s="19">
        <v>0</v>
      </c>
      <c r="DD359" s="19">
        <v>0</v>
      </c>
      <c r="DE359" s="19">
        <v>0</v>
      </c>
      <c r="DF359" s="19">
        <v>0</v>
      </c>
      <c r="DG359" s="19">
        <v>0</v>
      </c>
    </row>
    <row r="360" spans="2:111" x14ac:dyDescent="0.15">
      <c r="B360" s="19" t="str">
        <f t="shared" si="5"/>
        <v>10_女_6</v>
      </c>
      <c r="C360" s="18">
        <v>10</v>
      </c>
      <c r="D360" s="18" t="s">
        <v>2</v>
      </c>
      <c r="E360" s="18">
        <v>6</v>
      </c>
      <c r="F360" s="19">
        <v>1454.6</v>
      </c>
      <c r="G360" s="19">
        <v>3382.2</v>
      </c>
      <c r="H360" s="19">
        <v>5695.6</v>
      </c>
      <c r="I360" s="19">
        <v>8298.2000000000007</v>
      </c>
      <c r="J360" s="19">
        <v>10133.1</v>
      </c>
      <c r="K360" s="19">
        <v>12092.8</v>
      </c>
      <c r="L360" s="19">
        <v>14184.4</v>
      </c>
      <c r="M360" s="19">
        <v>16415.599999999999</v>
      </c>
      <c r="N360" s="19">
        <v>18794.2</v>
      </c>
      <c r="O360" s="19">
        <v>21328.9</v>
      </c>
      <c r="P360" s="19">
        <v>21392.7</v>
      </c>
      <c r="Q360" s="19">
        <v>21459.599999999999</v>
      </c>
      <c r="R360" s="19">
        <v>21529.599999999999</v>
      </c>
      <c r="S360" s="19">
        <v>21603.1</v>
      </c>
      <c r="T360" s="19">
        <v>21680.1</v>
      </c>
      <c r="U360" s="19">
        <v>21760.799999999999</v>
      </c>
      <c r="V360" s="19">
        <v>21845.5</v>
      </c>
      <c r="W360" s="19">
        <v>21934.2</v>
      </c>
      <c r="X360" s="19">
        <v>22027.3</v>
      </c>
      <c r="Y360" s="19">
        <v>22124.9</v>
      </c>
      <c r="Z360" s="19">
        <v>22227.200000000001</v>
      </c>
      <c r="AA360" s="19">
        <v>22334.5</v>
      </c>
      <c r="AB360" s="19">
        <v>22447.1</v>
      </c>
      <c r="AC360" s="19">
        <v>22565.1</v>
      </c>
      <c r="AD360" s="19">
        <v>22688.799999999999</v>
      </c>
      <c r="AE360" s="19">
        <v>22818.5</v>
      </c>
      <c r="AF360" s="19">
        <v>22954.5</v>
      </c>
      <c r="AG360" s="19">
        <v>23096.9</v>
      </c>
      <c r="AH360" s="19">
        <v>23246.1</v>
      </c>
      <c r="AI360" s="19">
        <v>23402.3</v>
      </c>
      <c r="AJ360" s="19">
        <v>23565.8</v>
      </c>
      <c r="AK360" s="19">
        <v>23737</v>
      </c>
      <c r="AL360" s="19">
        <v>23916.2</v>
      </c>
      <c r="AM360" s="19">
        <v>24103.599999999999</v>
      </c>
      <c r="AN360" s="19">
        <v>24299.8</v>
      </c>
      <c r="AO360" s="19">
        <v>24504.9</v>
      </c>
      <c r="AP360" s="19">
        <v>24719.5</v>
      </c>
      <c r="AQ360" s="19">
        <v>24944</v>
      </c>
      <c r="AR360" s="19">
        <v>25178.9</v>
      </c>
      <c r="AS360" s="19">
        <v>25424.400000000001</v>
      </c>
      <c r="AT360" s="19">
        <v>25681.3</v>
      </c>
      <c r="AU360" s="19">
        <v>25950.1</v>
      </c>
      <c r="AV360" s="19">
        <v>26231.1</v>
      </c>
      <c r="AW360" s="19">
        <v>26525.1</v>
      </c>
      <c r="AX360" s="19">
        <v>26832.7</v>
      </c>
      <c r="AY360" s="19">
        <v>27154.400000000001</v>
      </c>
      <c r="AZ360" s="19">
        <v>27490.9</v>
      </c>
      <c r="BA360" s="19">
        <v>27843</v>
      </c>
      <c r="BB360" s="19">
        <v>28211.3</v>
      </c>
      <c r="BC360" s="19">
        <v>28596.7</v>
      </c>
      <c r="BD360" s="19">
        <v>29000.1</v>
      </c>
      <c r="BE360" s="19">
        <v>29422.2</v>
      </c>
      <c r="BF360" s="19">
        <v>29864.2</v>
      </c>
      <c r="BG360" s="19">
        <v>29327.1</v>
      </c>
      <c r="BH360" s="19">
        <v>0</v>
      </c>
      <c r="BI360" s="19">
        <v>0</v>
      </c>
      <c r="BJ360" s="19">
        <v>0</v>
      </c>
      <c r="BK360" s="19">
        <v>0</v>
      </c>
      <c r="BL360" s="19">
        <v>0</v>
      </c>
      <c r="BM360" s="19">
        <v>0</v>
      </c>
      <c r="BN360" s="19">
        <v>0</v>
      </c>
      <c r="BO360" s="19">
        <v>0</v>
      </c>
      <c r="BP360" s="19">
        <v>0</v>
      </c>
      <c r="BQ360" s="19">
        <v>0</v>
      </c>
      <c r="BR360" s="19">
        <v>0</v>
      </c>
      <c r="BS360" s="19">
        <v>0</v>
      </c>
      <c r="BT360" s="19">
        <v>0</v>
      </c>
      <c r="BU360" s="19">
        <v>0</v>
      </c>
      <c r="BV360" s="19">
        <v>0</v>
      </c>
      <c r="BW360" s="19">
        <v>0</v>
      </c>
      <c r="BX360" s="19">
        <v>0</v>
      </c>
      <c r="BY360" s="19">
        <v>0</v>
      </c>
      <c r="BZ360" s="19">
        <v>0</v>
      </c>
      <c r="CA360" s="19">
        <v>0</v>
      </c>
      <c r="CB360" s="19">
        <v>0</v>
      </c>
      <c r="CC360" s="19">
        <v>0</v>
      </c>
      <c r="CD360" s="19">
        <v>0</v>
      </c>
      <c r="CE360" s="19">
        <v>0</v>
      </c>
      <c r="CF360" s="19">
        <v>0</v>
      </c>
      <c r="CG360" s="19">
        <v>0</v>
      </c>
      <c r="CH360" s="19">
        <v>0</v>
      </c>
      <c r="CI360" s="19">
        <v>0</v>
      </c>
      <c r="CJ360" s="19">
        <v>0</v>
      </c>
      <c r="CK360" s="19">
        <v>0</v>
      </c>
      <c r="CL360" s="19">
        <v>0</v>
      </c>
      <c r="CM360" s="19">
        <v>0</v>
      </c>
      <c r="CN360" s="19">
        <v>0</v>
      </c>
      <c r="CO360" s="19">
        <v>0</v>
      </c>
      <c r="CP360" s="19">
        <v>0</v>
      </c>
      <c r="CQ360" s="19">
        <v>0</v>
      </c>
      <c r="CR360" s="19">
        <v>0</v>
      </c>
      <c r="CS360" s="19">
        <v>0</v>
      </c>
      <c r="CT360" s="19">
        <v>0</v>
      </c>
      <c r="CU360" s="19">
        <v>0</v>
      </c>
      <c r="CV360" s="19">
        <v>0</v>
      </c>
      <c r="CW360" s="19">
        <v>0</v>
      </c>
      <c r="CX360" s="19">
        <v>0</v>
      </c>
      <c r="CY360" s="19">
        <v>0</v>
      </c>
      <c r="CZ360" s="19">
        <v>0</v>
      </c>
      <c r="DA360" s="19">
        <v>0</v>
      </c>
      <c r="DB360" s="19">
        <v>0</v>
      </c>
      <c r="DC360" s="19">
        <v>0</v>
      </c>
      <c r="DD360" s="19">
        <v>0</v>
      </c>
      <c r="DE360" s="19">
        <v>0</v>
      </c>
      <c r="DF360" s="19">
        <v>0</v>
      </c>
      <c r="DG360" s="19">
        <v>0</v>
      </c>
    </row>
    <row r="361" spans="2:111" x14ac:dyDescent="0.15">
      <c r="B361" s="19" t="str">
        <f t="shared" si="5"/>
        <v>10_女_7</v>
      </c>
      <c r="C361" s="18">
        <v>10</v>
      </c>
      <c r="D361" s="18" t="s">
        <v>2</v>
      </c>
      <c r="E361" s="18">
        <v>7</v>
      </c>
      <c r="F361" s="19">
        <v>1457.9</v>
      </c>
      <c r="G361" s="19">
        <v>3390</v>
      </c>
      <c r="H361" s="19">
        <v>5708.7</v>
      </c>
      <c r="I361" s="19">
        <v>8317.2999999999993</v>
      </c>
      <c r="J361" s="19">
        <v>10158.6</v>
      </c>
      <c r="K361" s="19">
        <v>12125</v>
      </c>
      <c r="L361" s="19">
        <v>14223.9</v>
      </c>
      <c r="M361" s="19">
        <v>16462.8</v>
      </c>
      <c r="N361" s="19">
        <v>18849.599999999999</v>
      </c>
      <c r="O361" s="19">
        <v>21393</v>
      </c>
      <c r="P361" s="19">
        <v>21459.9</v>
      </c>
      <c r="Q361" s="19">
        <v>21530</v>
      </c>
      <c r="R361" s="19">
        <v>21603.4</v>
      </c>
      <c r="S361" s="19">
        <v>21680.5</v>
      </c>
      <c r="T361" s="19">
        <v>21761.200000000001</v>
      </c>
      <c r="U361" s="19">
        <v>21845.8</v>
      </c>
      <c r="V361" s="19">
        <v>21934.6</v>
      </c>
      <c r="W361" s="19">
        <v>22027.7</v>
      </c>
      <c r="X361" s="19">
        <v>22125.3</v>
      </c>
      <c r="Y361" s="19">
        <v>22227.599999999999</v>
      </c>
      <c r="Z361" s="19">
        <v>22335</v>
      </c>
      <c r="AA361" s="19">
        <v>22447.5</v>
      </c>
      <c r="AB361" s="19">
        <v>22565.599999999999</v>
      </c>
      <c r="AC361" s="19">
        <v>22689.3</v>
      </c>
      <c r="AD361" s="19">
        <v>22819</v>
      </c>
      <c r="AE361" s="19">
        <v>22955</v>
      </c>
      <c r="AF361" s="19">
        <v>23097.4</v>
      </c>
      <c r="AG361" s="19">
        <v>23246.6</v>
      </c>
      <c r="AH361" s="19">
        <v>23402.799999999999</v>
      </c>
      <c r="AI361" s="19">
        <v>23566.400000000001</v>
      </c>
      <c r="AJ361" s="19">
        <v>23737.599999999999</v>
      </c>
      <c r="AK361" s="19">
        <v>23916.799999999999</v>
      </c>
      <c r="AL361" s="19">
        <v>24104.2</v>
      </c>
      <c r="AM361" s="19">
        <v>24300.400000000001</v>
      </c>
      <c r="AN361" s="19">
        <v>24505.5</v>
      </c>
      <c r="AO361" s="19">
        <v>24720.2</v>
      </c>
      <c r="AP361" s="19">
        <v>24944.7</v>
      </c>
      <c r="AQ361" s="19">
        <v>25179.5</v>
      </c>
      <c r="AR361" s="19">
        <v>25425.1</v>
      </c>
      <c r="AS361" s="19">
        <v>25681.9</v>
      </c>
      <c r="AT361" s="19">
        <v>25950.7</v>
      </c>
      <c r="AU361" s="19">
        <v>26231.7</v>
      </c>
      <c r="AV361" s="19">
        <v>26525.7</v>
      </c>
      <c r="AW361" s="19">
        <v>26833.200000000001</v>
      </c>
      <c r="AX361" s="19">
        <v>27154.9</v>
      </c>
      <c r="AY361" s="19">
        <v>27491.4</v>
      </c>
      <c r="AZ361" s="19">
        <v>27843.4</v>
      </c>
      <c r="BA361" s="19">
        <v>28211.7</v>
      </c>
      <c r="BB361" s="19">
        <v>28597.1</v>
      </c>
      <c r="BC361" s="19">
        <v>29000.3</v>
      </c>
      <c r="BD361" s="19">
        <v>29422.400000000001</v>
      </c>
      <c r="BE361" s="19">
        <v>29864.3</v>
      </c>
      <c r="BF361" s="19">
        <v>29327.1</v>
      </c>
      <c r="BG361" s="19">
        <v>0</v>
      </c>
      <c r="BH361" s="19">
        <v>0</v>
      </c>
      <c r="BI361" s="19">
        <v>0</v>
      </c>
      <c r="BJ361" s="19">
        <v>0</v>
      </c>
      <c r="BK361" s="19">
        <v>0</v>
      </c>
      <c r="BL361" s="19">
        <v>0</v>
      </c>
      <c r="BM361" s="19">
        <v>0</v>
      </c>
      <c r="BN361" s="19">
        <v>0</v>
      </c>
      <c r="BO361" s="19">
        <v>0</v>
      </c>
      <c r="BP361" s="19">
        <v>0</v>
      </c>
      <c r="BQ361" s="19">
        <v>0</v>
      </c>
      <c r="BR361" s="19">
        <v>0</v>
      </c>
      <c r="BS361" s="19">
        <v>0</v>
      </c>
      <c r="BT361" s="19">
        <v>0</v>
      </c>
      <c r="BU361" s="19">
        <v>0</v>
      </c>
      <c r="BV361" s="19">
        <v>0</v>
      </c>
      <c r="BW361" s="19">
        <v>0</v>
      </c>
      <c r="BX361" s="19">
        <v>0</v>
      </c>
      <c r="BY361" s="19">
        <v>0</v>
      </c>
      <c r="BZ361" s="19">
        <v>0</v>
      </c>
      <c r="CA361" s="19">
        <v>0</v>
      </c>
      <c r="CB361" s="19">
        <v>0</v>
      </c>
      <c r="CC361" s="19">
        <v>0</v>
      </c>
      <c r="CD361" s="19">
        <v>0</v>
      </c>
      <c r="CE361" s="19">
        <v>0</v>
      </c>
      <c r="CF361" s="19">
        <v>0</v>
      </c>
      <c r="CG361" s="19">
        <v>0</v>
      </c>
      <c r="CH361" s="19">
        <v>0</v>
      </c>
      <c r="CI361" s="19">
        <v>0</v>
      </c>
      <c r="CJ361" s="19">
        <v>0</v>
      </c>
      <c r="CK361" s="19">
        <v>0</v>
      </c>
      <c r="CL361" s="19">
        <v>0</v>
      </c>
      <c r="CM361" s="19">
        <v>0</v>
      </c>
      <c r="CN361" s="19">
        <v>0</v>
      </c>
      <c r="CO361" s="19">
        <v>0</v>
      </c>
      <c r="CP361" s="19">
        <v>0</v>
      </c>
      <c r="CQ361" s="19">
        <v>0</v>
      </c>
      <c r="CR361" s="19">
        <v>0</v>
      </c>
      <c r="CS361" s="19">
        <v>0</v>
      </c>
      <c r="CT361" s="19">
        <v>0</v>
      </c>
      <c r="CU361" s="19">
        <v>0</v>
      </c>
      <c r="CV361" s="19">
        <v>0</v>
      </c>
      <c r="CW361" s="19">
        <v>0</v>
      </c>
      <c r="CX361" s="19">
        <v>0</v>
      </c>
      <c r="CY361" s="19">
        <v>0</v>
      </c>
      <c r="CZ361" s="19">
        <v>0</v>
      </c>
      <c r="DA361" s="19">
        <v>0</v>
      </c>
      <c r="DB361" s="19">
        <v>0</v>
      </c>
      <c r="DC361" s="19">
        <v>0</v>
      </c>
      <c r="DD361" s="19">
        <v>0</v>
      </c>
      <c r="DE361" s="19">
        <v>0</v>
      </c>
      <c r="DF361" s="19">
        <v>0</v>
      </c>
      <c r="DG361" s="19">
        <v>0</v>
      </c>
    </row>
    <row r="362" spans="2:111" x14ac:dyDescent="0.15">
      <c r="B362" s="19" t="str">
        <f t="shared" si="5"/>
        <v>10_女_8</v>
      </c>
      <c r="C362" s="18">
        <v>10</v>
      </c>
      <c r="D362" s="18" t="s">
        <v>2</v>
      </c>
      <c r="E362" s="18">
        <v>8</v>
      </c>
      <c r="F362" s="19">
        <v>1461.5</v>
      </c>
      <c r="G362" s="19">
        <v>3398.2</v>
      </c>
      <c r="H362" s="19">
        <v>5722.5</v>
      </c>
      <c r="I362" s="19">
        <v>8337.2999999999993</v>
      </c>
      <c r="J362" s="19">
        <v>10185.200000000001</v>
      </c>
      <c r="K362" s="19">
        <v>12158.8</v>
      </c>
      <c r="L362" s="19">
        <v>14265.3</v>
      </c>
      <c r="M362" s="19">
        <v>16512.2</v>
      </c>
      <c r="N362" s="19">
        <v>18907.7</v>
      </c>
      <c r="O362" s="19">
        <v>21460.2</v>
      </c>
      <c r="P362" s="19">
        <v>21530.3</v>
      </c>
      <c r="Q362" s="19">
        <v>21603.8</v>
      </c>
      <c r="R362" s="19">
        <v>21680.799999999999</v>
      </c>
      <c r="S362" s="19">
        <v>21761.599999999999</v>
      </c>
      <c r="T362" s="19">
        <v>21846.2</v>
      </c>
      <c r="U362" s="19">
        <v>21935</v>
      </c>
      <c r="V362" s="19">
        <v>22028.1</v>
      </c>
      <c r="W362" s="19">
        <v>22125.7</v>
      </c>
      <c r="X362" s="19">
        <v>22228.1</v>
      </c>
      <c r="Y362" s="19">
        <v>22335.4</v>
      </c>
      <c r="Z362" s="19">
        <v>22448</v>
      </c>
      <c r="AA362" s="19">
        <v>22566</v>
      </c>
      <c r="AB362" s="19">
        <v>22689.8</v>
      </c>
      <c r="AC362" s="19">
        <v>22819.5</v>
      </c>
      <c r="AD362" s="19">
        <v>22955.5</v>
      </c>
      <c r="AE362" s="19">
        <v>23097.9</v>
      </c>
      <c r="AF362" s="19">
        <v>23247.1</v>
      </c>
      <c r="AG362" s="19">
        <v>23403.4</v>
      </c>
      <c r="AH362" s="19">
        <v>23566.9</v>
      </c>
      <c r="AI362" s="19">
        <v>23738.2</v>
      </c>
      <c r="AJ362" s="19">
        <v>23917.3</v>
      </c>
      <c r="AK362" s="19">
        <v>24104.799999999999</v>
      </c>
      <c r="AL362" s="19">
        <v>24301</v>
      </c>
      <c r="AM362" s="19">
        <v>24506.2</v>
      </c>
      <c r="AN362" s="19">
        <v>24720.799999999999</v>
      </c>
      <c r="AO362" s="19">
        <v>24945.3</v>
      </c>
      <c r="AP362" s="19">
        <v>25180.1</v>
      </c>
      <c r="AQ362" s="19">
        <v>25425.7</v>
      </c>
      <c r="AR362" s="19">
        <v>25682.6</v>
      </c>
      <c r="AS362" s="19">
        <v>25951.3</v>
      </c>
      <c r="AT362" s="19">
        <v>26232.3</v>
      </c>
      <c r="AU362" s="19">
        <v>26526.3</v>
      </c>
      <c r="AV362" s="19">
        <v>26833.8</v>
      </c>
      <c r="AW362" s="19">
        <v>27155.4</v>
      </c>
      <c r="AX362" s="19">
        <v>27491.9</v>
      </c>
      <c r="AY362" s="19">
        <v>27843.9</v>
      </c>
      <c r="AZ362" s="19">
        <v>28212.1</v>
      </c>
      <c r="BA362" s="19">
        <v>28597.4</v>
      </c>
      <c r="BB362" s="19">
        <v>29000.6</v>
      </c>
      <c r="BC362" s="19">
        <v>29422.6</v>
      </c>
      <c r="BD362" s="19">
        <v>29864.400000000001</v>
      </c>
      <c r="BE362" s="19">
        <v>29327.1</v>
      </c>
      <c r="BF362" s="19">
        <v>0</v>
      </c>
      <c r="BG362" s="19">
        <v>0</v>
      </c>
      <c r="BH362" s="19">
        <v>0</v>
      </c>
      <c r="BI362" s="19">
        <v>0</v>
      </c>
      <c r="BJ362" s="19">
        <v>0</v>
      </c>
      <c r="BK362" s="19">
        <v>0</v>
      </c>
      <c r="BL362" s="19">
        <v>0</v>
      </c>
      <c r="BM362" s="19">
        <v>0</v>
      </c>
      <c r="BN362" s="19">
        <v>0</v>
      </c>
      <c r="BO362" s="19">
        <v>0</v>
      </c>
      <c r="BP362" s="19">
        <v>0</v>
      </c>
      <c r="BQ362" s="19">
        <v>0</v>
      </c>
      <c r="BR362" s="19">
        <v>0</v>
      </c>
      <c r="BS362" s="19">
        <v>0</v>
      </c>
      <c r="BT362" s="19">
        <v>0</v>
      </c>
      <c r="BU362" s="19">
        <v>0</v>
      </c>
      <c r="BV362" s="19">
        <v>0</v>
      </c>
      <c r="BW362" s="19">
        <v>0</v>
      </c>
      <c r="BX362" s="19">
        <v>0</v>
      </c>
      <c r="BY362" s="19">
        <v>0</v>
      </c>
      <c r="BZ362" s="19">
        <v>0</v>
      </c>
      <c r="CA362" s="19">
        <v>0</v>
      </c>
      <c r="CB362" s="19">
        <v>0</v>
      </c>
      <c r="CC362" s="19">
        <v>0</v>
      </c>
      <c r="CD362" s="19">
        <v>0</v>
      </c>
      <c r="CE362" s="19">
        <v>0</v>
      </c>
      <c r="CF362" s="19">
        <v>0</v>
      </c>
      <c r="CG362" s="19">
        <v>0</v>
      </c>
      <c r="CH362" s="19">
        <v>0</v>
      </c>
      <c r="CI362" s="19">
        <v>0</v>
      </c>
      <c r="CJ362" s="19">
        <v>0</v>
      </c>
      <c r="CK362" s="19">
        <v>0</v>
      </c>
      <c r="CL362" s="19">
        <v>0</v>
      </c>
      <c r="CM362" s="19">
        <v>0</v>
      </c>
      <c r="CN362" s="19">
        <v>0</v>
      </c>
      <c r="CO362" s="19">
        <v>0</v>
      </c>
      <c r="CP362" s="19">
        <v>0</v>
      </c>
      <c r="CQ362" s="19">
        <v>0</v>
      </c>
      <c r="CR362" s="19">
        <v>0</v>
      </c>
      <c r="CS362" s="19">
        <v>0</v>
      </c>
      <c r="CT362" s="19">
        <v>0</v>
      </c>
      <c r="CU362" s="19">
        <v>0</v>
      </c>
      <c r="CV362" s="19">
        <v>0</v>
      </c>
      <c r="CW362" s="19">
        <v>0</v>
      </c>
      <c r="CX362" s="19">
        <v>0</v>
      </c>
      <c r="CY362" s="19">
        <v>0</v>
      </c>
      <c r="CZ362" s="19">
        <v>0</v>
      </c>
      <c r="DA362" s="19">
        <v>0</v>
      </c>
      <c r="DB362" s="19">
        <v>0</v>
      </c>
      <c r="DC362" s="19">
        <v>0</v>
      </c>
      <c r="DD362" s="19">
        <v>0</v>
      </c>
      <c r="DE362" s="19">
        <v>0</v>
      </c>
      <c r="DF362" s="19">
        <v>0</v>
      </c>
      <c r="DG362" s="19">
        <v>0</v>
      </c>
    </row>
    <row r="363" spans="2:111" x14ac:dyDescent="0.15">
      <c r="B363" s="19" t="str">
        <f t="shared" si="5"/>
        <v>10_女_9</v>
      </c>
      <c r="C363" s="18">
        <v>10</v>
      </c>
      <c r="D363" s="18" t="s">
        <v>2</v>
      </c>
      <c r="E363" s="18">
        <v>9</v>
      </c>
      <c r="F363" s="19">
        <v>1465.1</v>
      </c>
      <c r="G363" s="19">
        <v>3406.7</v>
      </c>
      <c r="H363" s="19">
        <v>5736.9</v>
      </c>
      <c r="I363" s="19">
        <v>8358.2000000000007</v>
      </c>
      <c r="J363" s="19">
        <v>10213.200000000001</v>
      </c>
      <c r="K363" s="19">
        <v>12194.2</v>
      </c>
      <c r="L363" s="19">
        <v>14308.6</v>
      </c>
      <c r="M363" s="19">
        <v>16564</v>
      </c>
      <c r="N363" s="19">
        <v>18968.5</v>
      </c>
      <c r="O363" s="19">
        <v>21530.7</v>
      </c>
      <c r="P363" s="19">
        <v>21604.1</v>
      </c>
      <c r="Q363" s="19">
        <v>21681.200000000001</v>
      </c>
      <c r="R363" s="19">
        <v>21762</v>
      </c>
      <c r="S363" s="19">
        <v>21846.6</v>
      </c>
      <c r="T363" s="19">
        <v>21935.4</v>
      </c>
      <c r="U363" s="19">
        <v>22028.5</v>
      </c>
      <c r="V363" s="19">
        <v>22126.1</v>
      </c>
      <c r="W363" s="19">
        <v>22228.5</v>
      </c>
      <c r="X363" s="19">
        <v>22335.9</v>
      </c>
      <c r="Y363" s="19">
        <v>22448.5</v>
      </c>
      <c r="Z363" s="19">
        <v>22566.5</v>
      </c>
      <c r="AA363" s="19">
        <v>22690.3</v>
      </c>
      <c r="AB363" s="19">
        <v>22820</v>
      </c>
      <c r="AC363" s="19">
        <v>22956</v>
      </c>
      <c r="AD363" s="19">
        <v>23098.5</v>
      </c>
      <c r="AE363" s="19">
        <v>23247.7</v>
      </c>
      <c r="AF363" s="19">
        <v>23403.9</v>
      </c>
      <c r="AG363" s="19">
        <v>23567.5</v>
      </c>
      <c r="AH363" s="19">
        <v>23738.799999999999</v>
      </c>
      <c r="AI363" s="19">
        <v>23918</v>
      </c>
      <c r="AJ363" s="19">
        <v>24105.4</v>
      </c>
      <c r="AK363" s="19">
        <v>24301.599999999999</v>
      </c>
      <c r="AL363" s="19">
        <v>24506.799999999999</v>
      </c>
      <c r="AM363" s="19">
        <v>24721.4</v>
      </c>
      <c r="AN363" s="19">
        <v>24945.9</v>
      </c>
      <c r="AO363" s="19">
        <v>25180.7</v>
      </c>
      <c r="AP363" s="19">
        <v>25426.3</v>
      </c>
      <c r="AQ363" s="19">
        <v>25683.200000000001</v>
      </c>
      <c r="AR363" s="19">
        <v>25951.9</v>
      </c>
      <c r="AS363" s="19">
        <v>26232.9</v>
      </c>
      <c r="AT363" s="19">
        <v>26526.9</v>
      </c>
      <c r="AU363" s="19">
        <v>26834.400000000001</v>
      </c>
      <c r="AV363" s="19">
        <v>27156</v>
      </c>
      <c r="AW363" s="19">
        <v>27492.400000000001</v>
      </c>
      <c r="AX363" s="19">
        <v>27844.3</v>
      </c>
      <c r="AY363" s="19">
        <v>28212.5</v>
      </c>
      <c r="AZ363" s="19">
        <v>28597.8</v>
      </c>
      <c r="BA363" s="19">
        <v>29000.9</v>
      </c>
      <c r="BB363" s="19">
        <v>29422.799999999999</v>
      </c>
      <c r="BC363" s="19">
        <v>29864.6</v>
      </c>
      <c r="BD363" s="19">
        <v>29327.1</v>
      </c>
      <c r="BE363" s="19">
        <v>0</v>
      </c>
      <c r="BF363" s="19">
        <v>0</v>
      </c>
      <c r="BG363" s="19">
        <v>0</v>
      </c>
      <c r="BH363" s="19">
        <v>0</v>
      </c>
      <c r="BI363" s="19">
        <v>0</v>
      </c>
      <c r="BJ363" s="19">
        <v>0</v>
      </c>
      <c r="BK363" s="19">
        <v>0</v>
      </c>
      <c r="BL363" s="19">
        <v>0</v>
      </c>
      <c r="BM363" s="19">
        <v>0</v>
      </c>
      <c r="BN363" s="19">
        <v>0</v>
      </c>
      <c r="BO363" s="19">
        <v>0</v>
      </c>
      <c r="BP363" s="19">
        <v>0</v>
      </c>
      <c r="BQ363" s="19">
        <v>0</v>
      </c>
      <c r="BR363" s="19">
        <v>0</v>
      </c>
      <c r="BS363" s="19">
        <v>0</v>
      </c>
      <c r="BT363" s="19">
        <v>0</v>
      </c>
      <c r="BU363" s="19">
        <v>0</v>
      </c>
      <c r="BV363" s="19">
        <v>0</v>
      </c>
      <c r="BW363" s="19">
        <v>0</v>
      </c>
      <c r="BX363" s="19">
        <v>0</v>
      </c>
      <c r="BY363" s="19">
        <v>0</v>
      </c>
      <c r="BZ363" s="19">
        <v>0</v>
      </c>
      <c r="CA363" s="19">
        <v>0</v>
      </c>
      <c r="CB363" s="19">
        <v>0</v>
      </c>
      <c r="CC363" s="19">
        <v>0</v>
      </c>
      <c r="CD363" s="19">
        <v>0</v>
      </c>
      <c r="CE363" s="19">
        <v>0</v>
      </c>
      <c r="CF363" s="19">
        <v>0</v>
      </c>
      <c r="CG363" s="19">
        <v>0</v>
      </c>
      <c r="CH363" s="19">
        <v>0</v>
      </c>
      <c r="CI363" s="19">
        <v>0</v>
      </c>
      <c r="CJ363" s="19">
        <v>0</v>
      </c>
      <c r="CK363" s="19">
        <v>0</v>
      </c>
      <c r="CL363" s="19">
        <v>0</v>
      </c>
      <c r="CM363" s="19">
        <v>0</v>
      </c>
      <c r="CN363" s="19">
        <v>0</v>
      </c>
      <c r="CO363" s="19">
        <v>0</v>
      </c>
      <c r="CP363" s="19">
        <v>0</v>
      </c>
      <c r="CQ363" s="19">
        <v>0</v>
      </c>
      <c r="CR363" s="19">
        <v>0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0</v>
      </c>
      <c r="DC363" s="19">
        <v>0</v>
      </c>
      <c r="DD363" s="19">
        <v>0</v>
      </c>
      <c r="DE363" s="19">
        <v>0</v>
      </c>
      <c r="DF363" s="19">
        <v>0</v>
      </c>
      <c r="DG363" s="19">
        <v>0</v>
      </c>
    </row>
    <row r="364" spans="2:111" x14ac:dyDescent="0.15">
      <c r="B364" s="19" t="str">
        <f t="shared" si="5"/>
        <v>10_女_10</v>
      </c>
      <c r="C364" s="18">
        <v>10</v>
      </c>
      <c r="D364" s="18" t="s">
        <v>2</v>
      </c>
      <c r="E364" s="18">
        <v>10</v>
      </c>
      <c r="F364" s="19">
        <v>1469</v>
      </c>
      <c r="G364" s="19">
        <v>3415.7</v>
      </c>
      <c r="H364" s="19">
        <v>5752</v>
      </c>
      <c r="I364" s="19">
        <v>8380.2000000000007</v>
      </c>
      <c r="J364" s="19">
        <v>10242.4</v>
      </c>
      <c r="K364" s="19">
        <v>12231.3</v>
      </c>
      <c r="L364" s="19">
        <v>14354</v>
      </c>
      <c r="M364" s="19">
        <v>16618.3</v>
      </c>
      <c r="N364" s="19">
        <v>19032.3</v>
      </c>
      <c r="O364" s="19">
        <v>21604.5</v>
      </c>
      <c r="P364" s="19">
        <v>21681.599999999999</v>
      </c>
      <c r="Q364" s="19">
        <v>21762.3</v>
      </c>
      <c r="R364" s="19">
        <v>21847</v>
      </c>
      <c r="S364" s="19">
        <v>21935.8</v>
      </c>
      <c r="T364" s="19">
        <v>22028.9</v>
      </c>
      <c r="U364" s="19">
        <v>22126.6</v>
      </c>
      <c r="V364" s="19">
        <v>22229</v>
      </c>
      <c r="W364" s="19">
        <v>22336.3</v>
      </c>
      <c r="X364" s="19">
        <v>22449</v>
      </c>
      <c r="Y364" s="19">
        <v>22567</v>
      </c>
      <c r="Z364" s="19">
        <v>22690.799999999999</v>
      </c>
      <c r="AA364" s="19">
        <v>22820.6</v>
      </c>
      <c r="AB364" s="19">
        <v>22956.6</v>
      </c>
      <c r="AC364" s="19">
        <v>23099</v>
      </c>
      <c r="AD364" s="19">
        <v>23248.3</v>
      </c>
      <c r="AE364" s="19">
        <v>23404.5</v>
      </c>
      <c r="AF364" s="19">
        <v>23568.1</v>
      </c>
      <c r="AG364" s="19">
        <v>23739.4</v>
      </c>
      <c r="AH364" s="19">
        <v>23918.6</v>
      </c>
      <c r="AI364" s="19">
        <v>24106.1</v>
      </c>
      <c r="AJ364" s="19">
        <v>24302.3</v>
      </c>
      <c r="AK364" s="19">
        <v>24507.5</v>
      </c>
      <c r="AL364" s="19">
        <v>24722.1</v>
      </c>
      <c r="AM364" s="19">
        <v>24946.6</v>
      </c>
      <c r="AN364" s="19">
        <v>25181.4</v>
      </c>
      <c r="AO364" s="19">
        <v>25427</v>
      </c>
      <c r="AP364" s="19">
        <v>25683.9</v>
      </c>
      <c r="AQ364" s="19">
        <v>25952.6</v>
      </c>
      <c r="AR364" s="19">
        <v>26233.599999999999</v>
      </c>
      <c r="AS364" s="19">
        <v>26527.5</v>
      </c>
      <c r="AT364" s="19">
        <v>26835</v>
      </c>
      <c r="AU364" s="19">
        <v>27156.6</v>
      </c>
      <c r="AV364" s="19">
        <v>27492.9</v>
      </c>
      <c r="AW364" s="19">
        <v>27844.799999999999</v>
      </c>
      <c r="AX364" s="19">
        <v>28213</v>
      </c>
      <c r="AY364" s="19">
        <v>28598.1</v>
      </c>
      <c r="AZ364" s="19">
        <v>29001.200000000001</v>
      </c>
      <c r="BA364" s="19">
        <v>29423</v>
      </c>
      <c r="BB364" s="19">
        <v>29864.7</v>
      </c>
      <c r="BC364" s="19">
        <v>29327.1</v>
      </c>
      <c r="BD364" s="19">
        <v>0</v>
      </c>
      <c r="BE364" s="19">
        <v>0</v>
      </c>
      <c r="BF364" s="19">
        <v>0</v>
      </c>
      <c r="BG364" s="19">
        <v>0</v>
      </c>
      <c r="BH364" s="19">
        <v>0</v>
      </c>
      <c r="BI364" s="19">
        <v>0</v>
      </c>
      <c r="BJ364" s="19">
        <v>0</v>
      </c>
      <c r="BK364" s="19">
        <v>0</v>
      </c>
      <c r="BL364" s="19">
        <v>0</v>
      </c>
      <c r="BM364" s="19">
        <v>0</v>
      </c>
      <c r="BN364" s="19">
        <v>0</v>
      </c>
      <c r="BO364" s="19">
        <v>0</v>
      </c>
      <c r="BP364" s="19">
        <v>0</v>
      </c>
      <c r="BQ364" s="19">
        <v>0</v>
      </c>
      <c r="BR364" s="19">
        <v>0</v>
      </c>
      <c r="BS364" s="19">
        <v>0</v>
      </c>
      <c r="BT364" s="19">
        <v>0</v>
      </c>
      <c r="BU364" s="19">
        <v>0</v>
      </c>
      <c r="BV364" s="19">
        <v>0</v>
      </c>
      <c r="BW364" s="19">
        <v>0</v>
      </c>
      <c r="BX364" s="19">
        <v>0</v>
      </c>
      <c r="BY364" s="19">
        <v>0</v>
      </c>
      <c r="BZ364" s="19">
        <v>0</v>
      </c>
      <c r="CA364" s="19">
        <v>0</v>
      </c>
      <c r="CB364" s="19">
        <v>0</v>
      </c>
      <c r="CC364" s="19">
        <v>0</v>
      </c>
      <c r="CD364" s="19">
        <v>0</v>
      </c>
      <c r="CE364" s="19">
        <v>0</v>
      </c>
      <c r="CF364" s="19">
        <v>0</v>
      </c>
      <c r="CG364" s="19">
        <v>0</v>
      </c>
      <c r="CH364" s="19">
        <v>0</v>
      </c>
      <c r="CI364" s="19">
        <v>0</v>
      </c>
      <c r="CJ364" s="19">
        <v>0</v>
      </c>
      <c r="CK364" s="19">
        <v>0</v>
      </c>
      <c r="CL364" s="19">
        <v>0</v>
      </c>
      <c r="CM364" s="19">
        <v>0</v>
      </c>
      <c r="CN364" s="19">
        <v>0</v>
      </c>
      <c r="CO364" s="19">
        <v>0</v>
      </c>
      <c r="CP364" s="19">
        <v>0</v>
      </c>
      <c r="CQ364" s="19">
        <v>0</v>
      </c>
      <c r="CR364" s="19">
        <v>0</v>
      </c>
      <c r="CS364" s="19">
        <v>0</v>
      </c>
      <c r="CT364" s="19">
        <v>0</v>
      </c>
      <c r="CU364" s="19">
        <v>0</v>
      </c>
      <c r="CV364" s="19">
        <v>0</v>
      </c>
      <c r="CW364" s="19">
        <v>0</v>
      </c>
      <c r="CX364" s="19">
        <v>0</v>
      </c>
      <c r="CY364" s="19">
        <v>0</v>
      </c>
      <c r="CZ364" s="19">
        <v>0</v>
      </c>
      <c r="DA364" s="19">
        <v>0</v>
      </c>
      <c r="DB364" s="19">
        <v>0</v>
      </c>
      <c r="DC364" s="19">
        <v>0</v>
      </c>
      <c r="DD364" s="19">
        <v>0</v>
      </c>
      <c r="DE364" s="19">
        <v>0</v>
      </c>
      <c r="DF364" s="19">
        <v>0</v>
      </c>
      <c r="DG364" s="19">
        <v>0</v>
      </c>
    </row>
    <row r="365" spans="2:111" x14ac:dyDescent="0.15">
      <c r="B365" s="19" t="str">
        <f t="shared" si="5"/>
        <v>10_女_11</v>
      </c>
      <c r="C365" s="18">
        <v>10</v>
      </c>
      <c r="D365" s="18" t="s">
        <v>2</v>
      </c>
      <c r="E365" s="18">
        <v>11</v>
      </c>
      <c r="F365" s="19">
        <v>1473</v>
      </c>
      <c r="G365" s="19">
        <v>3425.1</v>
      </c>
      <c r="H365" s="19">
        <v>5767.7</v>
      </c>
      <c r="I365" s="19">
        <v>8403.1</v>
      </c>
      <c r="J365" s="19">
        <v>10273.1</v>
      </c>
      <c r="K365" s="19">
        <v>12270.1</v>
      </c>
      <c r="L365" s="19">
        <v>14401.6</v>
      </c>
      <c r="M365" s="19">
        <v>16675.2</v>
      </c>
      <c r="N365" s="19">
        <v>19099.099999999999</v>
      </c>
      <c r="O365" s="19">
        <v>21682</v>
      </c>
      <c r="P365" s="19">
        <v>21762.799999999999</v>
      </c>
      <c r="Q365" s="19">
        <v>21847.4</v>
      </c>
      <c r="R365" s="19">
        <v>21936.3</v>
      </c>
      <c r="S365" s="19">
        <v>22029.4</v>
      </c>
      <c r="T365" s="19">
        <v>22127</v>
      </c>
      <c r="U365" s="19">
        <v>22229.4</v>
      </c>
      <c r="V365" s="19">
        <v>22336.799999999999</v>
      </c>
      <c r="W365" s="19">
        <v>22449.5</v>
      </c>
      <c r="X365" s="19">
        <v>22567.5</v>
      </c>
      <c r="Y365" s="19">
        <v>22691.4</v>
      </c>
      <c r="Z365" s="19">
        <v>22821.1</v>
      </c>
      <c r="AA365" s="19">
        <v>22957.1</v>
      </c>
      <c r="AB365" s="19">
        <v>23099.599999999999</v>
      </c>
      <c r="AC365" s="19">
        <v>23248.9</v>
      </c>
      <c r="AD365" s="19">
        <v>23405.1</v>
      </c>
      <c r="AE365" s="19">
        <v>23568.799999999999</v>
      </c>
      <c r="AF365" s="19">
        <v>23740</v>
      </c>
      <c r="AG365" s="19">
        <v>23919.200000000001</v>
      </c>
      <c r="AH365" s="19">
        <v>24106.799999999999</v>
      </c>
      <c r="AI365" s="19">
        <v>24302.9</v>
      </c>
      <c r="AJ365" s="19">
        <v>24508.1</v>
      </c>
      <c r="AK365" s="19">
        <v>24722.799999999999</v>
      </c>
      <c r="AL365" s="19">
        <v>24947.3</v>
      </c>
      <c r="AM365" s="19">
        <v>25182.1</v>
      </c>
      <c r="AN365" s="19">
        <v>25427.7</v>
      </c>
      <c r="AO365" s="19">
        <v>25684.6</v>
      </c>
      <c r="AP365" s="19">
        <v>25953.200000000001</v>
      </c>
      <c r="AQ365" s="19">
        <v>26234.2</v>
      </c>
      <c r="AR365" s="19">
        <v>26528.2</v>
      </c>
      <c r="AS365" s="19">
        <v>26835.599999999999</v>
      </c>
      <c r="AT365" s="19">
        <v>27157.1</v>
      </c>
      <c r="AU365" s="19">
        <v>27493.5</v>
      </c>
      <c r="AV365" s="19">
        <v>27845.3</v>
      </c>
      <c r="AW365" s="19">
        <v>28213.4</v>
      </c>
      <c r="AX365" s="19">
        <v>28598.5</v>
      </c>
      <c r="AY365" s="19">
        <v>29001.5</v>
      </c>
      <c r="AZ365" s="19">
        <v>29423.3</v>
      </c>
      <c r="BA365" s="19">
        <v>29864.799999999999</v>
      </c>
      <c r="BB365" s="19">
        <v>29327.1</v>
      </c>
      <c r="BC365" s="19">
        <v>0</v>
      </c>
      <c r="BD365" s="19">
        <v>0</v>
      </c>
      <c r="BE365" s="19">
        <v>0</v>
      </c>
      <c r="BF365" s="19">
        <v>0</v>
      </c>
      <c r="BG365" s="19">
        <v>0</v>
      </c>
      <c r="BH365" s="19">
        <v>0</v>
      </c>
      <c r="BI365" s="19">
        <v>0</v>
      </c>
      <c r="BJ365" s="19">
        <v>0</v>
      </c>
      <c r="BK365" s="19">
        <v>0</v>
      </c>
      <c r="BL365" s="19">
        <v>0</v>
      </c>
      <c r="BM365" s="19">
        <v>0</v>
      </c>
      <c r="BN365" s="19">
        <v>0</v>
      </c>
      <c r="BO365" s="19">
        <v>0</v>
      </c>
      <c r="BP365" s="19">
        <v>0</v>
      </c>
      <c r="BQ365" s="19">
        <v>0</v>
      </c>
      <c r="BR365" s="19">
        <v>0</v>
      </c>
      <c r="BS365" s="19">
        <v>0</v>
      </c>
      <c r="BT365" s="19">
        <v>0</v>
      </c>
      <c r="BU365" s="19">
        <v>0</v>
      </c>
      <c r="BV365" s="19">
        <v>0</v>
      </c>
      <c r="BW365" s="19">
        <v>0</v>
      </c>
      <c r="BX365" s="19">
        <v>0</v>
      </c>
      <c r="BY365" s="19">
        <v>0</v>
      </c>
      <c r="BZ365" s="19">
        <v>0</v>
      </c>
      <c r="CA365" s="19">
        <v>0</v>
      </c>
      <c r="CB365" s="19">
        <v>0</v>
      </c>
      <c r="CC365" s="19">
        <v>0</v>
      </c>
      <c r="CD365" s="19">
        <v>0</v>
      </c>
      <c r="CE365" s="19">
        <v>0</v>
      </c>
      <c r="CF365" s="19">
        <v>0</v>
      </c>
      <c r="CG365" s="19">
        <v>0</v>
      </c>
      <c r="CH365" s="19">
        <v>0</v>
      </c>
      <c r="CI365" s="19">
        <v>0</v>
      </c>
      <c r="CJ365" s="19">
        <v>0</v>
      </c>
      <c r="CK365" s="19">
        <v>0</v>
      </c>
      <c r="CL365" s="19">
        <v>0</v>
      </c>
      <c r="CM365" s="19">
        <v>0</v>
      </c>
      <c r="CN365" s="19">
        <v>0</v>
      </c>
      <c r="CO365" s="19">
        <v>0</v>
      </c>
      <c r="CP365" s="19">
        <v>0</v>
      </c>
      <c r="CQ365" s="19">
        <v>0</v>
      </c>
      <c r="CR365" s="19">
        <v>0</v>
      </c>
      <c r="CS365" s="19">
        <v>0</v>
      </c>
      <c r="CT365" s="19">
        <v>0</v>
      </c>
      <c r="CU365" s="19">
        <v>0</v>
      </c>
      <c r="CV365" s="19">
        <v>0</v>
      </c>
      <c r="CW365" s="19">
        <v>0</v>
      </c>
      <c r="CX365" s="19">
        <v>0</v>
      </c>
      <c r="CY365" s="19">
        <v>0</v>
      </c>
      <c r="CZ365" s="19">
        <v>0</v>
      </c>
      <c r="DA365" s="19">
        <v>0</v>
      </c>
      <c r="DB365" s="19">
        <v>0</v>
      </c>
      <c r="DC365" s="19">
        <v>0</v>
      </c>
      <c r="DD365" s="19">
        <v>0</v>
      </c>
      <c r="DE365" s="19">
        <v>0</v>
      </c>
      <c r="DF365" s="19">
        <v>0</v>
      </c>
      <c r="DG365" s="19">
        <v>0</v>
      </c>
    </row>
    <row r="366" spans="2:111" x14ac:dyDescent="0.15">
      <c r="B366" s="19" t="str">
        <f t="shared" si="5"/>
        <v>10_女_12</v>
      </c>
      <c r="C366" s="18">
        <v>10</v>
      </c>
      <c r="D366" s="18" t="s">
        <v>2</v>
      </c>
      <c r="E366" s="18">
        <v>12</v>
      </c>
      <c r="F366" s="19">
        <v>1477.3</v>
      </c>
      <c r="G366" s="19">
        <v>3434.9</v>
      </c>
      <c r="H366" s="19">
        <v>5784.3</v>
      </c>
      <c r="I366" s="19">
        <v>8427.2000000000007</v>
      </c>
      <c r="J366" s="19">
        <v>10305.200000000001</v>
      </c>
      <c r="K366" s="19">
        <v>12310.9</v>
      </c>
      <c r="L366" s="19">
        <v>14451.5</v>
      </c>
      <c r="M366" s="19">
        <v>16734.900000000001</v>
      </c>
      <c r="N366" s="19">
        <v>19169.2</v>
      </c>
      <c r="O366" s="19">
        <v>21763.200000000001</v>
      </c>
      <c r="P366" s="19">
        <v>21847.9</v>
      </c>
      <c r="Q366" s="19">
        <v>21936.7</v>
      </c>
      <c r="R366" s="19">
        <v>22029.8</v>
      </c>
      <c r="S366" s="19">
        <v>22127.5</v>
      </c>
      <c r="T366" s="19">
        <v>22229.9</v>
      </c>
      <c r="U366" s="19">
        <v>22337.3</v>
      </c>
      <c r="V366" s="19">
        <v>22450</v>
      </c>
      <c r="W366" s="19">
        <v>22568.1</v>
      </c>
      <c r="X366" s="19">
        <v>22691.9</v>
      </c>
      <c r="Y366" s="19">
        <v>22821.7</v>
      </c>
      <c r="Z366" s="19">
        <v>22957.7</v>
      </c>
      <c r="AA366" s="19">
        <v>23100.2</v>
      </c>
      <c r="AB366" s="19">
        <v>23249.5</v>
      </c>
      <c r="AC366" s="19">
        <v>23405.8</v>
      </c>
      <c r="AD366" s="19">
        <v>23569.4</v>
      </c>
      <c r="AE366" s="19">
        <v>23740.7</v>
      </c>
      <c r="AF366" s="19">
        <v>23919.9</v>
      </c>
      <c r="AG366" s="19">
        <v>24107.4</v>
      </c>
      <c r="AH366" s="19">
        <v>24303.599999999999</v>
      </c>
      <c r="AI366" s="19">
        <v>24508.799999999999</v>
      </c>
      <c r="AJ366" s="19">
        <v>24723.5</v>
      </c>
      <c r="AK366" s="19">
        <v>24948</v>
      </c>
      <c r="AL366" s="19">
        <v>25182.799999999999</v>
      </c>
      <c r="AM366" s="19">
        <v>25428.400000000001</v>
      </c>
      <c r="AN366" s="19">
        <v>25685.3</v>
      </c>
      <c r="AO366" s="19">
        <v>25953.9</v>
      </c>
      <c r="AP366" s="19">
        <v>26234.9</v>
      </c>
      <c r="AQ366" s="19">
        <v>26528.799999999999</v>
      </c>
      <c r="AR366" s="19">
        <v>26836.2</v>
      </c>
      <c r="AS366" s="19">
        <v>27157.7</v>
      </c>
      <c r="AT366" s="19">
        <v>27494.1</v>
      </c>
      <c r="AU366" s="19">
        <v>27845.9</v>
      </c>
      <c r="AV366" s="19">
        <v>28213.9</v>
      </c>
      <c r="AW366" s="19">
        <v>28598.9</v>
      </c>
      <c r="AX366" s="19">
        <v>29001.8</v>
      </c>
      <c r="AY366" s="19">
        <v>29423.5</v>
      </c>
      <c r="AZ366" s="19">
        <v>29864.9</v>
      </c>
      <c r="BA366" s="19">
        <v>29327.1</v>
      </c>
      <c r="BB366" s="19">
        <v>0</v>
      </c>
      <c r="BC366" s="19">
        <v>0</v>
      </c>
      <c r="BD366" s="19">
        <v>0</v>
      </c>
      <c r="BE366" s="19">
        <v>0</v>
      </c>
      <c r="BF366" s="19">
        <v>0</v>
      </c>
      <c r="BG366" s="19">
        <v>0</v>
      </c>
      <c r="BH366" s="19">
        <v>0</v>
      </c>
      <c r="BI366" s="19">
        <v>0</v>
      </c>
      <c r="BJ366" s="19">
        <v>0</v>
      </c>
      <c r="BK366" s="19">
        <v>0</v>
      </c>
      <c r="BL366" s="19">
        <v>0</v>
      </c>
      <c r="BM366" s="19">
        <v>0</v>
      </c>
      <c r="BN366" s="19">
        <v>0</v>
      </c>
      <c r="BO366" s="19">
        <v>0</v>
      </c>
      <c r="BP366" s="19">
        <v>0</v>
      </c>
      <c r="BQ366" s="19">
        <v>0</v>
      </c>
      <c r="BR366" s="19">
        <v>0</v>
      </c>
      <c r="BS366" s="19">
        <v>0</v>
      </c>
      <c r="BT366" s="19">
        <v>0</v>
      </c>
      <c r="BU366" s="19">
        <v>0</v>
      </c>
      <c r="BV366" s="19">
        <v>0</v>
      </c>
      <c r="BW366" s="19">
        <v>0</v>
      </c>
      <c r="BX366" s="19">
        <v>0</v>
      </c>
      <c r="BY366" s="19">
        <v>0</v>
      </c>
      <c r="BZ366" s="19">
        <v>0</v>
      </c>
      <c r="CA366" s="19">
        <v>0</v>
      </c>
      <c r="CB366" s="19">
        <v>0</v>
      </c>
      <c r="CC366" s="19">
        <v>0</v>
      </c>
      <c r="CD366" s="19">
        <v>0</v>
      </c>
      <c r="CE366" s="19">
        <v>0</v>
      </c>
      <c r="CF366" s="19">
        <v>0</v>
      </c>
      <c r="CG366" s="19">
        <v>0</v>
      </c>
      <c r="CH366" s="19">
        <v>0</v>
      </c>
      <c r="CI366" s="19">
        <v>0</v>
      </c>
      <c r="CJ366" s="19">
        <v>0</v>
      </c>
      <c r="CK366" s="19">
        <v>0</v>
      </c>
      <c r="CL366" s="19">
        <v>0</v>
      </c>
      <c r="CM366" s="19">
        <v>0</v>
      </c>
      <c r="CN366" s="19">
        <v>0</v>
      </c>
      <c r="CO366" s="19">
        <v>0</v>
      </c>
      <c r="CP366" s="19">
        <v>0</v>
      </c>
      <c r="CQ366" s="19">
        <v>0</v>
      </c>
      <c r="CR366" s="19">
        <v>0</v>
      </c>
      <c r="CS366" s="19">
        <v>0</v>
      </c>
      <c r="CT366" s="19">
        <v>0</v>
      </c>
      <c r="CU366" s="19">
        <v>0</v>
      </c>
      <c r="CV366" s="19">
        <v>0</v>
      </c>
      <c r="CW366" s="19">
        <v>0</v>
      </c>
      <c r="CX366" s="19">
        <v>0</v>
      </c>
      <c r="CY366" s="19">
        <v>0</v>
      </c>
      <c r="CZ366" s="19">
        <v>0</v>
      </c>
      <c r="DA366" s="19">
        <v>0</v>
      </c>
      <c r="DB366" s="19">
        <v>0</v>
      </c>
      <c r="DC366" s="19">
        <v>0</v>
      </c>
      <c r="DD366" s="19">
        <v>0</v>
      </c>
      <c r="DE366" s="19">
        <v>0</v>
      </c>
      <c r="DF366" s="19">
        <v>0</v>
      </c>
      <c r="DG366" s="19">
        <v>0</v>
      </c>
    </row>
    <row r="367" spans="2:111" x14ac:dyDescent="0.15">
      <c r="B367" s="19" t="str">
        <f t="shared" si="5"/>
        <v>10_女_13</v>
      </c>
      <c r="C367" s="18">
        <v>10</v>
      </c>
      <c r="D367" s="18" t="s">
        <v>2</v>
      </c>
      <c r="E367" s="18">
        <v>13</v>
      </c>
      <c r="F367" s="19">
        <v>1481.7</v>
      </c>
      <c r="G367" s="19">
        <v>3445.2</v>
      </c>
      <c r="H367" s="19">
        <v>5801.6</v>
      </c>
      <c r="I367" s="19">
        <v>8452.4</v>
      </c>
      <c r="J367" s="19">
        <v>10338.9</v>
      </c>
      <c r="K367" s="19">
        <v>12353.6</v>
      </c>
      <c r="L367" s="19">
        <v>14503.8</v>
      </c>
      <c r="M367" s="19">
        <v>16797.5</v>
      </c>
      <c r="N367" s="19">
        <v>19242.7</v>
      </c>
      <c r="O367" s="19">
        <v>21848.3</v>
      </c>
      <c r="P367" s="19">
        <v>21937.200000000001</v>
      </c>
      <c r="Q367" s="19">
        <v>22030.3</v>
      </c>
      <c r="R367" s="19">
        <v>22128</v>
      </c>
      <c r="S367" s="19">
        <v>22230.400000000001</v>
      </c>
      <c r="T367" s="19">
        <v>22337.9</v>
      </c>
      <c r="U367" s="19">
        <v>22450.5</v>
      </c>
      <c r="V367" s="19">
        <v>22568.6</v>
      </c>
      <c r="W367" s="19">
        <v>22692.5</v>
      </c>
      <c r="X367" s="19">
        <v>22822.3</v>
      </c>
      <c r="Y367" s="19">
        <v>22958.3</v>
      </c>
      <c r="Z367" s="19">
        <v>23100.799999999999</v>
      </c>
      <c r="AA367" s="19">
        <v>23250.1</v>
      </c>
      <c r="AB367" s="19">
        <v>23406.400000000001</v>
      </c>
      <c r="AC367" s="19">
        <v>23570.1</v>
      </c>
      <c r="AD367" s="19">
        <v>23741.4</v>
      </c>
      <c r="AE367" s="19">
        <v>23920.6</v>
      </c>
      <c r="AF367" s="19">
        <v>24108.1</v>
      </c>
      <c r="AG367" s="19">
        <v>24304.3</v>
      </c>
      <c r="AH367" s="19">
        <v>24509.599999999999</v>
      </c>
      <c r="AI367" s="19">
        <v>24724.2</v>
      </c>
      <c r="AJ367" s="19">
        <v>24948.7</v>
      </c>
      <c r="AK367" s="19">
        <v>25183.599999999999</v>
      </c>
      <c r="AL367" s="19">
        <v>25429.1</v>
      </c>
      <c r="AM367" s="19">
        <v>25686</v>
      </c>
      <c r="AN367" s="19">
        <v>25954.6</v>
      </c>
      <c r="AO367" s="19">
        <v>26235.599999999999</v>
      </c>
      <c r="AP367" s="19">
        <v>26529.5</v>
      </c>
      <c r="AQ367" s="19">
        <v>26836.9</v>
      </c>
      <c r="AR367" s="19">
        <v>27158.400000000001</v>
      </c>
      <c r="AS367" s="19">
        <v>27494.6</v>
      </c>
      <c r="AT367" s="19">
        <v>27846.400000000001</v>
      </c>
      <c r="AU367" s="19">
        <v>28214.400000000001</v>
      </c>
      <c r="AV367" s="19">
        <v>28599.3</v>
      </c>
      <c r="AW367" s="19">
        <v>29002.1</v>
      </c>
      <c r="AX367" s="19">
        <v>29423.7</v>
      </c>
      <c r="AY367" s="19">
        <v>29865</v>
      </c>
      <c r="AZ367" s="19">
        <v>29327.1</v>
      </c>
      <c r="BA367" s="19">
        <v>0</v>
      </c>
      <c r="BB367" s="19">
        <v>0</v>
      </c>
      <c r="BC367" s="19">
        <v>0</v>
      </c>
      <c r="BD367" s="19">
        <v>0</v>
      </c>
      <c r="BE367" s="19">
        <v>0</v>
      </c>
      <c r="BF367" s="19">
        <v>0</v>
      </c>
      <c r="BG367" s="19">
        <v>0</v>
      </c>
      <c r="BH367" s="19">
        <v>0</v>
      </c>
      <c r="BI367" s="19">
        <v>0</v>
      </c>
      <c r="BJ367" s="19">
        <v>0</v>
      </c>
      <c r="BK367" s="19">
        <v>0</v>
      </c>
      <c r="BL367" s="19">
        <v>0</v>
      </c>
      <c r="BM367" s="19">
        <v>0</v>
      </c>
      <c r="BN367" s="19">
        <v>0</v>
      </c>
      <c r="BO367" s="19">
        <v>0</v>
      </c>
      <c r="BP367" s="19">
        <v>0</v>
      </c>
      <c r="BQ367" s="19">
        <v>0</v>
      </c>
      <c r="BR367" s="19">
        <v>0</v>
      </c>
      <c r="BS367" s="19">
        <v>0</v>
      </c>
      <c r="BT367" s="19">
        <v>0</v>
      </c>
      <c r="BU367" s="19">
        <v>0</v>
      </c>
      <c r="BV367" s="19">
        <v>0</v>
      </c>
      <c r="BW367" s="19">
        <v>0</v>
      </c>
      <c r="BX367" s="19">
        <v>0</v>
      </c>
      <c r="BY367" s="19">
        <v>0</v>
      </c>
      <c r="BZ367" s="19">
        <v>0</v>
      </c>
      <c r="CA367" s="19">
        <v>0</v>
      </c>
      <c r="CB367" s="19">
        <v>0</v>
      </c>
      <c r="CC367" s="19">
        <v>0</v>
      </c>
      <c r="CD367" s="19">
        <v>0</v>
      </c>
      <c r="CE367" s="19">
        <v>0</v>
      </c>
      <c r="CF367" s="19">
        <v>0</v>
      </c>
      <c r="CG367" s="19">
        <v>0</v>
      </c>
      <c r="CH367" s="19">
        <v>0</v>
      </c>
      <c r="CI367" s="19">
        <v>0</v>
      </c>
      <c r="CJ367" s="19">
        <v>0</v>
      </c>
      <c r="CK367" s="19">
        <v>0</v>
      </c>
      <c r="CL367" s="19">
        <v>0</v>
      </c>
      <c r="CM367" s="19">
        <v>0</v>
      </c>
      <c r="CN367" s="19">
        <v>0</v>
      </c>
      <c r="CO367" s="19">
        <v>0</v>
      </c>
      <c r="CP367" s="19">
        <v>0</v>
      </c>
      <c r="CQ367" s="19">
        <v>0</v>
      </c>
      <c r="CR367" s="19">
        <v>0</v>
      </c>
      <c r="CS367" s="19">
        <v>0</v>
      </c>
      <c r="CT367" s="19">
        <v>0</v>
      </c>
      <c r="CU367" s="19">
        <v>0</v>
      </c>
      <c r="CV367" s="19">
        <v>0</v>
      </c>
      <c r="CW367" s="19">
        <v>0</v>
      </c>
      <c r="CX367" s="19">
        <v>0</v>
      </c>
      <c r="CY367" s="19">
        <v>0</v>
      </c>
      <c r="CZ367" s="19">
        <v>0</v>
      </c>
      <c r="DA367" s="19">
        <v>0</v>
      </c>
      <c r="DB367" s="19">
        <v>0</v>
      </c>
      <c r="DC367" s="19">
        <v>0</v>
      </c>
      <c r="DD367" s="19">
        <v>0</v>
      </c>
      <c r="DE367" s="19">
        <v>0</v>
      </c>
      <c r="DF367" s="19">
        <v>0</v>
      </c>
      <c r="DG367" s="19">
        <v>0</v>
      </c>
    </row>
    <row r="368" spans="2:111" x14ac:dyDescent="0.15">
      <c r="B368" s="19" t="str">
        <f t="shared" si="5"/>
        <v>10_女_14</v>
      </c>
      <c r="C368" s="18">
        <v>10</v>
      </c>
      <c r="D368" s="18" t="s">
        <v>2</v>
      </c>
      <c r="E368" s="18">
        <v>14</v>
      </c>
      <c r="F368" s="19">
        <v>1486.4</v>
      </c>
      <c r="G368" s="19">
        <v>3456</v>
      </c>
      <c r="H368" s="19">
        <v>5819.8</v>
      </c>
      <c r="I368" s="19">
        <v>8478.9</v>
      </c>
      <c r="J368" s="19">
        <v>10374.200000000001</v>
      </c>
      <c r="K368" s="19">
        <v>12398.3</v>
      </c>
      <c r="L368" s="19">
        <v>14558.7</v>
      </c>
      <c r="M368" s="19">
        <v>16863.099999999999</v>
      </c>
      <c r="N368" s="19">
        <v>19319.8</v>
      </c>
      <c r="O368" s="19">
        <v>21937.599999999999</v>
      </c>
      <c r="P368" s="19">
        <v>22030.799999999999</v>
      </c>
      <c r="Q368" s="19">
        <v>22128.5</v>
      </c>
      <c r="R368" s="19">
        <v>22230.9</v>
      </c>
      <c r="S368" s="19">
        <v>22338.400000000001</v>
      </c>
      <c r="T368" s="19">
        <v>22451.1</v>
      </c>
      <c r="U368" s="19">
        <v>22569.200000000001</v>
      </c>
      <c r="V368" s="19">
        <v>22693</v>
      </c>
      <c r="W368" s="19">
        <v>22822.9</v>
      </c>
      <c r="X368" s="19">
        <v>22958.9</v>
      </c>
      <c r="Y368" s="19">
        <v>23101.4</v>
      </c>
      <c r="Z368" s="19">
        <v>23250.7</v>
      </c>
      <c r="AA368" s="19">
        <v>23407.1</v>
      </c>
      <c r="AB368" s="19">
        <v>23570.7</v>
      </c>
      <c r="AC368" s="19">
        <v>23742</v>
      </c>
      <c r="AD368" s="19">
        <v>23921.3</v>
      </c>
      <c r="AE368" s="19">
        <v>24108.9</v>
      </c>
      <c r="AF368" s="19">
        <v>24305.1</v>
      </c>
      <c r="AG368" s="19">
        <v>24510.3</v>
      </c>
      <c r="AH368" s="19">
        <v>24725</v>
      </c>
      <c r="AI368" s="19">
        <v>24949.5</v>
      </c>
      <c r="AJ368" s="19">
        <v>25184.3</v>
      </c>
      <c r="AK368" s="19">
        <v>25429.9</v>
      </c>
      <c r="AL368" s="19">
        <v>25686.7</v>
      </c>
      <c r="AM368" s="19">
        <v>25955.4</v>
      </c>
      <c r="AN368" s="19">
        <v>26236.3</v>
      </c>
      <c r="AO368" s="19">
        <v>26530.2</v>
      </c>
      <c r="AP368" s="19">
        <v>26837.5</v>
      </c>
      <c r="AQ368" s="19">
        <v>27159</v>
      </c>
      <c r="AR368" s="19">
        <v>27495.200000000001</v>
      </c>
      <c r="AS368" s="19">
        <v>27846.9</v>
      </c>
      <c r="AT368" s="19">
        <v>28214.799999999999</v>
      </c>
      <c r="AU368" s="19">
        <v>28599.8</v>
      </c>
      <c r="AV368" s="19">
        <v>29002.5</v>
      </c>
      <c r="AW368" s="19">
        <v>29424</v>
      </c>
      <c r="AX368" s="19">
        <v>29865.200000000001</v>
      </c>
      <c r="AY368" s="19">
        <v>29327.1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0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  <c r="DG368" s="19">
        <v>0</v>
      </c>
    </row>
    <row r="369" spans="2:111" x14ac:dyDescent="0.15">
      <c r="B369" s="19" t="str">
        <f t="shared" si="5"/>
        <v>10_女_15</v>
      </c>
      <c r="C369" s="18">
        <v>10</v>
      </c>
      <c r="D369" s="18" t="s">
        <v>2</v>
      </c>
      <c r="E369" s="18">
        <v>15</v>
      </c>
      <c r="F369" s="19">
        <v>1491.2</v>
      </c>
      <c r="G369" s="19">
        <v>3467.3</v>
      </c>
      <c r="H369" s="19">
        <v>5838.8</v>
      </c>
      <c r="I369" s="19">
        <v>8506.6</v>
      </c>
      <c r="J369" s="19">
        <v>10411.200000000001</v>
      </c>
      <c r="K369" s="19">
        <v>12445.3</v>
      </c>
      <c r="L369" s="19">
        <v>14616.2</v>
      </c>
      <c r="M369" s="19">
        <v>16931.900000000001</v>
      </c>
      <c r="N369" s="19">
        <v>19400.7</v>
      </c>
      <c r="O369" s="19">
        <v>22031.3</v>
      </c>
      <c r="P369" s="19">
        <v>22129</v>
      </c>
      <c r="Q369" s="19">
        <v>22231.5</v>
      </c>
      <c r="R369" s="19">
        <v>22338.9</v>
      </c>
      <c r="S369" s="19">
        <v>22451.599999999999</v>
      </c>
      <c r="T369" s="19">
        <v>22569.8</v>
      </c>
      <c r="U369" s="19">
        <v>22693.599999999999</v>
      </c>
      <c r="V369" s="19">
        <v>22823.5</v>
      </c>
      <c r="W369" s="19">
        <v>22959.599999999999</v>
      </c>
      <c r="X369" s="19">
        <v>23102.1</v>
      </c>
      <c r="Y369" s="19">
        <v>23251.4</v>
      </c>
      <c r="Z369" s="19">
        <v>23407.8</v>
      </c>
      <c r="AA369" s="19">
        <v>23571.4</v>
      </c>
      <c r="AB369" s="19">
        <v>23742.799999999999</v>
      </c>
      <c r="AC369" s="19">
        <v>23922</v>
      </c>
      <c r="AD369" s="19">
        <v>24109.599999999999</v>
      </c>
      <c r="AE369" s="19">
        <v>24305.8</v>
      </c>
      <c r="AF369" s="19">
        <v>24511.1</v>
      </c>
      <c r="AG369" s="19">
        <v>24725.7</v>
      </c>
      <c r="AH369" s="19">
        <v>24950.3</v>
      </c>
      <c r="AI369" s="19">
        <v>25185.1</v>
      </c>
      <c r="AJ369" s="19">
        <v>25430.7</v>
      </c>
      <c r="AK369" s="19">
        <v>25687.5</v>
      </c>
      <c r="AL369" s="19">
        <v>25956.1</v>
      </c>
      <c r="AM369" s="19">
        <v>26237.1</v>
      </c>
      <c r="AN369" s="19">
        <v>26530.9</v>
      </c>
      <c r="AO369" s="19">
        <v>26838.2</v>
      </c>
      <c r="AP369" s="19">
        <v>27159.7</v>
      </c>
      <c r="AQ369" s="19">
        <v>27495.9</v>
      </c>
      <c r="AR369" s="19">
        <v>27847.5</v>
      </c>
      <c r="AS369" s="19">
        <v>28215.3</v>
      </c>
      <c r="AT369" s="19">
        <v>28600.2</v>
      </c>
      <c r="AU369" s="19">
        <v>29002.799999999999</v>
      </c>
      <c r="AV369" s="19">
        <v>29424.2</v>
      </c>
      <c r="AW369" s="19">
        <v>29865.3</v>
      </c>
      <c r="AX369" s="19">
        <v>29327.1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0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0</v>
      </c>
      <c r="BX369" s="19">
        <v>0</v>
      </c>
      <c r="BY369" s="19">
        <v>0</v>
      </c>
      <c r="BZ369" s="19">
        <v>0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0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</v>
      </c>
      <c r="CV369" s="19">
        <v>0</v>
      </c>
      <c r="CW369" s="19">
        <v>0</v>
      </c>
      <c r="CX369" s="19">
        <v>0</v>
      </c>
      <c r="CY369" s="19">
        <v>0</v>
      </c>
      <c r="CZ369" s="19">
        <v>0</v>
      </c>
      <c r="DA369" s="19">
        <v>0</v>
      </c>
      <c r="DB369" s="19">
        <v>0</v>
      </c>
      <c r="DC369" s="19">
        <v>0</v>
      </c>
      <c r="DD369" s="19">
        <v>0</v>
      </c>
      <c r="DE369" s="19">
        <v>0</v>
      </c>
      <c r="DF369" s="19">
        <v>0</v>
      </c>
      <c r="DG369" s="19">
        <v>0</v>
      </c>
    </row>
    <row r="370" spans="2:111" x14ac:dyDescent="0.15">
      <c r="B370" s="19" t="str">
        <f t="shared" si="5"/>
        <v>10_女_16</v>
      </c>
      <c r="C370" s="18">
        <v>10</v>
      </c>
      <c r="D370" s="18" t="s">
        <v>2</v>
      </c>
      <c r="E370" s="18">
        <v>16</v>
      </c>
      <c r="F370" s="19">
        <v>1496.3</v>
      </c>
      <c r="G370" s="19">
        <v>3479.2</v>
      </c>
      <c r="H370" s="19">
        <v>5858.8</v>
      </c>
      <c r="I370" s="19">
        <v>8535.7000000000007</v>
      </c>
      <c r="J370" s="19">
        <v>10450.1</v>
      </c>
      <c r="K370" s="19">
        <v>12494.5</v>
      </c>
      <c r="L370" s="19">
        <v>14676.5</v>
      </c>
      <c r="M370" s="19">
        <v>17004.099999999999</v>
      </c>
      <c r="N370" s="19">
        <v>19485.5</v>
      </c>
      <c r="O370" s="19">
        <v>22129.5</v>
      </c>
      <c r="P370" s="19">
        <v>22232</v>
      </c>
      <c r="Q370" s="19">
        <v>22339.5</v>
      </c>
      <c r="R370" s="19">
        <v>22452.2</v>
      </c>
      <c r="S370" s="19">
        <v>22570.400000000001</v>
      </c>
      <c r="T370" s="19">
        <v>22694.3</v>
      </c>
      <c r="U370" s="19">
        <v>22824.1</v>
      </c>
      <c r="V370" s="19">
        <v>22960.2</v>
      </c>
      <c r="W370" s="19">
        <v>23102.799999999999</v>
      </c>
      <c r="X370" s="19">
        <v>23252.1</v>
      </c>
      <c r="Y370" s="19">
        <v>23408.5</v>
      </c>
      <c r="Z370" s="19">
        <v>23572.2</v>
      </c>
      <c r="AA370" s="19">
        <v>23743.5</v>
      </c>
      <c r="AB370" s="19">
        <v>23922.799999999999</v>
      </c>
      <c r="AC370" s="19">
        <v>24110.400000000001</v>
      </c>
      <c r="AD370" s="19">
        <v>24306.6</v>
      </c>
      <c r="AE370" s="19">
        <v>24511.9</v>
      </c>
      <c r="AF370" s="19">
        <v>24726.5</v>
      </c>
      <c r="AG370" s="19">
        <v>24951.1</v>
      </c>
      <c r="AH370" s="19">
        <v>25185.9</v>
      </c>
      <c r="AI370" s="19">
        <v>25431.5</v>
      </c>
      <c r="AJ370" s="19">
        <v>25688.3</v>
      </c>
      <c r="AK370" s="19">
        <v>25956.9</v>
      </c>
      <c r="AL370" s="19">
        <v>26237.8</v>
      </c>
      <c r="AM370" s="19">
        <v>26531.7</v>
      </c>
      <c r="AN370" s="19">
        <v>26839</v>
      </c>
      <c r="AO370" s="19">
        <v>27160.3</v>
      </c>
      <c r="AP370" s="19">
        <v>27496.5</v>
      </c>
      <c r="AQ370" s="19">
        <v>27848.1</v>
      </c>
      <c r="AR370" s="19">
        <v>28215.9</v>
      </c>
      <c r="AS370" s="19">
        <v>28600.6</v>
      </c>
      <c r="AT370" s="19">
        <v>29003.200000000001</v>
      </c>
      <c r="AU370" s="19">
        <v>29424.5</v>
      </c>
      <c r="AV370" s="19">
        <v>29865.4</v>
      </c>
      <c r="AW370" s="19">
        <v>29327.1</v>
      </c>
      <c r="AX370" s="19">
        <v>0</v>
      </c>
      <c r="AY370" s="19">
        <v>0</v>
      </c>
      <c r="AZ370" s="19">
        <v>0</v>
      </c>
      <c r="BA370" s="19">
        <v>0</v>
      </c>
      <c r="BB370" s="19">
        <v>0</v>
      </c>
      <c r="BC370" s="19">
        <v>0</v>
      </c>
      <c r="BD370" s="19">
        <v>0</v>
      </c>
      <c r="BE370" s="19">
        <v>0</v>
      </c>
      <c r="BF370" s="19">
        <v>0</v>
      </c>
      <c r="BG370" s="19">
        <v>0</v>
      </c>
      <c r="BH370" s="19">
        <v>0</v>
      </c>
      <c r="BI370" s="19">
        <v>0</v>
      </c>
      <c r="BJ370" s="19">
        <v>0</v>
      </c>
      <c r="BK370" s="19">
        <v>0</v>
      </c>
      <c r="BL370" s="19">
        <v>0</v>
      </c>
      <c r="BM370" s="19">
        <v>0</v>
      </c>
      <c r="BN370" s="19">
        <v>0</v>
      </c>
      <c r="BO370" s="19">
        <v>0</v>
      </c>
      <c r="BP370" s="19">
        <v>0</v>
      </c>
      <c r="BQ370" s="19">
        <v>0</v>
      </c>
      <c r="BR370" s="19">
        <v>0</v>
      </c>
      <c r="BS370" s="19">
        <v>0</v>
      </c>
      <c r="BT370" s="19">
        <v>0</v>
      </c>
      <c r="BU370" s="19">
        <v>0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0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0</v>
      </c>
      <c r="CM370" s="19">
        <v>0</v>
      </c>
      <c r="CN370" s="19">
        <v>0</v>
      </c>
      <c r="CO370" s="19">
        <v>0</v>
      </c>
      <c r="CP370" s="19">
        <v>0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0</v>
      </c>
      <c r="DE370" s="19">
        <v>0</v>
      </c>
      <c r="DF370" s="19">
        <v>0</v>
      </c>
      <c r="DG370" s="19">
        <v>0</v>
      </c>
    </row>
    <row r="371" spans="2:111" x14ac:dyDescent="0.15">
      <c r="B371" s="19" t="str">
        <f t="shared" si="5"/>
        <v>10_女_17</v>
      </c>
      <c r="C371" s="18">
        <v>10</v>
      </c>
      <c r="D371" s="18" t="s">
        <v>2</v>
      </c>
      <c r="E371" s="18">
        <v>17</v>
      </c>
      <c r="F371" s="19">
        <v>1501.7</v>
      </c>
      <c r="G371" s="19">
        <v>3491.6</v>
      </c>
      <c r="H371" s="19">
        <v>5879.7</v>
      </c>
      <c r="I371" s="19">
        <v>8566.2000000000007</v>
      </c>
      <c r="J371" s="19">
        <v>10490.8</v>
      </c>
      <c r="K371" s="19">
        <v>12546.1</v>
      </c>
      <c r="L371" s="19">
        <v>14739.8</v>
      </c>
      <c r="M371" s="19">
        <v>17079.8</v>
      </c>
      <c r="N371" s="19">
        <v>19574.400000000001</v>
      </c>
      <c r="O371" s="19">
        <v>22232.6</v>
      </c>
      <c r="P371" s="19">
        <v>22340.1</v>
      </c>
      <c r="Q371" s="19">
        <v>22452.799999999999</v>
      </c>
      <c r="R371" s="19">
        <v>22571</v>
      </c>
      <c r="S371" s="19">
        <v>22694.9</v>
      </c>
      <c r="T371" s="19">
        <v>22824.799999999999</v>
      </c>
      <c r="U371" s="19">
        <v>22960.9</v>
      </c>
      <c r="V371" s="19">
        <v>23103.5</v>
      </c>
      <c r="W371" s="19">
        <v>23252.799999999999</v>
      </c>
      <c r="X371" s="19">
        <v>23409.200000000001</v>
      </c>
      <c r="Y371" s="19">
        <v>23572.9</v>
      </c>
      <c r="Z371" s="19">
        <v>23744.3</v>
      </c>
      <c r="AA371" s="19">
        <v>23923.599999999999</v>
      </c>
      <c r="AB371" s="19">
        <v>24111.200000000001</v>
      </c>
      <c r="AC371" s="19">
        <v>24307.4</v>
      </c>
      <c r="AD371" s="19">
        <v>24512.7</v>
      </c>
      <c r="AE371" s="19">
        <v>24727.3</v>
      </c>
      <c r="AF371" s="19">
        <v>24951.9</v>
      </c>
      <c r="AG371" s="19">
        <v>25186.7</v>
      </c>
      <c r="AH371" s="19">
        <v>25432.3</v>
      </c>
      <c r="AI371" s="19">
        <v>25689.1</v>
      </c>
      <c r="AJ371" s="19">
        <v>25957.7</v>
      </c>
      <c r="AK371" s="19">
        <v>26238.6</v>
      </c>
      <c r="AL371" s="19">
        <v>26532.400000000001</v>
      </c>
      <c r="AM371" s="19">
        <v>26839.7</v>
      </c>
      <c r="AN371" s="19">
        <v>27161</v>
      </c>
      <c r="AO371" s="19">
        <v>27497.1</v>
      </c>
      <c r="AP371" s="19">
        <v>27848.7</v>
      </c>
      <c r="AQ371" s="19">
        <v>28216.400000000001</v>
      </c>
      <c r="AR371" s="19">
        <v>28601.1</v>
      </c>
      <c r="AS371" s="19">
        <v>29003.599999999999</v>
      </c>
      <c r="AT371" s="19">
        <v>29424.7</v>
      </c>
      <c r="AU371" s="19">
        <v>29865.599999999999</v>
      </c>
      <c r="AV371" s="19">
        <v>29327.1</v>
      </c>
      <c r="AW371" s="19">
        <v>0</v>
      </c>
      <c r="AX371" s="19">
        <v>0</v>
      </c>
      <c r="AY371" s="19">
        <v>0</v>
      </c>
      <c r="AZ371" s="19">
        <v>0</v>
      </c>
      <c r="BA371" s="19">
        <v>0</v>
      </c>
      <c r="BB371" s="19">
        <v>0</v>
      </c>
      <c r="BC371" s="19">
        <v>0</v>
      </c>
      <c r="BD371" s="19">
        <v>0</v>
      </c>
      <c r="BE371" s="19">
        <v>0</v>
      </c>
      <c r="BF371" s="19">
        <v>0</v>
      </c>
      <c r="BG371" s="19">
        <v>0</v>
      </c>
      <c r="BH371" s="19">
        <v>0</v>
      </c>
      <c r="BI371" s="19">
        <v>0</v>
      </c>
      <c r="BJ371" s="19">
        <v>0</v>
      </c>
      <c r="BK371" s="19">
        <v>0</v>
      </c>
      <c r="BL371" s="19">
        <v>0</v>
      </c>
      <c r="BM371" s="19">
        <v>0</v>
      </c>
      <c r="BN371" s="19">
        <v>0</v>
      </c>
      <c r="BO371" s="19">
        <v>0</v>
      </c>
      <c r="BP371" s="19">
        <v>0</v>
      </c>
      <c r="BQ371" s="19">
        <v>0</v>
      </c>
      <c r="BR371" s="19">
        <v>0</v>
      </c>
      <c r="BS371" s="19">
        <v>0</v>
      </c>
      <c r="BT371" s="19">
        <v>0</v>
      </c>
      <c r="BU371" s="19">
        <v>0</v>
      </c>
      <c r="BV371" s="19">
        <v>0</v>
      </c>
      <c r="BW371" s="19">
        <v>0</v>
      </c>
      <c r="BX371" s="19">
        <v>0</v>
      </c>
      <c r="BY371" s="19">
        <v>0</v>
      </c>
      <c r="BZ371" s="19">
        <v>0</v>
      </c>
      <c r="CA371" s="19">
        <v>0</v>
      </c>
      <c r="CB371" s="19">
        <v>0</v>
      </c>
      <c r="CC371" s="19">
        <v>0</v>
      </c>
      <c r="CD371" s="19">
        <v>0</v>
      </c>
      <c r="CE371" s="19">
        <v>0</v>
      </c>
      <c r="CF371" s="19">
        <v>0</v>
      </c>
      <c r="CG371" s="19">
        <v>0</v>
      </c>
      <c r="CH371" s="19">
        <v>0</v>
      </c>
      <c r="CI371" s="19">
        <v>0</v>
      </c>
      <c r="CJ371" s="19">
        <v>0</v>
      </c>
      <c r="CK371" s="19">
        <v>0</v>
      </c>
      <c r="CL371" s="19">
        <v>0</v>
      </c>
      <c r="CM371" s="19">
        <v>0</v>
      </c>
      <c r="CN371" s="19">
        <v>0</v>
      </c>
      <c r="CO371" s="19">
        <v>0</v>
      </c>
      <c r="CP371" s="19">
        <v>0</v>
      </c>
      <c r="CQ371" s="19">
        <v>0</v>
      </c>
      <c r="CR371" s="19">
        <v>0</v>
      </c>
      <c r="CS371" s="19">
        <v>0</v>
      </c>
      <c r="CT371" s="19">
        <v>0</v>
      </c>
      <c r="CU371" s="19">
        <v>0</v>
      </c>
      <c r="CV371" s="19">
        <v>0</v>
      </c>
      <c r="CW371" s="19">
        <v>0</v>
      </c>
      <c r="CX371" s="19">
        <v>0</v>
      </c>
      <c r="CY371" s="19">
        <v>0</v>
      </c>
      <c r="CZ371" s="19">
        <v>0</v>
      </c>
      <c r="DA371" s="19">
        <v>0</v>
      </c>
      <c r="DB371" s="19">
        <v>0</v>
      </c>
      <c r="DC371" s="19">
        <v>0</v>
      </c>
      <c r="DD371" s="19">
        <v>0</v>
      </c>
      <c r="DE371" s="19">
        <v>0</v>
      </c>
      <c r="DF371" s="19">
        <v>0</v>
      </c>
      <c r="DG371" s="19">
        <v>0</v>
      </c>
    </row>
    <row r="372" spans="2:111" x14ac:dyDescent="0.15">
      <c r="B372" s="19" t="str">
        <f t="shared" si="5"/>
        <v>10_女_18</v>
      </c>
      <c r="C372" s="18">
        <v>10</v>
      </c>
      <c r="D372" s="18" t="s">
        <v>2</v>
      </c>
      <c r="E372" s="18">
        <v>18</v>
      </c>
      <c r="F372" s="19">
        <v>1507.3</v>
      </c>
      <c r="G372" s="19">
        <v>3504.7</v>
      </c>
      <c r="H372" s="19">
        <v>5901.7</v>
      </c>
      <c r="I372" s="19">
        <v>8598.2000000000007</v>
      </c>
      <c r="J372" s="19">
        <v>10533.5</v>
      </c>
      <c r="K372" s="19">
        <v>12600.3</v>
      </c>
      <c r="L372" s="19">
        <v>14806.2</v>
      </c>
      <c r="M372" s="19">
        <v>17159.2</v>
      </c>
      <c r="N372" s="19">
        <v>19667.7</v>
      </c>
      <c r="O372" s="19">
        <v>22340.7</v>
      </c>
      <c r="P372" s="19">
        <v>22453.4</v>
      </c>
      <c r="Q372" s="19">
        <v>22571.599999999999</v>
      </c>
      <c r="R372" s="19">
        <v>22695.599999999999</v>
      </c>
      <c r="S372" s="19">
        <v>22825.4</v>
      </c>
      <c r="T372" s="19">
        <v>22961.599999999999</v>
      </c>
      <c r="U372" s="19">
        <v>23104.2</v>
      </c>
      <c r="V372" s="19">
        <v>23253.5</v>
      </c>
      <c r="W372" s="19">
        <v>23409.9</v>
      </c>
      <c r="X372" s="19">
        <v>23573.7</v>
      </c>
      <c r="Y372" s="19">
        <v>23745</v>
      </c>
      <c r="Z372" s="19">
        <v>23924.400000000001</v>
      </c>
      <c r="AA372" s="19">
        <v>24112</v>
      </c>
      <c r="AB372" s="19">
        <v>24308.2</v>
      </c>
      <c r="AC372" s="19">
        <v>24513.5</v>
      </c>
      <c r="AD372" s="19">
        <v>24728.2</v>
      </c>
      <c r="AE372" s="19">
        <v>24952.7</v>
      </c>
      <c r="AF372" s="19">
        <v>25187.599999999999</v>
      </c>
      <c r="AG372" s="19">
        <v>25433.1</v>
      </c>
      <c r="AH372" s="19">
        <v>25690</v>
      </c>
      <c r="AI372" s="19">
        <v>25958.5</v>
      </c>
      <c r="AJ372" s="19">
        <v>26239.4</v>
      </c>
      <c r="AK372" s="19">
        <v>26533.200000000001</v>
      </c>
      <c r="AL372" s="19">
        <v>26840.5</v>
      </c>
      <c r="AM372" s="19">
        <v>27161.8</v>
      </c>
      <c r="AN372" s="19">
        <v>27497.8</v>
      </c>
      <c r="AO372" s="19">
        <v>27849.3</v>
      </c>
      <c r="AP372" s="19">
        <v>28217</v>
      </c>
      <c r="AQ372" s="19">
        <v>28601.599999999999</v>
      </c>
      <c r="AR372" s="19">
        <v>29003.9</v>
      </c>
      <c r="AS372" s="19">
        <v>29425</v>
      </c>
      <c r="AT372" s="19">
        <v>29865.7</v>
      </c>
      <c r="AU372" s="19">
        <v>29327.1</v>
      </c>
      <c r="AV372" s="19">
        <v>0</v>
      </c>
      <c r="AW372" s="19">
        <v>0</v>
      </c>
      <c r="AX372" s="19">
        <v>0</v>
      </c>
      <c r="AY372" s="19">
        <v>0</v>
      </c>
      <c r="AZ372" s="19">
        <v>0</v>
      </c>
      <c r="BA372" s="19">
        <v>0</v>
      </c>
      <c r="BB372" s="19">
        <v>0</v>
      </c>
      <c r="BC372" s="19">
        <v>0</v>
      </c>
      <c r="BD372" s="19">
        <v>0</v>
      </c>
      <c r="BE372" s="19">
        <v>0</v>
      </c>
      <c r="BF372" s="19">
        <v>0</v>
      </c>
      <c r="BG372" s="19">
        <v>0</v>
      </c>
      <c r="BH372" s="19">
        <v>0</v>
      </c>
      <c r="BI372" s="19">
        <v>0</v>
      </c>
      <c r="BJ372" s="19">
        <v>0</v>
      </c>
      <c r="BK372" s="19">
        <v>0</v>
      </c>
      <c r="BL372" s="19">
        <v>0</v>
      </c>
      <c r="BM372" s="19">
        <v>0</v>
      </c>
      <c r="BN372" s="19">
        <v>0</v>
      </c>
      <c r="BO372" s="19">
        <v>0</v>
      </c>
      <c r="BP372" s="19">
        <v>0</v>
      </c>
      <c r="BQ372" s="19">
        <v>0</v>
      </c>
      <c r="BR372" s="19">
        <v>0</v>
      </c>
      <c r="BS372" s="19">
        <v>0</v>
      </c>
      <c r="BT372" s="19">
        <v>0</v>
      </c>
      <c r="BU372" s="19">
        <v>0</v>
      </c>
      <c r="BV372" s="19">
        <v>0</v>
      </c>
      <c r="BW372" s="19">
        <v>0</v>
      </c>
      <c r="BX372" s="19">
        <v>0</v>
      </c>
      <c r="BY372" s="19">
        <v>0</v>
      </c>
      <c r="BZ372" s="19">
        <v>0</v>
      </c>
      <c r="CA372" s="19">
        <v>0</v>
      </c>
      <c r="CB372" s="19">
        <v>0</v>
      </c>
      <c r="CC372" s="19">
        <v>0</v>
      </c>
      <c r="CD372" s="19">
        <v>0</v>
      </c>
      <c r="CE372" s="19">
        <v>0</v>
      </c>
      <c r="CF372" s="19">
        <v>0</v>
      </c>
      <c r="CG372" s="19">
        <v>0</v>
      </c>
      <c r="CH372" s="19">
        <v>0</v>
      </c>
      <c r="CI372" s="19">
        <v>0</v>
      </c>
      <c r="CJ372" s="19">
        <v>0</v>
      </c>
      <c r="CK372" s="19">
        <v>0</v>
      </c>
      <c r="CL372" s="19">
        <v>0</v>
      </c>
      <c r="CM372" s="19">
        <v>0</v>
      </c>
      <c r="CN372" s="19">
        <v>0</v>
      </c>
      <c r="CO372" s="19">
        <v>0</v>
      </c>
      <c r="CP372" s="19">
        <v>0</v>
      </c>
      <c r="CQ372" s="19">
        <v>0</v>
      </c>
      <c r="CR372" s="19">
        <v>0</v>
      </c>
      <c r="CS372" s="19">
        <v>0</v>
      </c>
      <c r="CT372" s="19">
        <v>0</v>
      </c>
      <c r="CU372" s="19">
        <v>0</v>
      </c>
      <c r="CV372" s="19">
        <v>0</v>
      </c>
      <c r="CW372" s="19">
        <v>0</v>
      </c>
      <c r="CX372" s="19">
        <v>0</v>
      </c>
      <c r="CY372" s="19">
        <v>0</v>
      </c>
      <c r="CZ372" s="19">
        <v>0</v>
      </c>
      <c r="DA372" s="19">
        <v>0</v>
      </c>
      <c r="DB372" s="19">
        <v>0</v>
      </c>
      <c r="DC372" s="19">
        <v>0</v>
      </c>
      <c r="DD372" s="19">
        <v>0</v>
      </c>
      <c r="DE372" s="19">
        <v>0</v>
      </c>
      <c r="DF372" s="19">
        <v>0</v>
      </c>
      <c r="DG372" s="19">
        <v>0</v>
      </c>
    </row>
    <row r="373" spans="2:111" x14ac:dyDescent="0.15">
      <c r="B373" s="19" t="str">
        <f t="shared" si="5"/>
        <v>10_女_19</v>
      </c>
      <c r="C373" s="18">
        <v>10</v>
      </c>
      <c r="D373" s="18" t="s">
        <v>2</v>
      </c>
      <c r="E373" s="18">
        <v>19</v>
      </c>
      <c r="F373" s="19">
        <v>1513.2</v>
      </c>
      <c r="G373" s="19">
        <v>3518.4</v>
      </c>
      <c r="H373" s="19">
        <v>5924.8</v>
      </c>
      <c r="I373" s="19">
        <v>8631.7999999999993</v>
      </c>
      <c r="J373" s="19">
        <v>10578.3</v>
      </c>
      <c r="K373" s="19">
        <v>12657.1</v>
      </c>
      <c r="L373" s="19">
        <v>14875.8</v>
      </c>
      <c r="M373" s="19">
        <v>17242.5</v>
      </c>
      <c r="N373" s="19">
        <v>19765.599999999999</v>
      </c>
      <c r="O373" s="19">
        <v>22454.1</v>
      </c>
      <c r="P373" s="19">
        <v>22572.3</v>
      </c>
      <c r="Q373" s="19">
        <v>22696.2</v>
      </c>
      <c r="R373" s="19">
        <v>22826.1</v>
      </c>
      <c r="S373" s="19">
        <v>22962.3</v>
      </c>
      <c r="T373" s="19">
        <v>23104.9</v>
      </c>
      <c r="U373" s="19">
        <v>23254.3</v>
      </c>
      <c r="V373" s="19">
        <v>23410.7</v>
      </c>
      <c r="W373" s="19">
        <v>23574.5</v>
      </c>
      <c r="X373" s="19">
        <v>23745.9</v>
      </c>
      <c r="Y373" s="19">
        <v>23925.200000000001</v>
      </c>
      <c r="Z373" s="19">
        <v>24112.799999999999</v>
      </c>
      <c r="AA373" s="19">
        <v>24309.1</v>
      </c>
      <c r="AB373" s="19">
        <v>24514.400000000001</v>
      </c>
      <c r="AC373" s="19">
        <v>24729.1</v>
      </c>
      <c r="AD373" s="19">
        <v>24953.599999999999</v>
      </c>
      <c r="AE373" s="19">
        <v>25188.400000000001</v>
      </c>
      <c r="AF373" s="19">
        <v>25434</v>
      </c>
      <c r="AG373" s="19">
        <v>25690.799999999999</v>
      </c>
      <c r="AH373" s="19">
        <v>25959.4</v>
      </c>
      <c r="AI373" s="19">
        <v>26240.3</v>
      </c>
      <c r="AJ373" s="19">
        <v>26534</v>
      </c>
      <c r="AK373" s="19">
        <v>26841.200000000001</v>
      </c>
      <c r="AL373" s="19">
        <v>27162.5</v>
      </c>
      <c r="AM373" s="19">
        <v>27498.5</v>
      </c>
      <c r="AN373" s="19">
        <v>27849.9</v>
      </c>
      <c r="AO373" s="19">
        <v>28217.5</v>
      </c>
      <c r="AP373" s="19">
        <v>28602</v>
      </c>
      <c r="AQ373" s="19">
        <v>29004.3</v>
      </c>
      <c r="AR373" s="19">
        <v>29425.3</v>
      </c>
      <c r="AS373" s="19">
        <v>29865.9</v>
      </c>
      <c r="AT373" s="19">
        <v>29327.1</v>
      </c>
      <c r="AU373" s="19">
        <v>0</v>
      </c>
      <c r="AV373" s="19">
        <v>0</v>
      </c>
      <c r="AW373" s="19">
        <v>0</v>
      </c>
      <c r="AX373" s="19">
        <v>0</v>
      </c>
      <c r="AY373" s="19">
        <v>0</v>
      </c>
      <c r="AZ373" s="19">
        <v>0</v>
      </c>
      <c r="BA373" s="19">
        <v>0</v>
      </c>
      <c r="BB373" s="19">
        <v>0</v>
      </c>
      <c r="BC373" s="19">
        <v>0</v>
      </c>
      <c r="BD373" s="19">
        <v>0</v>
      </c>
      <c r="BE373" s="19">
        <v>0</v>
      </c>
      <c r="BF373" s="19">
        <v>0</v>
      </c>
      <c r="BG373" s="19">
        <v>0</v>
      </c>
      <c r="BH373" s="19">
        <v>0</v>
      </c>
      <c r="BI373" s="19">
        <v>0</v>
      </c>
      <c r="BJ373" s="19">
        <v>0</v>
      </c>
      <c r="BK373" s="19">
        <v>0</v>
      </c>
      <c r="BL373" s="19">
        <v>0</v>
      </c>
      <c r="BM373" s="19">
        <v>0</v>
      </c>
      <c r="BN373" s="19">
        <v>0</v>
      </c>
      <c r="BO373" s="19">
        <v>0</v>
      </c>
      <c r="BP373" s="19">
        <v>0</v>
      </c>
      <c r="BQ373" s="19">
        <v>0</v>
      </c>
      <c r="BR373" s="19">
        <v>0</v>
      </c>
      <c r="BS373" s="19">
        <v>0</v>
      </c>
      <c r="BT373" s="19">
        <v>0</v>
      </c>
      <c r="BU373" s="19">
        <v>0</v>
      </c>
      <c r="BV373" s="19">
        <v>0</v>
      </c>
      <c r="BW373" s="19">
        <v>0</v>
      </c>
      <c r="BX373" s="19">
        <v>0</v>
      </c>
      <c r="BY373" s="19">
        <v>0</v>
      </c>
      <c r="BZ373" s="19">
        <v>0</v>
      </c>
      <c r="CA373" s="19">
        <v>0</v>
      </c>
      <c r="CB373" s="19">
        <v>0</v>
      </c>
      <c r="CC373" s="19">
        <v>0</v>
      </c>
      <c r="CD373" s="19">
        <v>0</v>
      </c>
      <c r="CE373" s="19">
        <v>0</v>
      </c>
      <c r="CF373" s="19">
        <v>0</v>
      </c>
      <c r="CG373" s="19">
        <v>0</v>
      </c>
      <c r="CH373" s="19">
        <v>0</v>
      </c>
      <c r="CI373" s="19">
        <v>0</v>
      </c>
      <c r="CJ373" s="19">
        <v>0</v>
      </c>
      <c r="CK373" s="19">
        <v>0</v>
      </c>
      <c r="CL373" s="19">
        <v>0</v>
      </c>
      <c r="CM373" s="19">
        <v>0</v>
      </c>
      <c r="CN373" s="19">
        <v>0</v>
      </c>
      <c r="CO373" s="19">
        <v>0</v>
      </c>
      <c r="CP373" s="19">
        <v>0</v>
      </c>
      <c r="CQ373" s="19">
        <v>0</v>
      </c>
      <c r="CR373" s="19">
        <v>0</v>
      </c>
      <c r="CS373" s="19">
        <v>0</v>
      </c>
      <c r="CT373" s="19">
        <v>0</v>
      </c>
      <c r="CU373" s="19">
        <v>0</v>
      </c>
      <c r="CV373" s="19">
        <v>0</v>
      </c>
      <c r="CW373" s="19">
        <v>0</v>
      </c>
      <c r="CX373" s="19">
        <v>0</v>
      </c>
      <c r="CY373" s="19">
        <v>0</v>
      </c>
      <c r="CZ373" s="19">
        <v>0</v>
      </c>
      <c r="DA373" s="19">
        <v>0</v>
      </c>
      <c r="DB373" s="19">
        <v>0</v>
      </c>
      <c r="DC373" s="19">
        <v>0</v>
      </c>
      <c r="DD373" s="19">
        <v>0</v>
      </c>
      <c r="DE373" s="19">
        <v>0</v>
      </c>
      <c r="DF373" s="19">
        <v>0</v>
      </c>
      <c r="DG373" s="19">
        <v>0</v>
      </c>
    </row>
    <row r="374" spans="2:111" x14ac:dyDescent="0.15">
      <c r="B374" s="19" t="str">
        <f t="shared" si="5"/>
        <v>10_女_20</v>
      </c>
      <c r="C374" s="18">
        <v>10</v>
      </c>
      <c r="D374" s="18" t="s">
        <v>2</v>
      </c>
      <c r="E374" s="18">
        <v>20</v>
      </c>
      <c r="F374" s="19">
        <v>1519.4</v>
      </c>
      <c r="G374" s="19">
        <v>3532.7</v>
      </c>
      <c r="H374" s="19">
        <v>5948.9</v>
      </c>
      <c r="I374" s="19">
        <v>8667</v>
      </c>
      <c r="J374" s="19">
        <v>10625.3</v>
      </c>
      <c r="K374" s="19">
        <v>12716.7</v>
      </c>
      <c r="L374" s="19">
        <v>14948.9</v>
      </c>
      <c r="M374" s="19">
        <v>17329.900000000001</v>
      </c>
      <c r="N374" s="19">
        <v>19868.2</v>
      </c>
      <c r="O374" s="19">
        <v>22573</v>
      </c>
      <c r="P374" s="19">
        <v>22696.9</v>
      </c>
      <c r="Q374" s="19">
        <v>22826.9</v>
      </c>
      <c r="R374" s="19">
        <v>22963</v>
      </c>
      <c r="S374" s="19">
        <v>23105.7</v>
      </c>
      <c r="T374" s="19">
        <v>23255.1</v>
      </c>
      <c r="U374" s="19">
        <v>23411.5</v>
      </c>
      <c r="V374" s="19">
        <v>23575.3</v>
      </c>
      <c r="W374" s="19">
        <v>23746.7</v>
      </c>
      <c r="X374" s="19">
        <v>23926</v>
      </c>
      <c r="Y374" s="19">
        <v>24113.7</v>
      </c>
      <c r="Z374" s="19">
        <v>24309.9</v>
      </c>
      <c r="AA374" s="19">
        <v>24515.200000000001</v>
      </c>
      <c r="AB374" s="19">
        <v>24730</v>
      </c>
      <c r="AC374" s="19">
        <v>24954.5</v>
      </c>
      <c r="AD374" s="19">
        <v>25189.3</v>
      </c>
      <c r="AE374" s="19">
        <v>25434.9</v>
      </c>
      <c r="AF374" s="19">
        <v>25691.7</v>
      </c>
      <c r="AG374" s="19">
        <v>25960.3</v>
      </c>
      <c r="AH374" s="19">
        <v>26241.1</v>
      </c>
      <c r="AI374" s="19">
        <v>26534.9</v>
      </c>
      <c r="AJ374" s="19">
        <v>26842</v>
      </c>
      <c r="AK374" s="19">
        <v>27163.3</v>
      </c>
      <c r="AL374" s="19">
        <v>27499.200000000001</v>
      </c>
      <c r="AM374" s="19">
        <v>27850.6</v>
      </c>
      <c r="AN374" s="19">
        <v>28218.1</v>
      </c>
      <c r="AO374" s="19">
        <v>28602.5</v>
      </c>
      <c r="AP374" s="19">
        <v>29004.7</v>
      </c>
      <c r="AQ374" s="19">
        <v>29425.599999999999</v>
      </c>
      <c r="AR374" s="19">
        <v>29866</v>
      </c>
      <c r="AS374" s="19">
        <v>29327.1</v>
      </c>
      <c r="AT374" s="19">
        <v>0</v>
      </c>
      <c r="AU374" s="19">
        <v>0</v>
      </c>
      <c r="AV374" s="19">
        <v>0</v>
      </c>
      <c r="AW374" s="19">
        <v>0</v>
      </c>
      <c r="AX374" s="19">
        <v>0</v>
      </c>
      <c r="AY374" s="19">
        <v>0</v>
      </c>
      <c r="AZ374" s="19">
        <v>0</v>
      </c>
      <c r="BA374" s="19">
        <v>0</v>
      </c>
      <c r="BB374" s="19">
        <v>0</v>
      </c>
      <c r="BC374" s="19">
        <v>0</v>
      </c>
      <c r="BD374" s="19">
        <v>0</v>
      </c>
      <c r="BE374" s="19">
        <v>0</v>
      </c>
      <c r="BF374" s="19">
        <v>0</v>
      </c>
      <c r="BG374" s="19">
        <v>0</v>
      </c>
      <c r="BH374" s="19">
        <v>0</v>
      </c>
      <c r="BI374" s="19">
        <v>0</v>
      </c>
      <c r="BJ374" s="19">
        <v>0</v>
      </c>
      <c r="BK374" s="19">
        <v>0</v>
      </c>
      <c r="BL374" s="19">
        <v>0</v>
      </c>
      <c r="BM374" s="19">
        <v>0</v>
      </c>
      <c r="BN374" s="19">
        <v>0</v>
      </c>
      <c r="BO374" s="19">
        <v>0</v>
      </c>
      <c r="BP374" s="19">
        <v>0</v>
      </c>
      <c r="BQ374" s="19">
        <v>0</v>
      </c>
      <c r="BR374" s="19">
        <v>0</v>
      </c>
      <c r="BS374" s="19">
        <v>0</v>
      </c>
      <c r="BT374" s="19">
        <v>0</v>
      </c>
      <c r="BU374" s="19">
        <v>0</v>
      </c>
      <c r="BV374" s="19">
        <v>0</v>
      </c>
      <c r="BW374" s="19">
        <v>0</v>
      </c>
      <c r="BX374" s="19">
        <v>0</v>
      </c>
      <c r="BY374" s="19">
        <v>0</v>
      </c>
      <c r="BZ374" s="19">
        <v>0</v>
      </c>
      <c r="CA374" s="19">
        <v>0</v>
      </c>
      <c r="CB374" s="19">
        <v>0</v>
      </c>
      <c r="CC374" s="19">
        <v>0</v>
      </c>
      <c r="CD374" s="19">
        <v>0</v>
      </c>
      <c r="CE374" s="19">
        <v>0</v>
      </c>
      <c r="CF374" s="19">
        <v>0</v>
      </c>
      <c r="CG374" s="19">
        <v>0</v>
      </c>
      <c r="CH374" s="19">
        <v>0</v>
      </c>
      <c r="CI374" s="19">
        <v>0</v>
      </c>
      <c r="CJ374" s="19">
        <v>0</v>
      </c>
      <c r="CK374" s="19">
        <v>0</v>
      </c>
      <c r="CL374" s="19">
        <v>0</v>
      </c>
      <c r="CM374" s="19">
        <v>0</v>
      </c>
      <c r="CN374" s="19">
        <v>0</v>
      </c>
      <c r="CO374" s="19">
        <v>0</v>
      </c>
      <c r="CP374" s="19">
        <v>0</v>
      </c>
      <c r="CQ374" s="19">
        <v>0</v>
      </c>
      <c r="CR374" s="19">
        <v>0</v>
      </c>
      <c r="CS374" s="19">
        <v>0</v>
      </c>
      <c r="CT374" s="19">
        <v>0</v>
      </c>
      <c r="CU374" s="19">
        <v>0</v>
      </c>
      <c r="CV374" s="19">
        <v>0</v>
      </c>
      <c r="CW374" s="19">
        <v>0</v>
      </c>
      <c r="CX374" s="19">
        <v>0</v>
      </c>
      <c r="CY374" s="19">
        <v>0</v>
      </c>
      <c r="CZ374" s="19">
        <v>0</v>
      </c>
      <c r="DA374" s="19">
        <v>0</v>
      </c>
      <c r="DB374" s="19">
        <v>0</v>
      </c>
      <c r="DC374" s="19">
        <v>0</v>
      </c>
      <c r="DD374" s="19">
        <v>0</v>
      </c>
      <c r="DE374" s="19">
        <v>0</v>
      </c>
      <c r="DF374" s="19">
        <v>0</v>
      </c>
      <c r="DG374" s="19">
        <v>0</v>
      </c>
    </row>
    <row r="375" spans="2:111" x14ac:dyDescent="0.15">
      <c r="B375" s="19" t="str">
        <f t="shared" si="5"/>
        <v>10_女_21</v>
      </c>
      <c r="C375" s="18">
        <v>10</v>
      </c>
      <c r="D375" s="18" t="s">
        <v>2</v>
      </c>
      <c r="E375" s="18">
        <v>21</v>
      </c>
      <c r="F375" s="19">
        <v>1525.9</v>
      </c>
      <c r="G375" s="19">
        <v>3547.8</v>
      </c>
      <c r="H375" s="19">
        <v>5974.3</v>
      </c>
      <c r="I375" s="19">
        <v>8703.9</v>
      </c>
      <c r="J375" s="19">
        <v>10674.6</v>
      </c>
      <c r="K375" s="19">
        <v>12779.2</v>
      </c>
      <c r="L375" s="19">
        <v>15025.5</v>
      </c>
      <c r="M375" s="19">
        <v>17421.5</v>
      </c>
      <c r="N375" s="19">
        <v>19975.900000000001</v>
      </c>
      <c r="O375" s="19">
        <v>22697.599999999999</v>
      </c>
      <c r="P375" s="19">
        <v>22827.599999999999</v>
      </c>
      <c r="Q375" s="19">
        <v>22963.8</v>
      </c>
      <c r="R375" s="19">
        <v>23106.400000000001</v>
      </c>
      <c r="S375" s="19">
        <v>23255.9</v>
      </c>
      <c r="T375" s="19">
        <v>23412.3</v>
      </c>
      <c r="U375" s="19">
        <v>23576.1</v>
      </c>
      <c r="V375" s="19">
        <v>23747.5</v>
      </c>
      <c r="W375" s="19">
        <v>23926.9</v>
      </c>
      <c r="X375" s="19">
        <v>24114.6</v>
      </c>
      <c r="Y375" s="19">
        <v>24310.9</v>
      </c>
      <c r="Z375" s="19">
        <v>24516.2</v>
      </c>
      <c r="AA375" s="19">
        <v>24730.9</v>
      </c>
      <c r="AB375" s="19">
        <v>24955.4</v>
      </c>
      <c r="AC375" s="19">
        <v>25190.3</v>
      </c>
      <c r="AD375" s="19">
        <v>25435.8</v>
      </c>
      <c r="AE375" s="19">
        <v>25692.6</v>
      </c>
      <c r="AF375" s="19">
        <v>25961.200000000001</v>
      </c>
      <c r="AG375" s="19">
        <v>26242</v>
      </c>
      <c r="AH375" s="19">
        <v>26535.7</v>
      </c>
      <c r="AI375" s="19">
        <v>26842.9</v>
      </c>
      <c r="AJ375" s="19">
        <v>27164.1</v>
      </c>
      <c r="AK375" s="19">
        <v>27500</v>
      </c>
      <c r="AL375" s="19">
        <v>27851.3</v>
      </c>
      <c r="AM375" s="19">
        <v>28218.7</v>
      </c>
      <c r="AN375" s="19">
        <v>28603.1</v>
      </c>
      <c r="AO375" s="19">
        <v>29005.1</v>
      </c>
      <c r="AP375" s="19">
        <v>29425.8</v>
      </c>
      <c r="AQ375" s="19">
        <v>29866.2</v>
      </c>
      <c r="AR375" s="19">
        <v>29327.1</v>
      </c>
      <c r="AS375" s="19">
        <v>0</v>
      </c>
      <c r="AT375" s="19">
        <v>0</v>
      </c>
      <c r="AU375" s="19">
        <v>0</v>
      </c>
      <c r="AV375" s="19">
        <v>0</v>
      </c>
      <c r="AW375" s="19">
        <v>0</v>
      </c>
      <c r="AX375" s="19">
        <v>0</v>
      </c>
      <c r="AY375" s="19">
        <v>0</v>
      </c>
      <c r="AZ375" s="19">
        <v>0</v>
      </c>
      <c r="BA375" s="19">
        <v>0</v>
      </c>
      <c r="BB375" s="19">
        <v>0</v>
      </c>
      <c r="BC375" s="19">
        <v>0</v>
      </c>
      <c r="BD375" s="19">
        <v>0</v>
      </c>
      <c r="BE375" s="19">
        <v>0</v>
      </c>
      <c r="BF375" s="19">
        <v>0</v>
      </c>
      <c r="BG375" s="19">
        <v>0</v>
      </c>
      <c r="BH375" s="19">
        <v>0</v>
      </c>
      <c r="BI375" s="19">
        <v>0</v>
      </c>
      <c r="BJ375" s="19">
        <v>0</v>
      </c>
      <c r="BK375" s="19">
        <v>0</v>
      </c>
      <c r="BL375" s="19">
        <v>0</v>
      </c>
      <c r="BM375" s="19">
        <v>0</v>
      </c>
      <c r="BN375" s="19">
        <v>0</v>
      </c>
      <c r="BO375" s="19">
        <v>0</v>
      </c>
      <c r="BP375" s="19">
        <v>0</v>
      </c>
      <c r="BQ375" s="19">
        <v>0</v>
      </c>
      <c r="BR375" s="19">
        <v>0</v>
      </c>
      <c r="BS375" s="19">
        <v>0</v>
      </c>
      <c r="BT375" s="19">
        <v>0</v>
      </c>
      <c r="BU375" s="19">
        <v>0</v>
      </c>
      <c r="BV375" s="19">
        <v>0</v>
      </c>
      <c r="BW375" s="19">
        <v>0</v>
      </c>
      <c r="BX375" s="19">
        <v>0</v>
      </c>
      <c r="BY375" s="19">
        <v>0</v>
      </c>
      <c r="BZ375" s="19">
        <v>0</v>
      </c>
      <c r="CA375" s="19">
        <v>0</v>
      </c>
      <c r="CB375" s="19">
        <v>0</v>
      </c>
      <c r="CC375" s="19">
        <v>0</v>
      </c>
      <c r="CD375" s="19">
        <v>0</v>
      </c>
      <c r="CE375" s="19">
        <v>0</v>
      </c>
      <c r="CF375" s="19">
        <v>0</v>
      </c>
      <c r="CG375" s="19">
        <v>0</v>
      </c>
      <c r="CH375" s="19">
        <v>0</v>
      </c>
      <c r="CI375" s="19">
        <v>0</v>
      </c>
      <c r="CJ375" s="19">
        <v>0</v>
      </c>
      <c r="CK375" s="19">
        <v>0</v>
      </c>
      <c r="CL375" s="19">
        <v>0</v>
      </c>
      <c r="CM375" s="19">
        <v>0</v>
      </c>
      <c r="CN375" s="19">
        <v>0</v>
      </c>
      <c r="CO375" s="19">
        <v>0</v>
      </c>
      <c r="CP375" s="19">
        <v>0</v>
      </c>
      <c r="CQ375" s="19">
        <v>0</v>
      </c>
      <c r="CR375" s="19">
        <v>0</v>
      </c>
      <c r="CS375" s="19">
        <v>0</v>
      </c>
      <c r="CT375" s="19">
        <v>0</v>
      </c>
      <c r="CU375" s="19">
        <v>0</v>
      </c>
      <c r="CV375" s="19">
        <v>0</v>
      </c>
      <c r="CW375" s="19">
        <v>0</v>
      </c>
      <c r="CX375" s="19">
        <v>0</v>
      </c>
      <c r="CY375" s="19">
        <v>0</v>
      </c>
      <c r="CZ375" s="19">
        <v>0</v>
      </c>
      <c r="DA375" s="19">
        <v>0</v>
      </c>
      <c r="DB375" s="19">
        <v>0</v>
      </c>
      <c r="DC375" s="19">
        <v>0</v>
      </c>
      <c r="DD375" s="19">
        <v>0</v>
      </c>
      <c r="DE375" s="19">
        <v>0</v>
      </c>
      <c r="DF375" s="19">
        <v>0</v>
      </c>
      <c r="DG375" s="19">
        <v>0</v>
      </c>
    </row>
    <row r="376" spans="2:111" x14ac:dyDescent="0.15">
      <c r="B376" s="19" t="str">
        <f t="shared" si="5"/>
        <v>10_女_22</v>
      </c>
      <c r="C376" s="18">
        <v>10</v>
      </c>
      <c r="D376" s="18" t="s">
        <v>2</v>
      </c>
      <c r="E376" s="18">
        <v>22</v>
      </c>
      <c r="F376" s="19">
        <v>1532.7</v>
      </c>
      <c r="G376" s="19">
        <v>3563.6</v>
      </c>
      <c r="H376" s="19">
        <v>6000.9</v>
      </c>
      <c r="I376" s="19">
        <v>8742.6</v>
      </c>
      <c r="J376" s="19">
        <v>10726.3</v>
      </c>
      <c r="K376" s="19">
        <v>12844.8</v>
      </c>
      <c r="L376" s="19">
        <v>15105.8</v>
      </c>
      <c r="M376" s="19">
        <v>17517.599999999999</v>
      </c>
      <c r="N376" s="19">
        <v>20088.7</v>
      </c>
      <c r="O376" s="19">
        <v>22828.3</v>
      </c>
      <c r="P376" s="19">
        <v>22964.6</v>
      </c>
      <c r="Q376" s="19">
        <v>23107.200000000001</v>
      </c>
      <c r="R376" s="19">
        <v>23256.7</v>
      </c>
      <c r="S376" s="19">
        <v>23413.200000000001</v>
      </c>
      <c r="T376" s="19">
        <v>23577</v>
      </c>
      <c r="U376" s="19">
        <v>23748.400000000001</v>
      </c>
      <c r="V376" s="19">
        <v>23927.8</v>
      </c>
      <c r="W376" s="19">
        <v>24115.5</v>
      </c>
      <c r="X376" s="19">
        <v>24311.8</v>
      </c>
      <c r="Y376" s="19">
        <v>24517.1</v>
      </c>
      <c r="Z376" s="19">
        <v>24731.8</v>
      </c>
      <c r="AA376" s="19">
        <v>24956.400000000001</v>
      </c>
      <c r="AB376" s="19">
        <v>25191.200000000001</v>
      </c>
      <c r="AC376" s="19">
        <v>25436.799999999999</v>
      </c>
      <c r="AD376" s="19">
        <v>25693.599999999999</v>
      </c>
      <c r="AE376" s="19">
        <v>25962.1</v>
      </c>
      <c r="AF376" s="19">
        <v>26242.9</v>
      </c>
      <c r="AG376" s="19">
        <v>26536.6</v>
      </c>
      <c r="AH376" s="19">
        <v>26843.7</v>
      </c>
      <c r="AI376" s="19">
        <v>27164.9</v>
      </c>
      <c r="AJ376" s="19">
        <v>27500.7</v>
      </c>
      <c r="AK376" s="19">
        <v>27852</v>
      </c>
      <c r="AL376" s="19">
        <v>28219.3</v>
      </c>
      <c r="AM376" s="19">
        <v>28603.599999999999</v>
      </c>
      <c r="AN376" s="19">
        <v>29005.599999999999</v>
      </c>
      <c r="AO376" s="19">
        <v>29426.2</v>
      </c>
      <c r="AP376" s="19">
        <v>29866.3</v>
      </c>
      <c r="AQ376" s="19">
        <v>29327.1</v>
      </c>
      <c r="AR376" s="19">
        <v>0</v>
      </c>
      <c r="AS376" s="19">
        <v>0</v>
      </c>
      <c r="AT376" s="19">
        <v>0</v>
      </c>
      <c r="AU376" s="19">
        <v>0</v>
      </c>
      <c r="AV376" s="19">
        <v>0</v>
      </c>
      <c r="AW376" s="19">
        <v>0</v>
      </c>
      <c r="AX376" s="19">
        <v>0</v>
      </c>
      <c r="AY376" s="19">
        <v>0</v>
      </c>
      <c r="AZ376" s="19">
        <v>0</v>
      </c>
      <c r="BA376" s="19">
        <v>0</v>
      </c>
      <c r="BB376" s="19">
        <v>0</v>
      </c>
      <c r="BC376" s="19">
        <v>0</v>
      </c>
      <c r="BD376" s="19">
        <v>0</v>
      </c>
      <c r="BE376" s="19">
        <v>0</v>
      </c>
      <c r="BF376" s="19">
        <v>0</v>
      </c>
      <c r="BG376" s="19">
        <v>0</v>
      </c>
      <c r="BH376" s="19">
        <v>0</v>
      </c>
      <c r="BI376" s="19">
        <v>0</v>
      </c>
      <c r="BJ376" s="19">
        <v>0</v>
      </c>
      <c r="BK376" s="19">
        <v>0</v>
      </c>
      <c r="BL376" s="19">
        <v>0</v>
      </c>
      <c r="BM376" s="19">
        <v>0</v>
      </c>
      <c r="BN376" s="19">
        <v>0</v>
      </c>
      <c r="BO376" s="19">
        <v>0</v>
      </c>
      <c r="BP376" s="19">
        <v>0</v>
      </c>
      <c r="BQ376" s="19">
        <v>0</v>
      </c>
      <c r="BR376" s="19">
        <v>0</v>
      </c>
      <c r="BS376" s="19">
        <v>0</v>
      </c>
      <c r="BT376" s="19">
        <v>0</v>
      </c>
      <c r="BU376" s="19">
        <v>0</v>
      </c>
      <c r="BV376" s="19">
        <v>0</v>
      </c>
      <c r="BW376" s="19">
        <v>0</v>
      </c>
      <c r="BX376" s="19">
        <v>0</v>
      </c>
      <c r="BY376" s="19">
        <v>0</v>
      </c>
      <c r="BZ376" s="19">
        <v>0</v>
      </c>
      <c r="CA376" s="19">
        <v>0</v>
      </c>
      <c r="CB376" s="19">
        <v>0</v>
      </c>
      <c r="CC376" s="19">
        <v>0</v>
      </c>
      <c r="CD376" s="19">
        <v>0</v>
      </c>
      <c r="CE376" s="19">
        <v>0</v>
      </c>
      <c r="CF376" s="19">
        <v>0</v>
      </c>
      <c r="CG376" s="19">
        <v>0</v>
      </c>
      <c r="CH376" s="19">
        <v>0</v>
      </c>
      <c r="CI376" s="19">
        <v>0</v>
      </c>
      <c r="CJ376" s="19">
        <v>0</v>
      </c>
      <c r="CK376" s="19">
        <v>0</v>
      </c>
      <c r="CL376" s="19">
        <v>0</v>
      </c>
      <c r="CM376" s="19">
        <v>0</v>
      </c>
      <c r="CN376" s="19">
        <v>0</v>
      </c>
      <c r="CO376" s="19">
        <v>0</v>
      </c>
      <c r="CP376" s="19">
        <v>0</v>
      </c>
      <c r="CQ376" s="19">
        <v>0</v>
      </c>
      <c r="CR376" s="19">
        <v>0</v>
      </c>
      <c r="CS376" s="19">
        <v>0</v>
      </c>
      <c r="CT376" s="19">
        <v>0</v>
      </c>
      <c r="CU376" s="19">
        <v>0</v>
      </c>
      <c r="CV376" s="19">
        <v>0</v>
      </c>
      <c r="CW376" s="19">
        <v>0</v>
      </c>
      <c r="CX376" s="19">
        <v>0</v>
      </c>
      <c r="CY376" s="19">
        <v>0</v>
      </c>
      <c r="CZ376" s="19">
        <v>0</v>
      </c>
      <c r="DA376" s="19">
        <v>0</v>
      </c>
      <c r="DB376" s="19">
        <v>0</v>
      </c>
      <c r="DC376" s="19">
        <v>0</v>
      </c>
      <c r="DD376" s="19">
        <v>0</v>
      </c>
      <c r="DE376" s="19">
        <v>0</v>
      </c>
      <c r="DF376" s="19">
        <v>0</v>
      </c>
      <c r="DG376" s="19">
        <v>0</v>
      </c>
    </row>
    <row r="377" spans="2:111" x14ac:dyDescent="0.15">
      <c r="B377" s="19" t="str">
        <f t="shared" si="5"/>
        <v>10_女_23</v>
      </c>
      <c r="C377" s="18">
        <v>10</v>
      </c>
      <c r="D377" s="18" t="s">
        <v>2</v>
      </c>
      <c r="E377" s="18">
        <v>23</v>
      </c>
      <c r="F377" s="19">
        <v>1539.8</v>
      </c>
      <c r="G377" s="19">
        <v>3580.1</v>
      </c>
      <c r="H377" s="19">
        <v>6028.8</v>
      </c>
      <c r="I377" s="19">
        <v>8783.2000000000007</v>
      </c>
      <c r="J377" s="19">
        <v>10780.5</v>
      </c>
      <c r="K377" s="19">
        <v>12913.6</v>
      </c>
      <c r="L377" s="19">
        <v>15190.1</v>
      </c>
      <c r="M377" s="19">
        <v>17618.400000000001</v>
      </c>
      <c r="N377" s="19">
        <v>20207.099999999999</v>
      </c>
      <c r="O377" s="19">
        <v>22965.4</v>
      </c>
      <c r="P377" s="19">
        <v>23108.1</v>
      </c>
      <c r="Q377" s="19">
        <v>23257.5</v>
      </c>
      <c r="R377" s="19">
        <v>23414</v>
      </c>
      <c r="S377" s="19">
        <v>23577.9</v>
      </c>
      <c r="T377" s="19">
        <v>23749.3</v>
      </c>
      <c r="U377" s="19">
        <v>23928.7</v>
      </c>
      <c r="V377" s="19">
        <v>24116.400000000001</v>
      </c>
      <c r="W377" s="19">
        <v>24312.7</v>
      </c>
      <c r="X377" s="19">
        <v>24518.1</v>
      </c>
      <c r="Y377" s="19">
        <v>24732.799999999999</v>
      </c>
      <c r="Z377" s="19">
        <v>24957.4</v>
      </c>
      <c r="AA377" s="19">
        <v>25192.2</v>
      </c>
      <c r="AB377" s="19">
        <v>25437.7</v>
      </c>
      <c r="AC377" s="19">
        <v>25694.5</v>
      </c>
      <c r="AD377" s="19">
        <v>25963.1</v>
      </c>
      <c r="AE377" s="19">
        <v>26243.9</v>
      </c>
      <c r="AF377" s="19">
        <v>26537.5</v>
      </c>
      <c r="AG377" s="19">
        <v>26844.6</v>
      </c>
      <c r="AH377" s="19">
        <v>27165.7</v>
      </c>
      <c r="AI377" s="19">
        <v>27501.5</v>
      </c>
      <c r="AJ377" s="19">
        <v>27852.7</v>
      </c>
      <c r="AK377" s="19">
        <v>28220</v>
      </c>
      <c r="AL377" s="19">
        <v>28604.1</v>
      </c>
      <c r="AM377" s="19">
        <v>29006</v>
      </c>
      <c r="AN377" s="19">
        <v>29426.5</v>
      </c>
      <c r="AO377" s="19">
        <v>29866.5</v>
      </c>
      <c r="AP377" s="19">
        <v>29327.1</v>
      </c>
      <c r="AQ377" s="19">
        <v>0</v>
      </c>
      <c r="AR377" s="19">
        <v>0</v>
      </c>
      <c r="AS377" s="19">
        <v>0</v>
      </c>
      <c r="AT377" s="19">
        <v>0</v>
      </c>
      <c r="AU377" s="19">
        <v>0</v>
      </c>
      <c r="AV377" s="19">
        <v>0</v>
      </c>
      <c r="AW377" s="19">
        <v>0</v>
      </c>
      <c r="AX377" s="19">
        <v>0</v>
      </c>
      <c r="AY377" s="19">
        <v>0</v>
      </c>
      <c r="AZ377" s="19">
        <v>0</v>
      </c>
      <c r="BA377" s="19">
        <v>0</v>
      </c>
      <c r="BB377" s="19">
        <v>0</v>
      </c>
      <c r="BC377" s="19">
        <v>0</v>
      </c>
      <c r="BD377" s="19">
        <v>0</v>
      </c>
      <c r="BE377" s="19">
        <v>0</v>
      </c>
      <c r="BF377" s="19">
        <v>0</v>
      </c>
      <c r="BG377" s="19">
        <v>0</v>
      </c>
      <c r="BH377" s="19">
        <v>0</v>
      </c>
      <c r="BI377" s="19">
        <v>0</v>
      </c>
      <c r="BJ377" s="19">
        <v>0</v>
      </c>
      <c r="BK377" s="19">
        <v>0</v>
      </c>
      <c r="BL377" s="19">
        <v>0</v>
      </c>
      <c r="BM377" s="19">
        <v>0</v>
      </c>
      <c r="BN377" s="19">
        <v>0</v>
      </c>
      <c r="BO377" s="19">
        <v>0</v>
      </c>
      <c r="BP377" s="19">
        <v>0</v>
      </c>
      <c r="BQ377" s="19">
        <v>0</v>
      </c>
      <c r="BR377" s="19">
        <v>0</v>
      </c>
      <c r="BS377" s="19">
        <v>0</v>
      </c>
      <c r="BT377" s="19">
        <v>0</v>
      </c>
      <c r="BU377" s="19">
        <v>0</v>
      </c>
      <c r="BV377" s="19">
        <v>0</v>
      </c>
      <c r="BW377" s="19">
        <v>0</v>
      </c>
      <c r="BX377" s="19">
        <v>0</v>
      </c>
      <c r="BY377" s="19">
        <v>0</v>
      </c>
      <c r="BZ377" s="19">
        <v>0</v>
      </c>
      <c r="CA377" s="19">
        <v>0</v>
      </c>
      <c r="CB377" s="19">
        <v>0</v>
      </c>
      <c r="CC377" s="19">
        <v>0</v>
      </c>
      <c r="CD377" s="19">
        <v>0</v>
      </c>
      <c r="CE377" s="19">
        <v>0</v>
      </c>
      <c r="CF377" s="19">
        <v>0</v>
      </c>
      <c r="CG377" s="19">
        <v>0</v>
      </c>
      <c r="CH377" s="19">
        <v>0</v>
      </c>
      <c r="CI377" s="19">
        <v>0</v>
      </c>
      <c r="CJ377" s="19">
        <v>0</v>
      </c>
      <c r="CK377" s="19">
        <v>0</v>
      </c>
      <c r="CL377" s="19">
        <v>0</v>
      </c>
      <c r="CM377" s="19">
        <v>0</v>
      </c>
      <c r="CN377" s="19">
        <v>0</v>
      </c>
      <c r="CO377" s="19">
        <v>0</v>
      </c>
      <c r="CP377" s="19">
        <v>0</v>
      </c>
      <c r="CQ377" s="19">
        <v>0</v>
      </c>
      <c r="CR377" s="19">
        <v>0</v>
      </c>
      <c r="CS377" s="19">
        <v>0</v>
      </c>
      <c r="CT377" s="19">
        <v>0</v>
      </c>
      <c r="CU377" s="19">
        <v>0</v>
      </c>
      <c r="CV377" s="19">
        <v>0</v>
      </c>
      <c r="CW377" s="19">
        <v>0</v>
      </c>
      <c r="CX377" s="19">
        <v>0</v>
      </c>
      <c r="CY377" s="19">
        <v>0</v>
      </c>
      <c r="CZ377" s="19">
        <v>0</v>
      </c>
      <c r="DA377" s="19">
        <v>0</v>
      </c>
      <c r="DB377" s="19">
        <v>0</v>
      </c>
      <c r="DC377" s="19">
        <v>0</v>
      </c>
      <c r="DD377" s="19">
        <v>0</v>
      </c>
      <c r="DE377" s="19">
        <v>0</v>
      </c>
      <c r="DF377" s="19">
        <v>0</v>
      </c>
      <c r="DG377" s="19">
        <v>0</v>
      </c>
    </row>
    <row r="378" spans="2:111" x14ac:dyDescent="0.15">
      <c r="B378" s="19" t="str">
        <f t="shared" si="5"/>
        <v>10_女_24</v>
      </c>
      <c r="C378" s="18">
        <v>10</v>
      </c>
      <c r="D378" s="18" t="s">
        <v>2</v>
      </c>
      <c r="E378" s="18">
        <v>24</v>
      </c>
      <c r="F378" s="19">
        <v>1547.3</v>
      </c>
      <c r="G378" s="19">
        <v>3597.5</v>
      </c>
      <c r="H378" s="19">
        <v>6058</v>
      </c>
      <c r="I378" s="19">
        <v>8825.9</v>
      </c>
      <c r="J378" s="19">
        <v>10837.4</v>
      </c>
      <c r="K378" s="19">
        <v>12985.7</v>
      </c>
      <c r="L378" s="19">
        <v>15278.5</v>
      </c>
      <c r="M378" s="19">
        <v>17724</v>
      </c>
      <c r="N378" s="19">
        <v>20331.099999999999</v>
      </c>
      <c r="O378" s="19">
        <v>23108.9</v>
      </c>
      <c r="P378" s="19">
        <v>23258.400000000001</v>
      </c>
      <c r="Q378" s="19">
        <v>23414.9</v>
      </c>
      <c r="R378" s="19">
        <v>23578.799999999999</v>
      </c>
      <c r="S378" s="19">
        <v>23750.3</v>
      </c>
      <c r="T378" s="19">
        <v>23929.7</v>
      </c>
      <c r="U378" s="19">
        <v>24117.4</v>
      </c>
      <c r="V378" s="19">
        <v>24313.7</v>
      </c>
      <c r="W378" s="19">
        <v>24519.1</v>
      </c>
      <c r="X378" s="19">
        <v>24733.8</v>
      </c>
      <c r="Y378" s="19">
        <v>24958.400000000001</v>
      </c>
      <c r="Z378" s="19">
        <v>25193.200000000001</v>
      </c>
      <c r="AA378" s="19">
        <v>25438.799999999999</v>
      </c>
      <c r="AB378" s="19">
        <v>25695.5</v>
      </c>
      <c r="AC378" s="19">
        <v>25964.1</v>
      </c>
      <c r="AD378" s="19">
        <v>26244.799999999999</v>
      </c>
      <c r="AE378" s="19">
        <v>26538.5</v>
      </c>
      <c r="AF378" s="19">
        <v>26845.5</v>
      </c>
      <c r="AG378" s="19">
        <v>27166.6</v>
      </c>
      <c r="AH378" s="19">
        <v>27502.3</v>
      </c>
      <c r="AI378" s="19">
        <v>27853.4</v>
      </c>
      <c r="AJ378" s="19">
        <v>28220.6</v>
      </c>
      <c r="AK378" s="19">
        <v>28604.7</v>
      </c>
      <c r="AL378" s="19">
        <v>29006.400000000001</v>
      </c>
      <c r="AM378" s="19">
        <v>29426.799999999999</v>
      </c>
      <c r="AN378" s="19">
        <v>29866.7</v>
      </c>
      <c r="AO378" s="19">
        <v>29327.1</v>
      </c>
      <c r="AP378" s="19">
        <v>0</v>
      </c>
      <c r="AQ378" s="19">
        <v>0</v>
      </c>
      <c r="AR378" s="19">
        <v>0</v>
      </c>
      <c r="AS378" s="19">
        <v>0</v>
      </c>
      <c r="AT378" s="19">
        <v>0</v>
      </c>
      <c r="AU378" s="19">
        <v>0</v>
      </c>
      <c r="AV378" s="19">
        <v>0</v>
      </c>
      <c r="AW378" s="19">
        <v>0</v>
      </c>
      <c r="AX378" s="19">
        <v>0</v>
      </c>
      <c r="AY378" s="19">
        <v>0</v>
      </c>
      <c r="AZ378" s="19">
        <v>0</v>
      </c>
      <c r="BA378" s="19">
        <v>0</v>
      </c>
      <c r="BB378" s="19">
        <v>0</v>
      </c>
      <c r="BC378" s="19">
        <v>0</v>
      </c>
      <c r="BD378" s="19">
        <v>0</v>
      </c>
      <c r="BE378" s="19">
        <v>0</v>
      </c>
      <c r="BF378" s="19">
        <v>0</v>
      </c>
      <c r="BG378" s="19">
        <v>0</v>
      </c>
      <c r="BH378" s="19">
        <v>0</v>
      </c>
      <c r="BI378" s="19">
        <v>0</v>
      </c>
      <c r="BJ378" s="19">
        <v>0</v>
      </c>
      <c r="BK378" s="19">
        <v>0</v>
      </c>
      <c r="BL378" s="19">
        <v>0</v>
      </c>
      <c r="BM378" s="19">
        <v>0</v>
      </c>
      <c r="BN378" s="19">
        <v>0</v>
      </c>
      <c r="BO378" s="19">
        <v>0</v>
      </c>
      <c r="BP378" s="19">
        <v>0</v>
      </c>
      <c r="BQ378" s="19">
        <v>0</v>
      </c>
      <c r="BR378" s="19">
        <v>0</v>
      </c>
      <c r="BS378" s="19">
        <v>0</v>
      </c>
      <c r="BT378" s="19">
        <v>0</v>
      </c>
      <c r="BU378" s="19">
        <v>0</v>
      </c>
      <c r="BV378" s="19">
        <v>0</v>
      </c>
      <c r="BW378" s="19">
        <v>0</v>
      </c>
      <c r="BX378" s="19">
        <v>0</v>
      </c>
      <c r="BY378" s="19">
        <v>0</v>
      </c>
      <c r="BZ378" s="19">
        <v>0</v>
      </c>
      <c r="CA378" s="19">
        <v>0</v>
      </c>
      <c r="CB378" s="19">
        <v>0</v>
      </c>
      <c r="CC378" s="19">
        <v>0</v>
      </c>
      <c r="CD378" s="19">
        <v>0</v>
      </c>
      <c r="CE378" s="19">
        <v>0</v>
      </c>
      <c r="CF378" s="19">
        <v>0</v>
      </c>
      <c r="CG378" s="19">
        <v>0</v>
      </c>
      <c r="CH378" s="19">
        <v>0</v>
      </c>
      <c r="CI378" s="19">
        <v>0</v>
      </c>
      <c r="CJ378" s="19">
        <v>0</v>
      </c>
      <c r="CK378" s="19">
        <v>0</v>
      </c>
      <c r="CL378" s="19">
        <v>0</v>
      </c>
      <c r="CM378" s="19">
        <v>0</v>
      </c>
      <c r="CN378" s="19">
        <v>0</v>
      </c>
      <c r="CO378" s="19">
        <v>0</v>
      </c>
      <c r="CP378" s="19">
        <v>0</v>
      </c>
      <c r="CQ378" s="19">
        <v>0</v>
      </c>
      <c r="CR378" s="19">
        <v>0</v>
      </c>
      <c r="CS378" s="19">
        <v>0</v>
      </c>
      <c r="CT378" s="19">
        <v>0</v>
      </c>
      <c r="CU378" s="19">
        <v>0</v>
      </c>
      <c r="CV378" s="19">
        <v>0</v>
      </c>
      <c r="CW378" s="19">
        <v>0</v>
      </c>
      <c r="CX378" s="19">
        <v>0</v>
      </c>
      <c r="CY378" s="19">
        <v>0</v>
      </c>
      <c r="CZ378" s="19">
        <v>0</v>
      </c>
      <c r="DA378" s="19">
        <v>0</v>
      </c>
      <c r="DB378" s="19">
        <v>0</v>
      </c>
      <c r="DC378" s="19">
        <v>0</v>
      </c>
      <c r="DD378" s="19">
        <v>0</v>
      </c>
      <c r="DE378" s="19">
        <v>0</v>
      </c>
      <c r="DF378" s="19">
        <v>0</v>
      </c>
      <c r="DG378" s="19">
        <v>0</v>
      </c>
    </row>
    <row r="379" spans="2:111" x14ac:dyDescent="0.15">
      <c r="B379" s="19" t="str">
        <f t="shared" si="5"/>
        <v>10_女_25</v>
      </c>
      <c r="C379" s="18">
        <v>10</v>
      </c>
      <c r="D379" s="18" t="s">
        <v>2</v>
      </c>
      <c r="E379" s="18">
        <v>25</v>
      </c>
      <c r="F379" s="19">
        <v>1555.1</v>
      </c>
      <c r="G379" s="19">
        <v>3615.8</v>
      </c>
      <c r="H379" s="19">
        <v>6088.7</v>
      </c>
      <c r="I379" s="19">
        <v>8870.5</v>
      </c>
      <c r="J379" s="19">
        <v>10897.1</v>
      </c>
      <c r="K379" s="19">
        <v>13061.3</v>
      </c>
      <c r="L379" s="19">
        <v>15371.1</v>
      </c>
      <c r="M379" s="19">
        <v>17834.7</v>
      </c>
      <c r="N379" s="19">
        <v>20461.099999999999</v>
      </c>
      <c r="O379" s="19">
        <v>23259.3</v>
      </c>
      <c r="P379" s="19">
        <v>23415.8</v>
      </c>
      <c r="Q379" s="19">
        <v>23579.7</v>
      </c>
      <c r="R379" s="19">
        <v>23751.200000000001</v>
      </c>
      <c r="S379" s="19">
        <v>23930.7</v>
      </c>
      <c r="T379" s="19">
        <v>24118.400000000001</v>
      </c>
      <c r="U379" s="19">
        <v>24314.7</v>
      </c>
      <c r="V379" s="19">
        <v>24520.1</v>
      </c>
      <c r="W379" s="19">
        <v>24734.799999999999</v>
      </c>
      <c r="X379" s="19">
        <v>24959.4</v>
      </c>
      <c r="Y379" s="19">
        <v>25194.3</v>
      </c>
      <c r="Z379" s="19">
        <v>25439.8</v>
      </c>
      <c r="AA379" s="19">
        <v>25696.6</v>
      </c>
      <c r="AB379" s="19">
        <v>25965.1</v>
      </c>
      <c r="AC379" s="19">
        <v>26245.8</v>
      </c>
      <c r="AD379" s="19">
        <v>26539.4</v>
      </c>
      <c r="AE379" s="19">
        <v>26846.400000000001</v>
      </c>
      <c r="AF379" s="19">
        <v>27167.4</v>
      </c>
      <c r="AG379" s="19">
        <v>27503.1</v>
      </c>
      <c r="AH379" s="19">
        <v>27854.2</v>
      </c>
      <c r="AI379" s="19">
        <v>28221.3</v>
      </c>
      <c r="AJ379" s="19">
        <v>28605.3</v>
      </c>
      <c r="AK379" s="19">
        <v>29006.9</v>
      </c>
      <c r="AL379" s="19">
        <v>29427.1</v>
      </c>
      <c r="AM379" s="19">
        <v>29866.799999999999</v>
      </c>
      <c r="AN379" s="19">
        <v>29327.1</v>
      </c>
      <c r="AO379" s="19">
        <v>0</v>
      </c>
      <c r="AP379" s="19">
        <v>0</v>
      </c>
      <c r="AQ379" s="19">
        <v>0</v>
      </c>
      <c r="AR379" s="19">
        <v>0</v>
      </c>
      <c r="AS379" s="19">
        <v>0</v>
      </c>
      <c r="AT379" s="19">
        <v>0</v>
      </c>
      <c r="AU379" s="19">
        <v>0</v>
      </c>
      <c r="AV379" s="19">
        <v>0</v>
      </c>
      <c r="AW379" s="19">
        <v>0</v>
      </c>
      <c r="AX379" s="19">
        <v>0</v>
      </c>
      <c r="AY379" s="19">
        <v>0</v>
      </c>
      <c r="AZ379" s="19">
        <v>0</v>
      </c>
      <c r="BA379" s="19">
        <v>0</v>
      </c>
      <c r="BB379" s="19">
        <v>0</v>
      </c>
      <c r="BC379" s="19">
        <v>0</v>
      </c>
      <c r="BD379" s="19">
        <v>0</v>
      </c>
      <c r="BE379" s="19">
        <v>0</v>
      </c>
      <c r="BF379" s="19">
        <v>0</v>
      </c>
      <c r="BG379" s="19">
        <v>0</v>
      </c>
      <c r="BH379" s="19">
        <v>0</v>
      </c>
      <c r="BI379" s="19">
        <v>0</v>
      </c>
      <c r="BJ379" s="19">
        <v>0</v>
      </c>
      <c r="BK379" s="19">
        <v>0</v>
      </c>
      <c r="BL379" s="19">
        <v>0</v>
      </c>
      <c r="BM379" s="19">
        <v>0</v>
      </c>
      <c r="BN379" s="19">
        <v>0</v>
      </c>
      <c r="BO379" s="19">
        <v>0</v>
      </c>
      <c r="BP379" s="19">
        <v>0</v>
      </c>
      <c r="BQ379" s="19">
        <v>0</v>
      </c>
      <c r="BR379" s="19">
        <v>0</v>
      </c>
      <c r="BS379" s="19">
        <v>0</v>
      </c>
      <c r="BT379" s="19">
        <v>0</v>
      </c>
      <c r="BU379" s="19">
        <v>0</v>
      </c>
      <c r="BV379" s="19">
        <v>0</v>
      </c>
      <c r="BW379" s="19">
        <v>0</v>
      </c>
      <c r="BX379" s="19">
        <v>0</v>
      </c>
      <c r="BY379" s="19">
        <v>0</v>
      </c>
      <c r="BZ379" s="19">
        <v>0</v>
      </c>
      <c r="CA379" s="19">
        <v>0</v>
      </c>
      <c r="CB379" s="19">
        <v>0</v>
      </c>
      <c r="CC379" s="19">
        <v>0</v>
      </c>
      <c r="CD379" s="19">
        <v>0</v>
      </c>
      <c r="CE379" s="19">
        <v>0</v>
      </c>
      <c r="CF379" s="19">
        <v>0</v>
      </c>
      <c r="CG379" s="19">
        <v>0</v>
      </c>
      <c r="CH379" s="19">
        <v>0</v>
      </c>
      <c r="CI379" s="19">
        <v>0</v>
      </c>
      <c r="CJ379" s="19">
        <v>0</v>
      </c>
      <c r="CK379" s="19">
        <v>0</v>
      </c>
      <c r="CL379" s="19">
        <v>0</v>
      </c>
      <c r="CM379" s="19">
        <v>0</v>
      </c>
      <c r="CN379" s="19">
        <v>0</v>
      </c>
      <c r="CO379" s="19">
        <v>0</v>
      </c>
      <c r="CP379" s="19">
        <v>0</v>
      </c>
      <c r="CQ379" s="19">
        <v>0</v>
      </c>
      <c r="CR379" s="19">
        <v>0</v>
      </c>
      <c r="CS379" s="19">
        <v>0</v>
      </c>
      <c r="CT379" s="19">
        <v>0</v>
      </c>
      <c r="CU379" s="19">
        <v>0</v>
      </c>
      <c r="CV379" s="19">
        <v>0</v>
      </c>
      <c r="CW379" s="19">
        <v>0</v>
      </c>
      <c r="CX379" s="19">
        <v>0</v>
      </c>
      <c r="CY379" s="19">
        <v>0</v>
      </c>
      <c r="CZ379" s="19">
        <v>0</v>
      </c>
      <c r="DA379" s="19">
        <v>0</v>
      </c>
      <c r="DB379" s="19">
        <v>0</v>
      </c>
      <c r="DC379" s="19">
        <v>0</v>
      </c>
      <c r="DD379" s="19">
        <v>0</v>
      </c>
      <c r="DE379" s="19">
        <v>0</v>
      </c>
      <c r="DF379" s="19">
        <v>0</v>
      </c>
      <c r="DG379" s="19">
        <v>0</v>
      </c>
    </row>
    <row r="380" spans="2:111" x14ac:dyDescent="0.15">
      <c r="B380" s="19" t="str">
        <f t="shared" si="5"/>
        <v>10_女_26</v>
      </c>
      <c r="C380" s="18">
        <v>10</v>
      </c>
      <c r="D380" s="18" t="s">
        <v>2</v>
      </c>
      <c r="E380" s="18">
        <v>26</v>
      </c>
      <c r="F380" s="19">
        <v>1563.3</v>
      </c>
      <c r="G380" s="19">
        <v>3634.9</v>
      </c>
      <c r="H380" s="19">
        <v>6120.9</v>
      </c>
      <c r="I380" s="19">
        <v>8917.4</v>
      </c>
      <c r="J380" s="19">
        <v>10959.6</v>
      </c>
      <c r="K380" s="19">
        <v>13140.5</v>
      </c>
      <c r="L380" s="19">
        <v>15468.1</v>
      </c>
      <c r="M380" s="19">
        <v>17950.7</v>
      </c>
      <c r="N380" s="19">
        <v>20597.2</v>
      </c>
      <c r="O380" s="19">
        <v>23416.799999999999</v>
      </c>
      <c r="P380" s="19">
        <v>23580.7</v>
      </c>
      <c r="Q380" s="19">
        <v>23752.2</v>
      </c>
      <c r="R380" s="19">
        <v>23931.7</v>
      </c>
      <c r="S380" s="19">
        <v>24119.4</v>
      </c>
      <c r="T380" s="19">
        <v>24315.8</v>
      </c>
      <c r="U380" s="19">
        <v>24521.1</v>
      </c>
      <c r="V380" s="19">
        <v>24735.9</v>
      </c>
      <c r="W380" s="19">
        <v>24960.5</v>
      </c>
      <c r="X380" s="19">
        <v>25195.3</v>
      </c>
      <c r="Y380" s="19">
        <v>25440.9</v>
      </c>
      <c r="Z380" s="19">
        <v>25697.599999999999</v>
      </c>
      <c r="AA380" s="19">
        <v>25966.1</v>
      </c>
      <c r="AB380" s="19">
        <v>26246.9</v>
      </c>
      <c r="AC380" s="19">
        <v>26540.400000000001</v>
      </c>
      <c r="AD380" s="19">
        <v>26847.4</v>
      </c>
      <c r="AE380" s="19">
        <v>27168.400000000001</v>
      </c>
      <c r="AF380" s="19">
        <v>27504</v>
      </c>
      <c r="AG380" s="19">
        <v>27855</v>
      </c>
      <c r="AH380" s="19">
        <v>28222</v>
      </c>
      <c r="AI380" s="19">
        <v>28605.9</v>
      </c>
      <c r="AJ380" s="19">
        <v>29007.4</v>
      </c>
      <c r="AK380" s="19">
        <v>29427.5</v>
      </c>
      <c r="AL380" s="19">
        <v>29867</v>
      </c>
      <c r="AM380" s="19">
        <v>29327.1</v>
      </c>
      <c r="AN380" s="19">
        <v>0</v>
      </c>
      <c r="AO380" s="19">
        <v>0</v>
      </c>
      <c r="AP380" s="19">
        <v>0</v>
      </c>
      <c r="AQ380" s="19">
        <v>0</v>
      </c>
      <c r="AR380" s="19">
        <v>0</v>
      </c>
      <c r="AS380" s="19">
        <v>0</v>
      </c>
      <c r="AT380" s="19">
        <v>0</v>
      </c>
      <c r="AU380" s="19">
        <v>0</v>
      </c>
      <c r="AV380" s="19">
        <v>0</v>
      </c>
      <c r="AW380" s="19">
        <v>0</v>
      </c>
      <c r="AX380" s="19">
        <v>0</v>
      </c>
      <c r="AY380" s="19">
        <v>0</v>
      </c>
      <c r="AZ380" s="19">
        <v>0</v>
      </c>
      <c r="BA380" s="19">
        <v>0</v>
      </c>
      <c r="BB380" s="19">
        <v>0</v>
      </c>
      <c r="BC380" s="19">
        <v>0</v>
      </c>
      <c r="BD380" s="19">
        <v>0</v>
      </c>
      <c r="BE380" s="19">
        <v>0</v>
      </c>
      <c r="BF380" s="19">
        <v>0</v>
      </c>
      <c r="BG380" s="19">
        <v>0</v>
      </c>
      <c r="BH380" s="19">
        <v>0</v>
      </c>
      <c r="BI380" s="19">
        <v>0</v>
      </c>
      <c r="BJ380" s="19">
        <v>0</v>
      </c>
      <c r="BK380" s="19">
        <v>0</v>
      </c>
      <c r="BL380" s="19">
        <v>0</v>
      </c>
      <c r="BM380" s="19">
        <v>0</v>
      </c>
      <c r="BN380" s="19">
        <v>0</v>
      </c>
      <c r="BO380" s="19">
        <v>0</v>
      </c>
      <c r="BP380" s="19">
        <v>0</v>
      </c>
      <c r="BQ380" s="19">
        <v>0</v>
      </c>
      <c r="BR380" s="19">
        <v>0</v>
      </c>
      <c r="BS380" s="19">
        <v>0</v>
      </c>
      <c r="BT380" s="19">
        <v>0</v>
      </c>
      <c r="BU380" s="19">
        <v>0</v>
      </c>
      <c r="BV380" s="19">
        <v>0</v>
      </c>
      <c r="BW380" s="19">
        <v>0</v>
      </c>
      <c r="BX380" s="19">
        <v>0</v>
      </c>
      <c r="BY380" s="19">
        <v>0</v>
      </c>
      <c r="BZ380" s="19">
        <v>0</v>
      </c>
      <c r="CA380" s="19">
        <v>0</v>
      </c>
      <c r="CB380" s="19">
        <v>0</v>
      </c>
      <c r="CC380" s="19">
        <v>0</v>
      </c>
      <c r="CD380" s="19">
        <v>0</v>
      </c>
      <c r="CE380" s="19">
        <v>0</v>
      </c>
      <c r="CF380" s="19">
        <v>0</v>
      </c>
      <c r="CG380" s="19">
        <v>0</v>
      </c>
      <c r="CH380" s="19">
        <v>0</v>
      </c>
      <c r="CI380" s="19">
        <v>0</v>
      </c>
      <c r="CJ380" s="19">
        <v>0</v>
      </c>
      <c r="CK380" s="19">
        <v>0</v>
      </c>
      <c r="CL380" s="19">
        <v>0</v>
      </c>
      <c r="CM380" s="19">
        <v>0</v>
      </c>
      <c r="CN380" s="19">
        <v>0</v>
      </c>
      <c r="CO380" s="19">
        <v>0</v>
      </c>
      <c r="CP380" s="19">
        <v>0</v>
      </c>
      <c r="CQ380" s="19">
        <v>0</v>
      </c>
      <c r="CR380" s="19">
        <v>0</v>
      </c>
      <c r="CS380" s="19">
        <v>0</v>
      </c>
      <c r="CT380" s="19">
        <v>0</v>
      </c>
      <c r="CU380" s="19">
        <v>0</v>
      </c>
      <c r="CV380" s="19">
        <v>0</v>
      </c>
      <c r="CW380" s="19">
        <v>0</v>
      </c>
      <c r="CX380" s="19">
        <v>0</v>
      </c>
      <c r="CY380" s="19">
        <v>0</v>
      </c>
      <c r="CZ380" s="19">
        <v>0</v>
      </c>
      <c r="DA380" s="19">
        <v>0</v>
      </c>
      <c r="DB380" s="19">
        <v>0</v>
      </c>
      <c r="DC380" s="19">
        <v>0</v>
      </c>
      <c r="DD380" s="19">
        <v>0</v>
      </c>
      <c r="DE380" s="19">
        <v>0</v>
      </c>
      <c r="DF380" s="19">
        <v>0</v>
      </c>
      <c r="DG380" s="19">
        <v>0</v>
      </c>
    </row>
    <row r="381" spans="2:111" x14ac:dyDescent="0.15">
      <c r="B381" s="19" t="str">
        <f t="shared" si="5"/>
        <v>10_女_27</v>
      </c>
      <c r="C381" s="18">
        <v>10</v>
      </c>
      <c r="D381" s="18" t="s">
        <v>2</v>
      </c>
      <c r="E381" s="18">
        <v>27</v>
      </c>
      <c r="F381" s="19">
        <v>1572</v>
      </c>
      <c r="G381" s="19">
        <v>3654.9</v>
      </c>
      <c r="H381" s="19">
        <v>6154.6</v>
      </c>
      <c r="I381" s="19">
        <v>8966.5</v>
      </c>
      <c r="J381" s="19">
        <v>11025.1</v>
      </c>
      <c r="K381" s="19">
        <v>13223.5</v>
      </c>
      <c r="L381" s="19">
        <v>15569.8</v>
      </c>
      <c r="M381" s="19">
        <v>18072.2</v>
      </c>
      <c r="N381" s="19">
        <v>20739.7</v>
      </c>
      <c r="O381" s="19">
        <v>23581.7</v>
      </c>
      <c r="P381" s="19">
        <v>23753.200000000001</v>
      </c>
      <c r="Q381" s="19">
        <v>23932.7</v>
      </c>
      <c r="R381" s="19">
        <v>24120.5</v>
      </c>
      <c r="S381" s="19">
        <v>24316.799999999999</v>
      </c>
      <c r="T381" s="19">
        <v>24522.2</v>
      </c>
      <c r="U381" s="19">
        <v>24737</v>
      </c>
      <c r="V381" s="19">
        <v>24961.599999999999</v>
      </c>
      <c r="W381" s="19">
        <v>25196.400000000001</v>
      </c>
      <c r="X381" s="19">
        <v>25442</v>
      </c>
      <c r="Y381" s="19">
        <v>25698.7</v>
      </c>
      <c r="Z381" s="19">
        <v>25967.200000000001</v>
      </c>
      <c r="AA381" s="19">
        <v>26247.9</v>
      </c>
      <c r="AB381" s="19">
        <v>26541.5</v>
      </c>
      <c r="AC381" s="19">
        <v>26848.400000000001</v>
      </c>
      <c r="AD381" s="19">
        <v>27169.3</v>
      </c>
      <c r="AE381" s="19">
        <v>27504.9</v>
      </c>
      <c r="AF381" s="19">
        <v>27855.8</v>
      </c>
      <c r="AG381" s="19">
        <v>28222.7</v>
      </c>
      <c r="AH381" s="19">
        <v>28606.5</v>
      </c>
      <c r="AI381" s="19">
        <v>29007.9</v>
      </c>
      <c r="AJ381" s="19">
        <v>29427.8</v>
      </c>
      <c r="AK381" s="19">
        <v>29867.200000000001</v>
      </c>
      <c r="AL381" s="19">
        <v>29327.1</v>
      </c>
      <c r="AM381" s="19">
        <v>0</v>
      </c>
      <c r="AN381" s="19">
        <v>0</v>
      </c>
      <c r="AO381" s="19">
        <v>0</v>
      </c>
      <c r="AP381" s="19">
        <v>0</v>
      </c>
      <c r="AQ381" s="19">
        <v>0</v>
      </c>
      <c r="AR381" s="19">
        <v>0</v>
      </c>
      <c r="AS381" s="19">
        <v>0</v>
      </c>
      <c r="AT381" s="19">
        <v>0</v>
      </c>
      <c r="AU381" s="19">
        <v>0</v>
      </c>
      <c r="AV381" s="19">
        <v>0</v>
      </c>
      <c r="AW381" s="19">
        <v>0</v>
      </c>
      <c r="AX381" s="19">
        <v>0</v>
      </c>
      <c r="AY381" s="19">
        <v>0</v>
      </c>
      <c r="AZ381" s="19">
        <v>0</v>
      </c>
      <c r="BA381" s="19">
        <v>0</v>
      </c>
      <c r="BB381" s="19">
        <v>0</v>
      </c>
      <c r="BC381" s="19">
        <v>0</v>
      </c>
      <c r="BD381" s="19">
        <v>0</v>
      </c>
      <c r="BE381" s="19">
        <v>0</v>
      </c>
      <c r="BF381" s="19">
        <v>0</v>
      </c>
      <c r="BG381" s="19">
        <v>0</v>
      </c>
      <c r="BH381" s="19">
        <v>0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0</v>
      </c>
      <c r="BY381" s="19">
        <v>0</v>
      </c>
      <c r="BZ381" s="19">
        <v>0</v>
      </c>
      <c r="CA381" s="19">
        <v>0</v>
      </c>
      <c r="CB381" s="19">
        <v>0</v>
      </c>
      <c r="CC381" s="19">
        <v>0</v>
      </c>
      <c r="CD381" s="19">
        <v>0</v>
      </c>
      <c r="CE381" s="19">
        <v>0</v>
      </c>
      <c r="CF381" s="19">
        <v>0</v>
      </c>
      <c r="CG381" s="19">
        <v>0</v>
      </c>
      <c r="CH381" s="19">
        <v>0</v>
      </c>
      <c r="CI381" s="19">
        <v>0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  <c r="DG381" s="19">
        <v>0</v>
      </c>
    </row>
    <row r="382" spans="2:111" x14ac:dyDescent="0.15">
      <c r="B382" s="19" t="str">
        <f t="shared" si="5"/>
        <v>10_女_28</v>
      </c>
      <c r="C382" s="18">
        <v>10</v>
      </c>
      <c r="D382" s="18" t="s">
        <v>2</v>
      </c>
      <c r="E382" s="18">
        <v>28</v>
      </c>
      <c r="F382" s="19">
        <v>1581</v>
      </c>
      <c r="G382" s="19">
        <v>3675.9</v>
      </c>
      <c r="H382" s="19">
        <v>6189.9</v>
      </c>
      <c r="I382" s="19">
        <v>9017.9</v>
      </c>
      <c r="J382" s="19">
        <v>11093.7</v>
      </c>
      <c r="K382" s="19">
        <v>13310.5</v>
      </c>
      <c r="L382" s="19">
        <v>15676.2</v>
      </c>
      <c r="M382" s="19">
        <v>18199.400000000001</v>
      </c>
      <c r="N382" s="19">
        <v>20889</v>
      </c>
      <c r="O382" s="19">
        <v>23754.3</v>
      </c>
      <c r="P382" s="19">
        <v>23933.8</v>
      </c>
      <c r="Q382" s="19">
        <v>24121.599999999999</v>
      </c>
      <c r="R382" s="19">
        <v>24318</v>
      </c>
      <c r="S382" s="19">
        <v>24523.3</v>
      </c>
      <c r="T382" s="19">
        <v>24738.1</v>
      </c>
      <c r="U382" s="19">
        <v>24962.7</v>
      </c>
      <c r="V382" s="19">
        <v>25197.599999999999</v>
      </c>
      <c r="W382" s="19">
        <v>25443.1</v>
      </c>
      <c r="X382" s="19">
        <v>25699.9</v>
      </c>
      <c r="Y382" s="19">
        <v>25968.3</v>
      </c>
      <c r="Z382" s="19">
        <v>26249</v>
      </c>
      <c r="AA382" s="19">
        <v>26542.5</v>
      </c>
      <c r="AB382" s="19">
        <v>26849.4</v>
      </c>
      <c r="AC382" s="19">
        <v>27170.3</v>
      </c>
      <c r="AD382" s="19">
        <v>27505.8</v>
      </c>
      <c r="AE382" s="19">
        <v>27856.6</v>
      </c>
      <c r="AF382" s="19">
        <v>28223.4</v>
      </c>
      <c r="AG382" s="19">
        <v>28607.1</v>
      </c>
      <c r="AH382" s="19">
        <v>29008.400000000001</v>
      </c>
      <c r="AI382" s="19">
        <v>29428.2</v>
      </c>
      <c r="AJ382" s="19">
        <v>29867.4</v>
      </c>
      <c r="AK382" s="19">
        <v>29327.1</v>
      </c>
      <c r="AL382" s="19">
        <v>0</v>
      </c>
      <c r="AM382" s="19">
        <v>0</v>
      </c>
      <c r="AN382" s="19">
        <v>0</v>
      </c>
      <c r="AO382" s="19">
        <v>0</v>
      </c>
      <c r="AP382" s="19">
        <v>0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0</v>
      </c>
      <c r="AX382" s="19">
        <v>0</v>
      </c>
      <c r="AY382" s="19">
        <v>0</v>
      </c>
      <c r="AZ382" s="19">
        <v>0</v>
      </c>
      <c r="BA382" s="19">
        <v>0</v>
      </c>
      <c r="BB382" s="19">
        <v>0</v>
      </c>
      <c r="BC382" s="19">
        <v>0</v>
      </c>
      <c r="BD382" s="19">
        <v>0</v>
      </c>
      <c r="BE382" s="19">
        <v>0</v>
      </c>
      <c r="BF382" s="19">
        <v>0</v>
      </c>
      <c r="BG382" s="19">
        <v>0</v>
      </c>
      <c r="BH382" s="19">
        <v>0</v>
      </c>
      <c r="BI382" s="19">
        <v>0</v>
      </c>
      <c r="BJ382" s="19">
        <v>0</v>
      </c>
      <c r="BK382" s="19">
        <v>0</v>
      </c>
      <c r="BL382" s="19">
        <v>0</v>
      </c>
      <c r="BM382" s="19">
        <v>0</v>
      </c>
      <c r="BN382" s="19">
        <v>0</v>
      </c>
      <c r="BO382" s="19">
        <v>0</v>
      </c>
      <c r="BP382" s="19">
        <v>0</v>
      </c>
      <c r="BQ382" s="19">
        <v>0</v>
      </c>
      <c r="BR382" s="19">
        <v>0</v>
      </c>
      <c r="BS382" s="19">
        <v>0</v>
      </c>
      <c r="BT382" s="19">
        <v>0</v>
      </c>
      <c r="BU382" s="19">
        <v>0</v>
      </c>
      <c r="BV382" s="19">
        <v>0</v>
      </c>
      <c r="BW382" s="19">
        <v>0</v>
      </c>
      <c r="BX382" s="19">
        <v>0</v>
      </c>
      <c r="BY382" s="19">
        <v>0</v>
      </c>
      <c r="BZ382" s="19">
        <v>0</v>
      </c>
      <c r="CA382" s="19">
        <v>0</v>
      </c>
      <c r="CB382" s="19">
        <v>0</v>
      </c>
      <c r="CC382" s="19">
        <v>0</v>
      </c>
      <c r="CD382" s="19">
        <v>0</v>
      </c>
      <c r="CE382" s="19">
        <v>0</v>
      </c>
      <c r="CF382" s="19">
        <v>0</v>
      </c>
      <c r="CG382" s="19">
        <v>0</v>
      </c>
      <c r="CH382" s="19">
        <v>0</v>
      </c>
      <c r="CI382" s="19">
        <v>0</v>
      </c>
      <c r="CJ382" s="19">
        <v>0</v>
      </c>
      <c r="CK382" s="19">
        <v>0</v>
      </c>
      <c r="CL382" s="19">
        <v>0</v>
      </c>
      <c r="CM382" s="19">
        <v>0</v>
      </c>
      <c r="CN382" s="19">
        <v>0</v>
      </c>
      <c r="CO382" s="19">
        <v>0</v>
      </c>
      <c r="CP382" s="19">
        <v>0</v>
      </c>
      <c r="CQ382" s="19">
        <v>0</v>
      </c>
      <c r="CR382" s="19">
        <v>0</v>
      </c>
      <c r="CS382" s="19">
        <v>0</v>
      </c>
      <c r="CT382" s="19">
        <v>0</v>
      </c>
      <c r="CU382" s="19">
        <v>0</v>
      </c>
      <c r="CV382" s="19">
        <v>0</v>
      </c>
      <c r="CW382" s="19">
        <v>0</v>
      </c>
      <c r="CX382" s="19">
        <v>0</v>
      </c>
      <c r="CY382" s="19">
        <v>0</v>
      </c>
      <c r="CZ382" s="19">
        <v>0</v>
      </c>
      <c r="DA382" s="19">
        <v>0</v>
      </c>
      <c r="DB382" s="19">
        <v>0</v>
      </c>
      <c r="DC382" s="19">
        <v>0</v>
      </c>
      <c r="DD382" s="19">
        <v>0</v>
      </c>
      <c r="DE382" s="19">
        <v>0</v>
      </c>
      <c r="DF382" s="19">
        <v>0</v>
      </c>
      <c r="DG382" s="19">
        <v>0</v>
      </c>
    </row>
    <row r="383" spans="2:111" x14ac:dyDescent="0.15">
      <c r="B383" s="19" t="str">
        <f t="shared" si="5"/>
        <v>10_女_29</v>
      </c>
      <c r="C383" s="18">
        <v>10</v>
      </c>
      <c r="D383" s="18" t="s">
        <v>2</v>
      </c>
      <c r="E383" s="18">
        <v>29</v>
      </c>
      <c r="F383" s="19">
        <v>1590.5</v>
      </c>
      <c r="G383" s="19">
        <v>3697.9</v>
      </c>
      <c r="H383" s="19">
        <v>6226.9</v>
      </c>
      <c r="I383" s="19">
        <v>9071.7999999999993</v>
      </c>
      <c r="J383" s="19">
        <v>11165.6</v>
      </c>
      <c r="K383" s="19">
        <v>13401.5</v>
      </c>
      <c r="L383" s="19">
        <v>15787.7</v>
      </c>
      <c r="M383" s="19">
        <v>18332.599999999999</v>
      </c>
      <c r="N383" s="19">
        <v>21045.1</v>
      </c>
      <c r="O383" s="19">
        <v>23934.9</v>
      </c>
      <c r="P383" s="19">
        <v>24122.7</v>
      </c>
      <c r="Q383" s="19">
        <v>24319.1</v>
      </c>
      <c r="R383" s="19">
        <v>24524.5</v>
      </c>
      <c r="S383" s="19">
        <v>24739.3</v>
      </c>
      <c r="T383" s="19">
        <v>24963.9</v>
      </c>
      <c r="U383" s="19">
        <v>25198.7</v>
      </c>
      <c r="V383" s="19">
        <v>25444.3</v>
      </c>
      <c r="W383" s="19">
        <v>25701</v>
      </c>
      <c r="X383" s="19">
        <v>25969.5</v>
      </c>
      <c r="Y383" s="19">
        <v>26250.1</v>
      </c>
      <c r="Z383" s="19">
        <v>26543.599999999999</v>
      </c>
      <c r="AA383" s="19">
        <v>26850.400000000001</v>
      </c>
      <c r="AB383" s="19">
        <v>27171.3</v>
      </c>
      <c r="AC383" s="19">
        <v>27506.7</v>
      </c>
      <c r="AD383" s="19">
        <v>27857.4</v>
      </c>
      <c r="AE383" s="19">
        <v>28224.2</v>
      </c>
      <c r="AF383" s="19">
        <v>28607.8</v>
      </c>
      <c r="AG383" s="19">
        <v>29008.9</v>
      </c>
      <c r="AH383" s="19">
        <v>29428.5</v>
      </c>
      <c r="AI383" s="19">
        <v>29867.599999999999</v>
      </c>
      <c r="AJ383" s="19">
        <v>29327.1</v>
      </c>
      <c r="AK383" s="19">
        <v>0</v>
      </c>
      <c r="AL383" s="19">
        <v>0</v>
      </c>
      <c r="AM383" s="19">
        <v>0</v>
      </c>
      <c r="AN383" s="19">
        <v>0</v>
      </c>
      <c r="AO383" s="19">
        <v>0</v>
      </c>
      <c r="AP383" s="19">
        <v>0</v>
      </c>
      <c r="AQ383" s="19">
        <v>0</v>
      </c>
      <c r="AR383" s="19">
        <v>0</v>
      </c>
      <c r="AS383" s="19">
        <v>0</v>
      </c>
      <c r="AT383" s="19">
        <v>0</v>
      </c>
      <c r="AU383" s="19">
        <v>0</v>
      </c>
      <c r="AV383" s="19">
        <v>0</v>
      </c>
      <c r="AW383" s="19">
        <v>0</v>
      </c>
      <c r="AX383" s="19">
        <v>0</v>
      </c>
      <c r="AY383" s="19">
        <v>0</v>
      </c>
      <c r="AZ383" s="19">
        <v>0</v>
      </c>
      <c r="BA383" s="19">
        <v>0</v>
      </c>
      <c r="BB383" s="19">
        <v>0</v>
      </c>
      <c r="BC383" s="19">
        <v>0</v>
      </c>
      <c r="BD383" s="19">
        <v>0</v>
      </c>
      <c r="BE383" s="19">
        <v>0</v>
      </c>
      <c r="BF383" s="19">
        <v>0</v>
      </c>
      <c r="BG383" s="19">
        <v>0</v>
      </c>
      <c r="BH383" s="19">
        <v>0</v>
      </c>
      <c r="BI383" s="19">
        <v>0</v>
      </c>
      <c r="BJ383" s="19">
        <v>0</v>
      </c>
      <c r="BK383" s="19">
        <v>0</v>
      </c>
      <c r="BL383" s="19">
        <v>0</v>
      </c>
      <c r="BM383" s="19">
        <v>0</v>
      </c>
      <c r="BN383" s="19">
        <v>0</v>
      </c>
      <c r="BO383" s="19">
        <v>0</v>
      </c>
      <c r="BP383" s="19">
        <v>0</v>
      </c>
      <c r="BQ383" s="19">
        <v>0</v>
      </c>
      <c r="BR383" s="19">
        <v>0</v>
      </c>
      <c r="BS383" s="19">
        <v>0</v>
      </c>
      <c r="BT383" s="19">
        <v>0</v>
      </c>
      <c r="BU383" s="19">
        <v>0</v>
      </c>
      <c r="BV383" s="19">
        <v>0</v>
      </c>
      <c r="BW383" s="19">
        <v>0</v>
      </c>
      <c r="BX383" s="19">
        <v>0</v>
      </c>
      <c r="BY383" s="19">
        <v>0</v>
      </c>
      <c r="BZ383" s="19">
        <v>0</v>
      </c>
      <c r="CA383" s="19">
        <v>0</v>
      </c>
      <c r="CB383" s="19">
        <v>0</v>
      </c>
      <c r="CC383" s="19">
        <v>0</v>
      </c>
      <c r="CD383" s="19">
        <v>0</v>
      </c>
      <c r="CE383" s="19">
        <v>0</v>
      </c>
      <c r="CF383" s="19">
        <v>0</v>
      </c>
      <c r="CG383" s="19">
        <v>0</v>
      </c>
      <c r="CH383" s="19">
        <v>0</v>
      </c>
      <c r="CI383" s="19">
        <v>0</v>
      </c>
      <c r="CJ383" s="19">
        <v>0</v>
      </c>
      <c r="CK383" s="19">
        <v>0</v>
      </c>
      <c r="CL383" s="19">
        <v>0</v>
      </c>
      <c r="CM383" s="19">
        <v>0</v>
      </c>
      <c r="CN383" s="19">
        <v>0</v>
      </c>
      <c r="CO383" s="19">
        <v>0</v>
      </c>
      <c r="CP383" s="19">
        <v>0</v>
      </c>
      <c r="CQ383" s="19">
        <v>0</v>
      </c>
      <c r="CR383" s="19">
        <v>0</v>
      </c>
      <c r="CS383" s="19">
        <v>0</v>
      </c>
      <c r="CT383" s="19">
        <v>0</v>
      </c>
      <c r="CU383" s="19">
        <v>0</v>
      </c>
      <c r="CV383" s="19">
        <v>0</v>
      </c>
      <c r="CW383" s="19">
        <v>0</v>
      </c>
      <c r="CX383" s="19">
        <v>0</v>
      </c>
      <c r="CY383" s="19">
        <v>0</v>
      </c>
      <c r="CZ383" s="19">
        <v>0</v>
      </c>
      <c r="DA383" s="19">
        <v>0</v>
      </c>
      <c r="DB383" s="19">
        <v>0</v>
      </c>
      <c r="DC383" s="19">
        <v>0</v>
      </c>
      <c r="DD383" s="19">
        <v>0</v>
      </c>
      <c r="DE383" s="19">
        <v>0</v>
      </c>
      <c r="DF383" s="19">
        <v>0</v>
      </c>
      <c r="DG383" s="19">
        <v>0</v>
      </c>
    </row>
    <row r="384" spans="2:111" x14ac:dyDescent="0.15">
      <c r="B384" s="19" t="str">
        <f t="shared" si="5"/>
        <v>10_女_30</v>
      </c>
      <c r="C384" s="18">
        <v>10</v>
      </c>
      <c r="D384" s="18" t="s">
        <v>2</v>
      </c>
      <c r="E384" s="18">
        <v>30</v>
      </c>
      <c r="F384" s="19">
        <v>1600.4</v>
      </c>
      <c r="G384" s="19">
        <v>3720.9</v>
      </c>
      <c r="H384" s="19">
        <v>6265.7</v>
      </c>
      <c r="I384" s="19">
        <v>9128.1</v>
      </c>
      <c r="J384" s="19">
        <v>11240.8</v>
      </c>
      <c r="K384" s="19">
        <v>13496.8</v>
      </c>
      <c r="L384" s="19">
        <v>15904.3</v>
      </c>
      <c r="M384" s="19">
        <v>18471.900000000001</v>
      </c>
      <c r="N384" s="19">
        <v>21208.5</v>
      </c>
      <c r="O384" s="19">
        <v>24123.8</v>
      </c>
      <c r="P384" s="19">
        <v>24320.3</v>
      </c>
      <c r="Q384" s="19">
        <v>24525.7</v>
      </c>
      <c r="R384" s="19">
        <v>24740.5</v>
      </c>
      <c r="S384" s="19">
        <v>24965.1</v>
      </c>
      <c r="T384" s="19">
        <v>25199.9</v>
      </c>
      <c r="U384" s="19">
        <v>25445.5</v>
      </c>
      <c r="V384" s="19">
        <v>25702.2</v>
      </c>
      <c r="W384" s="19">
        <v>25970.6</v>
      </c>
      <c r="X384" s="19">
        <v>26251.3</v>
      </c>
      <c r="Y384" s="19">
        <v>26544.7</v>
      </c>
      <c r="Z384" s="19">
        <v>26851.5</v>
      </c>
      <c r="AA384" s="19">
        <v>27172.3</v>
      </c>
      <c r="AB384" s="19">
        <v>27507.7</v>
      </c>
      <c r="AC384" s="19">
        <v>27858.3</v>
      </c>
      <c r="AD384" s="19">
        <v>28225</v>
      </c>
      <c r="AE384" s="19">
        <v>28608.400000000001</v>
      </c>
      <c r="AF384" s="19">
        <v>29009.4</v>
      </c>
      <c r="AG384" s="19">
        <v>29428.9</v>
      </c>
      <c r="AH384" s="19">
        <v>29867.8</v>
      </c>
      <c r="AI384" s="19">
        <v>29327.1</v>
      </c>
      <c r="AJ384" s="19">
        <v>0</v>
      </c>
      <c r="AK384" s="19">
        <v>0</v>
      </c>
      <c r="AL384" s="19">
        <v>0</v>
      </c>
      <c r="AM384" s="19">
        <v>0</v>
      </c>
      <c r="AN384" s="19">
        <v>0</v>
      </c>
      <c r="AO384" s="19">
        <v>0</v>
      </c>
      <c r="AP384" s="19">
        <v>0</v>
      </c>
      <c r="AQ384" s="19">
        <v>0</v>
      </c>
      <c r="AR384" s="19">
        <v>0</v>
      </c>
      <c r="AS384" s="19">
        <v>0</v>
      </c>
      <c r="AT384" s="19">
        <v>0</v>
      </c>
      <c r="AU384" s="19">
        <v>0</v>
      </c>
      <c r="AV384" s="19">
        <v>0</v>
      </c>
      <c r="AW384" s="19">
        <v>0</v>
      </c>
      <c r="AX384" s="19">
        <v>0</v>
      </c>
      <c r="AY384" s="19">
        <v>0</v>
      </c>
      <c r="AZ384" s="19">
        <v>0</v>
      </c>
      <c r="BA384" s="19">
        <v>0</v>
      </c>
      <c r="BB384" s="19">
        <v>0</v>
      </c>
      <c r="BC384" s="19">
        <v>0</v>
      </c>
      <c r="BD384" s="19">
        <v>0</v>
      </c>
      <c r="BE384" s="19">
        <v>0</v>
      </c>
      <c r="BF384" s="19">
        <v>0</v>
      </c>
      <c r="BG384" s="19">
        <v>0</v>
      </c>
      <c r="BH384" s="19">
        <v>0</v>
      </c>
      <c r="BI384" s="19">
        <v>0</v>
      </c>
      <c r="BJ384" s="19">
        <v>0</v>
      </c>
      <c r="BK384" s="19">
        <v>0</v>
      </c>
      <c r="BL384" s="19">
        <v>0</v>
      </c>
      <c r="BM384" s="19">
        <v>0</v>
      </c>
      <c r="BN384" s="19">
        <v>0</v>
      </c>
      <c r="BO384" s="19">
        <v>0</v>
      </c>
      <c r="BP384" s="19">
        <v>0</v>
      </c>
      <c r="BQ384" s="19">
        <v>0</v>
      </c>
      <c r="BR384" s="19">
        <v>0</v>
      </c>
      <c r="BS384" s="19">
        <v>0</v>
      </c>
      <c r="BT384" s="19">
        <v>0</v>
      </c>
      <c r="BU384" s="19">
        <v>0</v>
      </c>
      <c r="BV384" s="19">
        <v>0</v>
      </c>
      <c r="BW384" s="19">
        <v>0</v>
      </c>
      <c r="BX384" s="19">
        <v>0</v>
      </c>
      <c r="BY384" s="19">
        <v>0</v>
      </c>
      <c r="BZ384" s="19">
        <v>0</v>
      </c>
      <c r="CA384" s="19">
        <v>0</v>
      </c>
      <c r="CB384" s="19">
        <v>0</v>
      </c>
      <c r="CC384" s="19">
        <v>0</v>
      </c>
      <c r="CD384" s="19">
        <v>0</v>
      </c>
      <c r="CE384" s="19">
        <v>0</v>
      </c>
      <c r="CF384" s="19">
        <v>0</v>
      </c>
      <c r="CG384" s="19">
        <v>0</v>
      </c>
      <c r="CH384" s="19">
        <v>0</v>
      </c>
      <c r="CI384" s="19">
        <v>0</v>
      </c>
      <c r="CJ384" s="19">
        <v>0</v>
      </c>
      <c r="CK384" s="19">
        <v>0</v>
      </c>
      <c r="CL384" s="19">
        <v>0</v>
      </c>
      <c r="CM384" s="19">
        <v>0</v>
      </c>
      <c r="CN384" s="19">
        <v>0</v>
      </c>
      <c r="CO384" s="19">
        <v>0</v>
      </c>
      <c r="CP384" s="19">
        <v>0</v>
      </c>
      <c r="CQ384" s="19">
        <v>0</v>
      </c>
      <c r="CR384" s="19">
        <v>0</v>
      </c>
      <c r="CS384" s="19">
        <v>0</v>
      </c>
      <c r="CT384" s="19">
        <v>0</v>
      </c>
      <c r="CU384" s="19">
        <v>0</v>
      </c>
      <c r="CV384" s="19">
        <v>0</v>
      </c>
      <c r="CW384" s="19">
        <v>0</v>
      </c>
      <c r="CX384" s="19">
        <v>0</v>
      </c>
      <c r="CY384" s="19">
        <v>0</v>
      </c>
      <c r="CZ384" s="19">
        <v>0</v>
      </c>
      <c r="DA384" s="19">
        <v>0</v>
      </c>
      <c r="DB384" s="19">
        <v>0</v>
      </c>
      <c r="DC384" s="19">
        <v>0</v>
      </c>
      <c r="DD384" s="19">
        <v>0</v>
      </c>
      <c r="DE384" s="19">
        <v>0</v>
      </c>
      <c r="DF384" s="19">
        <v>0</v>
      </c>
      <c r="DG384" s="19">
        <v>0</v>
      </c>
    </row>
    <row r="385" spans="2:111" x14ac:dyDescent="0.15">
      <c r="B385" s="19" t="str">
        <f t="shared" si="5"/>
        <v>10_女_31</v>
      </c>
      <c r="C385" s="18">
        <v>10</v>
      </c>
      <c r="D385" s="18" t="s">
        <v>2</v>
      </c>
      <c r="E385" s="18">
        <v>31</v>
      </c>
      <c r="F385" s="19">
        <v>1610.7</v>
      </c>
      <c r="G385" s="19">
        <v>3745</v>
      </c>
      <c r="H385" s="19">
        <v>6306.2</v>
      </c>
      <c r="I385" s="19">
        <v>9187.2000000000007</v>
      </c>
      <c r="J385" s="19">
        <v>11319.6</v>
      </c>
      <c r="K385" s="19">
        <v>13596.6</v>
      </c>
      <c r="L385" s="19">
        <v>16026.4</v>
      </c>
      <c r="M385" s="19">
        <v>18617.599999999999</v>
      </c>
      <c r="N385" s="19">
        <v>21379.5</v>
      </c>
      <c r="O385" s="19">
        <v>24321.5</v>
      </c>
      <c r="P385" s="19">
        <v>24526.9</v>
      </c>
      <c r="Q385" s="19">
        <v>24741.7</v>
      </c>
      <c r="R385" s="19">
        <v>24966.3</v>
      </c>
      <c r="S385" s="19">
        <v>25201.200000000001</v>
      </c>
      <c r="T385" s="19">
        <v>25446.7</v>
      </c>
      <c r="U385" s="19">
        <v>25703.4</v>
      </c>
      <c r="V385" s="19">
        <v>25971.8</v>
      </c>
      <c r="W385" s="19">
        <v>26252.5</v>
      </c>
      <c r="X385" s="19">
        <v>26545.9</v>
      </c>
      <c r="Y385" s="19">
        <v>26852.6</v>
      </c>
      <c r="Z385" s="19">
        <v>27173.3</v>
      </c>
      <c r="AA385" s="19">
        <v>27508.6</v>
      </c>
      <c r="AB385" s="19">
        <v>27859.200000000001</v>
      </c>
      <c r="AC385" s="19">
        <v>28225.8</v>
      </c>
      <c r="AD385" s="19">
        <v>28609.1</v>
      </c>
      <c r="AE385" s="19">
        <v>29010</v>
      </c>
      <c r="AF385" s="19">
        <v>29429.3</v>
      </c>
      <c r="AG385" s="19">
        <v>29868</v>
      </c>
      <c r="AH385" s="19">
        <v>29327.1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v>0</v>
      </c>
      <c r="AO385" s="19">
        <v>0</v>
      </c>
      <c r="AP385" s="19">
        <v>0</v>
      </c>
      <c r="AQ385" s="19">
        <v>0</v>
      </c>
      <c r="AR385" s="19">
        <v>0</v>
      </c>
      <c r="AS385" s="19">
        <v>0</v>
      </c>
      <c r="AT385" s="19">
        <v>0</v>
      </c>
      <c r="AU385" s="19">
        <v>0</v>
      </c>
      <c r="AV385" s="19">
        <v>0</v>
      </c>
      <c r="AW385" s="19">
        <v>0</v>
      </c>
      <c r="AX385" s="19">
        <v>0</v>
      </c>
      <c r="AY385" s="19">
        <v>0</v>
      </c>
      <c r="AZ385" s="19">
        <v>0</v>
      </c>
      <c r="BA385" s="19">
        <v>0</v>
      </c>
      <c r="BB385" s="19">
        <v>0</v>
      </c>
      <c r="BC385" s="19">
        <v>0</v>
      </c>
      <c r="BD385" s="19">
        <v>0</v>
      </c>
      <c r="BE385" s="19">
        <v>0</v>
      </c>
      <c r="BF385" s="19">
        <v>0</v>
      </c>
      <c r="BG385" s="19">
        <v>0</v>
      </c>
      <c r="BH385" s="19">
        <v>0</v>
      </c>
      <c r="BI385" s="19">
        <v>0</v>
      </c>
      <c r="BJ385" s="19">
        <v>0</v>
      </c>
      <c r="BK385" s="19">
        <v>0</v>
      </c>
      <c r="BL385" s="19">
        <v>0</v>
      </c>
      <c r="BM385" s="19">
        <v>0</v>
      </c>
      <c r="BN385" s="19">
        <v>0</v>
      </c>
      <c r="BO385" s="19">
        <v>0</v>
      </c>
      <c r="BP385" s="19">
        <v>0</v>
      </c>
      <c r="BQ385" s="19">
        <v>0</v>
      </c>
      <c r="BR385" s="19">
        <v>0</v>
      </c>
      <c r="BS385" s="19">
        <v>0</v>
      </c>
      <c r="BT385" s="19">
        <v>0</v>
      </c>
      <c r="BU385" s="19">
        <v>0</v>
      </c>
      <c r="BV385" s="19">
        <v>0</v>
      </c>
      <c r="BW385" s="19">
        <v>0</v>
      </c>
      <c r="BX385" s="19">
        <v>0</v>
      </c>
      <c r="BY385" s="19">
        <v>0</v>
      </c>
      <c r="BZ385" s="19">
        <v>0</v>
      </c>
      <c r="CA385" s="19">
        <v>0</v>
      </c>
      <c r="CB385" s="19">
        <v>0</v>
      </c>
      <c r="CC385" s="19">
        <v>0</v>
      </c>
      <c r="CD385" s="19">
        <v>0</v>
      </c>
      <c r="CE385" s="19">
        <v>0</v>
      </c>
      <c r="CF385" s="19">
        <v>0</v>
      </c>
      <c r="CG385" s="19">
        <v>0</v>
      </c>
      <c r="CH385" s="19">
        <v>0</v>
      </c>
      <c r="CI385" s="19">
        <v>0</v>
      </c>
      <c r="CJ385" s="19">
        <v>0</v>
      </c>
      <c r="CK385" s="19">
        <v>0</v>
      </c>
      <c r="CL385" s="19">
        <v>0</v>
      </c>
      <c r="CM385" s="19">
        <v>0</v>
      </c>
      <c r="CN385" s="19">
        <v>0</v>
      </c>
      <c r="CO385" s="19">
        <v>0</v>
      </c>
      <c r="CP385" s="19">
        <v>0</v>
      </c>
      <c r="CQ385" s="19">
        <v>0</v>
      </c>
      <c r="CR385" s="19">
        <v>0</v>
      </c>
      <c r="CS385" s="19">
        <v>0</v>
      </c>
      <c r="CT385" s="19">
        <v>0</v>
      </c>
      <c r="CU385" s="19">
        <v>0</v>
      </c>
      <c r="CV385" s="19">
        <v>0</v>
      </c>
      <c r="CW385" s="19">
        <v>0</v>
      </c>
      <c r="CX385" s="19">
        <v>0</v>
      </c>
      <c r="CY385" s="19">
        <v>0</v>
      </c>
      <c r="CZ385" s="19">
        <v>0</v>
      </c>
      <c r="DA385" s="19">
        <v>0</v>
      </c>
      <c r="DB385" s="19">
        <v>0</v>
      </c>
      <c r="DC385" s="19">
        <v>0</v>
      </c>
      <c r="DD385" s="19">
        <v>0</v>
      </c>
      <c r="DE385" s="19">
        <v>0</v>
      </c>
      <c r="DF385" s="19">
        <v>0</v>
      </c>
      <c r="DG385" s="19">
        <v>0</v>
      </c>
    </row>
    <row r="386" spans="2:111" x14ac:dyDescent="0.15">
      <c r="B386" s="19" t="str">
        <f t="shared" si="5"/>
        <v>10_女_32</v>
      </c>
      <c r="C386" s="18">
        <v>10</v>
      </c>
      <c r="D386" s="18" t="s">
        <v>2</v>
      </c>
      <c r="E386" s="18">
        <v>32</v>
      </c>
      <c r="F386" s="19">
        <v>1621.6</v>
      </c>
      <c r="G386" s="19">
        <v>3770.3</v>
      </c>
      <c r="H386" s="19">
        <v>6348.7</v>
      </c>
      <c r="I386" s="19">
        <v>9248.9</v>
      </c>
      <c r="J386" s="19">
        <v>11401.9</v>
      </c>
      <c r="K386" s="19">
        <v>13700.9</v>
      </c>
      <c r="L386" s="19">
        <v>16154</v>
      </c>
      <c r="M386" s="19">
        <v>18770.099999999999</v>
      </c>
      <c r="N386" s="19">
        <v>21558.2</v>
      </c>
      <c r="O386" s="19">
        <v>24528.2</v>
      </c>
      <c r="P386" s="19">
        <v>24743</v>
      </c>
      <c r="Q386" s="19">
        <v>24967.599999999999</v>
      </c>
      <c r="R386" s="19">
        <v>25202.5</v>
      </c>
      <c r="S386" s="19">
        <v>25448</v>
      </c>
      <c r="T386" s="19">
        <v>25704.7</v>
      </c>
      <c r="U386" s="19">
        <v>25973.1</v>
      </c>
      <c r="V386" s="19">
        <v>26253.7</v>
      </c>
      <c r="W386" s="19">
        <v>26547.1</v>
      </c>
      <c r="X386" s="19">
        <v>26853.8</v>
      </c>
      <c r="Y386" s="19">
        <v>27174.400000000001</v>
      </c>
      <c r="Z386" s="19">
        <v>27509.7</v>
      </c>
      <c r="AA386" s="19">
        <v>27860.1</v>
      </c>
      <c r="AB386" s="19">
        <v>28226.6</v>
      </c>
      <c r="AC386" s="19">
        <v>28609.8</v>
      </c>
      <c r="AD386" s="19">
        <v>29010.6</v>
      </c>
      <c r="AE386" s="19">
        <v>29429.7</v>
      </c>
      <c r="AF386" s="19">
        <v>29868.2</v>
      </c>
      <c r="AG386" s="19">
        <v>29327.1</v>
      </c>
      <c r="AH386" s="19">
        <v>0</v>
      </c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v>0</v>
      </c>
      <c r="AO386" s="19">
        <v>0</v>
      </c>
      <c r="AP386" s="19">
        <v>0</v>
      </c>
      <c r="AQ386" s="19">
        <v>0</v>
      </c>
      <c r="AR386" s="19">
        <v>0</v>
      </c>
      <c r="AS386" s="19">
        <v>0</v>
      </c>
      <c r="AT386" s="19">
        <v>0</v>
      </c>
      <c r="AU386" s="19">
        <v>0</v>
      </c>
      <c r="AV386" s="19">
        <v>0</v>
      </c>
      <c r="AW386" s="19">
        <v>0</v>
      </c>
      <c r="AX386" s="19">
        <v>0</v>
      </c>
      <c r="AY386" s="19">
        <v>0</v>
      </c>
      <c r="AZ386" s="19">
        <v>0</v>
      </c>
      <c r="BA386" s="19">
        <v>0</v>
      </c>
      <c r="BB386" s="19">
        <v>0</v>
      </c>
      <c r="BC386" s="19">
        <v>0</v>
      </c>
      <c r="BD386" s="19">
        <v>0</v>
      </c>
      <c r="BE386" s="19">
        <v>0</v>
      </c>
      <c r="BF386" s="19">
        <v>0</v>
      </c>
      <c r="BG386" s="19">
        <v>0</v>
      </c>
      <c r="BH386" s="19">
        <v>0</v>
      </c>
      <c r="BI386" s="19">
        <v>0</v>
      </c>
      <c r="BJ386" s="19">
        <v>0</v>
      </c>
      <c r="BK386" s="19">
        <v>0</v>
      </c>
      <c r="BL386" s="19">
        <v>0</v>
      </c>
      <c r="BM386" s="19">
        <v>0</v>
      </c>
      <c r="BN386" s="19">
        <v>0</v>
      </c>
      <c r="BO386" s="19">
        <v>0</v>
      </c>
      <c r="BP386" s="19">
        <v>0</v>
      </c>
      <c r="BQ386" s="19">
        <v>0</v>
      </c>
      <c r="BR386" s="19">
        <v>0</v>
      </c>
      <c r="BS386" s="19">
        <v>0</v>
      </c>
      <c r="BT386" s="19">
        <v>0</v>
      </c>
      <c r="BU386" s="19">
        <v>0</v>
      </c>
      <c r="BV386" s="19">
        <v>0</v>
      </c>
      <c r="BW386" s="19">
        <v>0</v>
      </c>
      <c r="BX386" s="19">
        <v>0</v>
      </c>
      <c r="BY386" s="19">
        <v>0</v>
      </c>
      <c r="BZ386" s="19">
        <v>0</v>
      </c>
      <c r="CA386" s="19">
        <v>0</v>
      </c>
      <c r="CB386" s="19">
        <v>0</v>
      </c>
      <c r="CC386" s="19">
        <v>0</v>
      </c>
      <c r="CD386" s="19">
        <v>0</v>
      </c>
      <c r="CE386" s="19">
        <v>0</v>
      </c>
      <c r="CF386" s="19">
        <v>0</v>
      </c>
      <c r="CG386" s="19">
        <v>0</v>
      </c>
      <c r="CH386" s="19">
        <v>0</v>
      </c>
      <c r="CI386" s="19">
        <v>0</v>
      </c>
      <c r="CJ386" s="19">
        <v>0</v>
      </c>
      <c r="CK386" s="19">
        <v>0</v>
      </c>
      <c r="CL386" s="19">
        <v>0</v>
      </c>
      <c r="CM386" s="19">
        <v>0</v>
      </c>
      <c r="CN386" s="19">
        <v>0</v>
      </c>
      <c r="CO386" s="19">
        <v>0</v>
      </c>
      <c r="CP386" s="19">
        <v>0</v>
      </c>
      <c r="CQ386" s="19">
        <v>0</v>
      </c>
      <c r="CR386" s="19">
        <v>0</v>
      </c>
      <c r="CS386" s="19">
        <v>0</v>
      </c>
      <c r="CT386" s="19">
        <v>0</v>
      </c>
      <c r="CU386" s="19">
        <v>0</v>
      </c>
      <c r="CV386" s="19">
        <v>0</v>
      </c>
      <c r="CW386" s="19">
        <v>0</v>
      </c>
      <c r="CX386" s="19">
        <v>0</v>
      </c>
      <c r="CY386" s="19">
        <v>0</v>
      </c>
      <c r="CZ386" s="19">
        <v>0</v>
      </c>
      <c r="DA386" s="19">
        <v>0</v>
      </c>
      <c r="DB386" s="19">
        <v>0</v>
      </c>
      <c r="DC386" s="19">
        <v>0</v>
      </c>
      <c r="DD386" s="19">
        <v>0</v>
      </c>
      <c r="DE386" s="19">
        <v>0</v>
      </c>
      <c r="DF386" s="19">
        <v>0</v>
      </c>
      <c r="DG386" s="19">
        <v>0</v>
      </c>
    </row>
    <row r="387" spans="2:111" x14ac:dyDescent="0.15">
      <c r="B387" s="19" t="str">
        <f t="shared" ref="B387:B450" si="6">C387&amp;"_"&amp;D387&amp;"_"&amp;E387</f>
        <v>10_女_33</v>
      </c>
      <c r="C387" s="18">
        <v>10</v>
      </c>
      <c r="D387" s="18" t="s">
        <v>2</v>
      </c>
      <c r="E387" s="18">
        <v>33</v>
      </c>
      <c r="F387" s="19">
        <v>1633</v>
      </c>
      <c r="G387" s="19">
        <v>3796.7</v>
      </c>
      <c r="H387" s="19">
        <v>6393.1</v>
      </c>
      <c r="I387" s="19">
        <v>9313.5</v>
      </c>
      <c r="J387" s="19">
        <v>11488.1</v>
      </c>
      <c r="K387" s="19">
        <v>13810</v>
      </c>
      <c r="L387" s="19">
        <v>16287.5</v>
      </c>
      <c r="M387" s="19">
        <v>18929.5</v>
      </c>
      <c r="N387" s="19">
        <v>21745.200000000001</v>
      </c>
      <c r="O387" s="19">
        <v>24744.3</v>
      </c>
      <c r="P387" s="19">
        <v>24968.9</v>
      </c>
      <c r="Q387" s="19">
        <v>25203.8</v>
      </c>
      <c r="R387" s="19">
        <v>25449.3</v>
      </c>
      <c r="S387" s="19">
        <v>25706</v>
      </c>
      <c r="T387" s="19">
        <v>25974.400000000001</v>
      </c>
      <c r="U387" s="19">
        <v>26254.9</v>
      </c>
      <c r="V387" s="19">
        <v>26548.3</v>
      </c>
      <c r="W387" s="19">
        <v>26854.9</v>
      </c>
      <c r="X387" s="19">
        <v>27175.5</v>
      </c>
      <c r="Y387" s="19">
        <v>27510.7</v>
      </c>
      <c r="Z387" s="19">
        <v>27861.1</v>
      </c>
      <c r="AA387" s="19">
        <v>28227.5</v>
      </c>
      <c r="AB387" s="19">
        <v>28610.6</v>
      </c>
      <c r="AC387" s="19">
        <v>29011.200000000001</v>
      </c>
      <c r="AD387" s="19">
        <v>29430.1</v>
      </c>
      <c r="AE387" s="19">
        <v>29868.5</v>
      </c>
      <c r="AF387" s="19">
        <v>29327.1</v>
      </c>
      <c r="AG387" s="19">
        <v>0</v>
      </c>
      <c r="AH387" s="19">
        <v>0</v>
      </c>
      <c r="AI387" s="19">
        <v>0</v>
      </c>
      <c r="AJ387" s="19">
        <v>0</v>
      </c>
      <c r="AK387" s="19">
        <v>0</v>
      </c>
      <c r="AL387" s="19">
        <v>0</v>
      </c>
      <c r="AM387" s="19">
        <v>0</v>
      </c>
      <c r="AN387" s="19">
        <v>0</v>
      </c>
      <c r="AO387" s="19">
        <v>0</v>
      </c>
      <c r="AP387" s="19">
        <v>0</v>
      </c>
      <c r="AQ387" s="19">
        <v>0</v>
      </c>
      <c r="AR387" s="19">
        <v>0</v>
      </c>
      <c r="AS387" s="19">
        <v>0</v>
      </c>
      <c r="AT387" s="19">
        <v>0</v>
      </c>
      <c r="AU387" s="19">
        <v>0</v>
      </c>
      <c r="AV387" s="19">
        <v>0</v>
      </c>
      <c r="AW387" s="19">
        <v>0</v>
      </c>
      <c r="AX387" s="19">
        <v>0</v>
      </c>
      <c r="AY387" s="19">
        <v>0</v>
      </c>
      <c r="AZ387" s="19">
        <v>0</v>
      </c>
      <c r="BA387" s="19">
        <v>0</v>
      </c>
      <c r="BB387" s="19">
        <v>0</v>
      </c>
      <c r="BC387" s="19">
        <v>0</v>
      </c>
      <c r="BD387" s="19">
        <v>0</v>
      </c>
      <c r="BE387" s="19">
        <v>0</v>
      </c>
      <c r="BF387" s="19">
        <v>0</v>
      </c>
      <c r="BG387" s="19">
        <v>0</v>
      </c>
      <c r="BH387" s="19">
        <v>0</v>
      </c>
      <c r="BI387" s="19">
        <v>0</v>
      </c>
      <c r="BJ387" s="19">
        <v>0</v>
      </c>
      <c r="BK387" s="19">
        <v>0</v>
      </c>
      <c r="BL387" s="19">
        <v>0</v>
      </c>
      <c r="BM387" s="19">
        <v>0</v>
      </c>
      <c r="BN387" s="19">
        <v>0</v>
      </c>
      <c r="BO387" s="19">
        <v>0</v>
      </c>
      <c r="BP387" s="19">
        <v>0</v>
      </c>
      <c r="BQ387" s="19">
        <v>0</v>
      </c>
      <c r="BR387" s="19">
        <v>0</v>
      </c>
      <c r="BS387" s="19">
        <v>0</v>
      </c>
      <c r="BT387" s="19">
        <v>0</v>
      </c>
      <c r="BU387" s="19">
        <v>0</v>
      </c>
      <c r="BV387" s="19">
        <v>0</v>
      </c>
      <c r="BW387" s="19">
        <v>0</v>
      </c>
      <c r="BX387" s="19">
        <v>0</v>
      </c>
      <c r="BY387" s="19">
        <v>0</v>
      </c>
      <c r="BZ387" s="19">
        <v>0</v>
      </c>
      <c r="CA387" s="19">
        <v>0</v>
      </c>
      <c r="CB387" s="19">
        <v>0</v>
      </c>
      <c r="CC387" s="19">
        <v>0</v>
      </c>
      <c r="CD387" s="19">
        <v>0</v>
      </c>
      <c r="CE387" s="19">
        <v>0</v>
      </c>
      <c r="CF387" s="19">
        <v>0</v>
      </c>
      <c r="CG387" s="19">
        <v>0</v>
      </c>
      <c r="CH387" s="19">
        <v>0</v>
      </c>
      <c r="CI387" s="19">
        <v>0</v>
      </c>
      <c r="CJ387" s="19">
        <v>0</v>
      </c>
      <c r="CK387" s="19">
        <v>0</v>
      </c>
      <c r="CL387" s="19">
        <v>0</v>
      </c>
      <c r="CM387" s="19">
        <v>0</v>
      </c>
      <c r="CN387" s="19">
        <v>0</v>
      </c>
      <c r="CO387" s="19">
        <v>0</v>
      </c>
      <c r="CP387" s="19">
        <v>0</v>
      </c>
      <c r="CQ387" s="19">
        <v>0</v>
      </c>
      <c r="CR387" s="19">
        <v>0</v>
      </c>
      <c r="CS387" s="19">
        <v>0</v>
      </c>
      <c r="CT387" s="19">
        <v>0</v>
      </c>
      <c r="CU387" s="19">
        <v>0</v>
      </c>
      <c r="CV387" s="19">
        <v>0</v>
      </c>
      <c r="CW387" s="19">
        <v>0</v>
      </c>
      <c r="CX387" s="19">
        <v>0</v>
      </c>
      <c r="CY387" s="19">
        <v>0</v>
      </c>
      <c r="CZ387" s="19">
        <v>0</v>
      </c>
      <c r="DA387" s="19">
        <v>0</v>
      </c>
      <c r="DB387" s="19">
        <v>0</v>
      </c>
      <c r="DC387" s="19">
        <v>0</v>
      </c>
      <c r="DD387" s="19">
        <v>0</v>
      </c>
      <c r="DE387" s="19">
        <v>0</v>
      </c>
      <c r="DF387" s="19">
        <v>0</v>
      </c>
      <c r="DG387" s="19">
        <v>0</v>
      </c>
    </row>
    <row r="388" spans="2:111" x14ac:dyDescent="0.15">
      <c r="B388" s="19" t="str">
        <f t="shared" si="6"/>
        <v>10_女_34</v>
      </c>
      <c r="C388" s="18">
        <v>10</v>
      </c>
      <c r="D388" s="18" t="s">
        <v>2</v>
      </c>
      <c r="E388" s="18">
        <v>34</v>
      </c>
      <c r="F388" s="19">
        <v>1644.9</v>
      </c>
      <c r="G388" s="19">
        <v>3824.3</v>
      </c>
      <c r="H388" s="19">
        <v>6439.5</v>
      </c>
      <c r="I388" s="19">
        <v>9381.1</v>
      </c>
      <c r="J388" s="19">
        <v>11578.2</v>
      </c>
      <c r="K388" s="19">
        <v>13924.1</v>
      </c>
      <c r="L388" s="19">
        <v>16427.099999999999</v>
      </c>
      <c r="M388" s="19">
        <v>19096.2</v>
      </c>
      <c r="N388" s="19">
        <v>21940.6</v>
      </c>
      <c r="O388" s="19">
        <v>24970.3</v>
      </c>
      <c r="P388" s="19">
        <v>25205.1</v>
      </c>
      <c r="Q388" s="19">
        <v>25450.6</v>
      </c>
      <c r="R388" s="19">
        <v>25707.3</v>
      </c>
      <c r="S388" s="19">
        <v>25975.7</v>
      </c>
      <c r="T388" s="19">
        <v>26256.2</v>
      </c>
      <c r="U388" s="19">
        <v>26549.5</v>
      </c>
      <c r="V388" s="19">
        <v>26856.1</v>
      </c>
      <c r="W388" s="19">
        <v>27176.7</v>
      </c>
      <c r="X388" s="19">
        <v>27511.8</v>
      </c>
      <c r="Y388" s="19">
        <v>27862.1</v>
      </c>
      <c r="Z388" s="19">
        <v>28228.3</v>
      </c>
      <c r="AA388" s="19">
        <v>28611.3</v>
      </c>
      <c r="AB388" s="19">
        <v>29011.8</v>
      </c>
      <c r="AC388" s="19">
        <v>29430.6</v>
      </c>
      <c r="AD388" s="19">
        <v>29868.7</v>
      </c>
      <c r="AE388" s="19">
        <v>29327.1</v>
      </c>
      <c r="AF388" s="19">
        <v>0</v>
      </c>
      <c r="AG388" s="19">
        <v>0</v>
      </c>
      <c r="AH388" s="19">
        <v>0</v>
      </c>
      <c r="AI388" s="19">
        <v>0</v>
      </c>
      <c r="AJ388" s="19">
        <v>0</v>
      </c>
      <c r="AK388" s="19">
        <v>0</v>
      </c>
      <c r="AL388" s="19">
        <v>0</v>
      </c>
      <c r="AM388" s="19">
        <v>0</v>
      </c>
      <c r="AN388" s="19">
        <v>0</v>
      </c>
      <c r="AO388" s="19">
        <v>0</v>
      </c>
      <c r="AP388" s="19">
        <v>0</v>
      </c>
      <c r="AQ388" s="19">
        <v>0</v>
      </c>
      <c r="AR388" s="19">
        <v>0</v>
      </c>
      <c r="AS388" s="19">
        <v>0</v>
      </c>
      <c r="AT388" s="19">
        <v>0</v>
      </c>
      <c r="AU388" s="19">
        <v>0</v>
      </c>
      <c r="AV388" s="19">
        <v>0</v>
      </c>
      <c r="AW388" s="19">
        <v>0</v>
      </c>
      <c r="AX388" s="19">
        <v>0</v>
      </c>
      <c r="AY388" s="19">
        <v>0</v>
      </c>
      <c r="AZ388" s="19">
        <v>0</v>
      </c>
      <c r="BA388" s="19">
        <v>0</v>
      </c>
      <c r="BB388" s="19">
        <v>0</v>
      </c>
      <c r="BC388" s="19">
        <v>0</v>
      </c>
      <c r="BD388" s="19">
        <v>0</v>
      </c>
      <c r="BE388" s="19">
        <v>0</v>
      </c>
      <c r="BF388" s="19">
        <v>0</v>
      </c>
      <c r="BG388" s="19">
        <v>0</v>
      </c>
      <c r="BH388" s="19">
        <v>0</v>
      </c>
      <c r="BI388" s="19">
        <v>0</v>
      </c>
      <c r="BJ388" s="19">
        <v>0</v>
      </c>
      <c r="BK388" s="19">
        <v>0</v>
      </c>
      <c r="BL388" s="19">
        <v>0</v>
      </c>
      <c r="BM388" s="19">
        <v>0</v>
      </c>
      <c r="BN388" s="19">
        <v>0</v>
      </c>
      <c r="BO388" s="19">
        <v>0</v>
      </c>
      <c r="BP388" s="19">
        <v>0</v>
      </c>
      <c r="BQ388" s="19">
        <v>0</v>
      </c>
      <c r="BR388" s="19">
        <v>0</v>
      </c>
      <c r="BS388" s="19">
        <v>0</v>
      </c>
      <c r="BT388" s="19">
        <v>0</v>
      </c>
      <c r="BU388" s="19">
        <v>0</v>
      </c>
      <c r="BV388" s="19">
        <v>0</v>
      </c>
      <c r="BW388" s="19">
        <v>0</v>
      </c>
      <c r="BX388" s="19">
        <v>0</v>
      </c>
      <c r="BY388" s="19">
        <v>0</v>
      </c>
      <c r="BZ388" s="19">
        <v>0</v>
      </c>
      <c r="CA388" s="19">
        <v>0</v>
      </c>
      <c r="CB388" s="19">
        <v>0</v>
      </c>
      <c r="CC388" s="19">
        <v>0</v>
      </c>
      <c r="CD388" s="19">
        <v>0</v>
      </c>
      <c r="CE388" s="19">
        <v>0</v>
      </c>
      <c r="CF388" s="19">
        <v>0</v>
      </c>
      <c r="CG388" s="19">
        <v>0</v>
      </c>
      <c r="CH388" s="19">
        <v>0</v>
      </c>
      <c r="CI388" s="19">
        <v>0</v>
      </c>
      <c r="CJ388" s="19">
        <v>0</v>
      </c>
      <c r="CK388" s="19">
        <v>0</v>
      </c>
      <c r="CL388" s="19">
        <v>0</v>
      </c>
      <c r="CM388" s="19">
        <v>0</v>
      </c>
      <c r="CN388" s="19">
        <v>0</v>
      </c>
      <c r="CO388" s="19">
        <v>0</v>
      </c>
      <c r="CP388" s="19">
        <v>0</v>
      </c>
      <c r="CQ388" s="19">
        <v>0</v>
      </c>
      <c r="CR388" s="19">
        <v>0</v>
      </c>
      <c r="CS388" s="19">
        <v>0</v>
      </c>
      <c r="CT388" s="19">
        <v>0</v>
      </c>
      <c r="CU388" s="19">
        <v>0</v>
      </c>
      <c r="CV388" s="19">
        <v>0</v>
      </c>
      <c r="CW388" s="19">
        <v>0</v>
      </c>
      <c r="CX388" s="19">
        <v>0</v>
      </c>
      <c r="CY388" s="19">
        <v>0</v>
      </c>
      <c r="CZ388" s="19">
        <v>0</v>
      </c>
      <c r="DA388" s="19">
        <v>0</v>
      </c>
      <c r="DB388" s="19">
        <v>0</v>
      </c>
      <c r="DC388" s="19">
        <v>0</v>
      </c>
      <c r="DD388" s="19">
        <v>0</v>
      </c>
      <c r="DE388" s="19">
        <v>0</v>
      </c>
      <c r="DF388" s="19">
        <v>0</v>
      </c>
      <c r="DG388" s="19">
        <v>0</v>
      </c>
    </row>
    <row r="389" spans="2:111" x14ac:dyDescent="0.15">
      <c r="B389" s="19" t="str">
        <f t="shared" si="6"/>
        <v>10_女_35</v>
      </c>
      <c r="C389" s="18">
        <v>10</v>
      </c>
      <c r="D389" s="18" t="s">
        <v>2</v>
      </c>
      <c r="E389" s="18">
        <v>35</v>
      </c>
      <c r="F389" s="19">
        <v>1657.3</v>
      </c>
      <c r="G389" s="19">
        <v>3853.2</v>
      </c>
      <c r="H389" s="19">
        <v>6488.1</v>
      </c>
      <c r="I389" s="19">
        <v>9451.7999999999993</v>
      </c>
      <c r="J389" s="19">
        <v>11672.4</v>
      </c>
      <c r="K389" s="19">
        <v>14043.4</v>
      </c>
      <c r="L389" s="19">
        <v>16573.099999999999</v>
      </c>
      <c r="M389" s="19">
        <v>19270.5</v>
      </c>
      <c r="N389" s="19">
        <v>22145</v>
      </c>
      <c r="O389" s="19">
        <v>25206.5</v>
      </c>
      <c r="P389" s="19">
        <v>25452</v>
      </c>
      <c r="Q389" s="19">
        <v>25708.7</v>
      </c>
      <c r="R389" s="19">
        <v>25977</v>
      </c>
      <c r="S389" s="19">
        <v>26257.599999999999</v>
      </c>
      <c r="T389" s="19">
        <v>26550.799999999999</v>
      </c>
      <c r="U389" s="19">
        <v>26857.4</v>
      </c>
      <c r="V389" s="19">
        <v>27177.9</v>
      </c>
      <c r="W389" s="19">
        <v>27512.9</v>
      </c>
      <c r="X389" s="19">
        <v>27863.1</v>
      </c>
      <c r="Y389" s="19">
        <v>28229.200000000001</v>
      </c>
      <c r="Z389" s="19">
        <v>28612.1</v>
      </c>
      <c r="AA389" s="19">
        <v>29012.400000000001</v>
      </c>
      <c r="AB389" s="19">
        <v>29431</v>
      </c>
      <c r="AC389" s="19">
        <v>29868.9</v>
      </c>
      <c r="AD389" s="19">
        <v>29327.1</v>
      </c>
      <c r="AE389" s="19">
        <v>0</v>
      </c>
      <c r="AF389" s="19">
        <v>0</v>
      </c>
      <c r="AG389" s="19">
        <v>0</v>
      </c>
      <c r="AH389" s="19">
        <v>0</v>
      </c>
      <c r="AI389" s="19">
        <v>0</v>
      </c>
      <c r="AJ389" s="19">
        <v>0</v>
      </c>
      <c r="AK389" s="19">
        <v>0</v>
      </c>
      <c r="AL389" s="19">
        <v>0</v>
      </c>
      <c r="AM389" s="19">
        <v>0</v>
      </c>
      <c r="AN389" s="19">
        <v>0</v>
      </c>
      <c r="AO389" s="19">
        <v>0</v>
      </c>
      <c r="AP389" s="19">
        <v>0</v>
      </c>
      <c r="AQ389" s="19">
        <v>0</v>
      </c>
      <c r="AR389" s="19">
        <v>0</v>
      </c>
      <c r="AS389" s="19">
        <v>0</v>
      </c>
      <c r="AT389" s="19">
        <v>0</v>
      </c>
      <c r="AU389" s="19">
        <v>0</v>
      </c>
      <c r="AV389" s="19">
        <v>0</v>
      </c>
      <c r="AW389" s="19">
        <v>0</v>
      </c>
      <c r="AX389" s="19">
        <v>0</v>
      </c>
      <c r="AY389" s="19">
        <v>0</v>
      </c>
      <c r="AZ389" s="19">
        <v>0</v>
      </c>
      <c r="BA389" s="19">
        <v>0</v>
      </c>
      <c r="BB389" s="19">
        <v>0</v>
      </c>
      <c r="BC389" s="19">
        <v>0</v>
      </c>
      <c r="BD389" s="19">
        <v>0</v>
      </c>
      <c r="BE389" s="19">
        <v>0</v>
      </c>
      <c r="BF389" s="19">
        <v>0</v>
      </c>
      <c r="BG389" s="19">
        <v>0</v>
      </c>
      <c r="BH389" s="19">
        <v>0</v>
      </c>
      <c r="BI389" s="19">
        <v>0</v>
      </c>
      <c r="BJ389" s="19">
        <v>0</v>
      </c>
      <c r="BK389" s="19">
        <v>0</v>
      </c>
      <c r="BL389" s="19">
        <v>0</v>
      </c>
      <c r="BM389" s="19">
        <v>0</v>
      </c>
      <c r="BN389" s="19">
        <v>0</v>
      </c>
      <c r="BO389" s="19">
        <v>0</v>
      </c>
      <c r="BP389" s="19">
        <v>0</v>
      </c>
      <c r="BQ389" s="19">
        <v>0</v>
      </c>
      <c r="BR389" s="19">
        <v>0</v>
      </c>
      <c r="BS389" s="19">
        <v>0</v>
      </c>
      <c r="BT389" s="19">
        <v>0</v>
      </c>
      <c r="BU389" s="19">
        <v>0</v>
      </c>
      <c r="BV389" s="19">
        <v>0</v>
      </c>
      <c r="BW389" s="19">
        <v>0</v>
      </c>
      <c r="BX389" s="19">
        <v>0</v>
      </c>
      <c r="BY389" s="19">
        <v>0</v>
      </c>
      <c r="BZ389" s="19">
        <v>0</v>
      </c>
      <c r="CA389" s="19">
        <v>0</v>
      </c>
      <c r="CB389" s="19">
        <v>0</v>
      </c>
      <c r="CC389" s="19">
        <v>0</v>
      </c>
      <c r="CD389" s="19">
        <v>0</v>
      </c>
      <c r="CE389" s="19">
        <v>0</v>
      </c>
      <c r="CF389" s="19">
        <v>0</v>
      </c>
      <c r="CG389" s="19">
        <v>0</v>
      </c>
      <c r="CH389" s="19">
        <v>0</v>
      </c>
      <c r="CI389" s="19">
        <v>0</v>
      </c>
      <c r="CJ389" s="19">
        <v>0</v>
      </c>
      <c r="CK389" s="19">
        <v>0</v>
      </c>
      <c r="CL389" s="19">
        <v>0</v>
      </c>
      <c r="CM389" s="19">
        <v>0</v>
      </c>
      <c r="CN389" s="19">
        <v>0</v>
      </c>
      <c r="CO389" s="19">
        <v>0</v>
      </c>
      <c r="CP389" s="19">
        <v>0</v>
      </c>
      <c r="CQ389" s="19">
        <v>0</v>
      </c>
      <c r="CR389" s="19">
        <v>0</v>
      </c>
      <c r="CS389" s="19">
        <v>0</v>
      </c>
      <c r="CT389" s="19">
        <v>0</v>
      </c>
      <c r="CU389" s="19">
        <v>0</v>
      </c>
      <c r="CV389" s="19">
        <v>0</v>
      </c>
      <c r="CW389" s="19">
        <v>0</v>
      </c>
      <c r="CX389" s="19">
        <v>0</v>
      </c>
      <c r="CY389" s="19">
        <v>0</v>
      </c>
      <c r="CZ389" s="19">
        <v>0</v>
      </c>
      <c r="DA389" s="19">
        <v>0</v>
      </c>
      <c r="DB389" s="19">
        <v>0</v>
      </c>
      <c r="DC389" s="19">
        <v>0</v>
      </c>
      <c r="DD389" s="19">
        <v>0</v>
      </c>
      <c r="DE389" s="19">
        <v>0</v>
      </c>
      <c r="DF389" s="19">
        <v>0</v>
      </c>
      <c r="DG389" s="19">
        <v>0</v>
      </c>
    </row>
    <row r="390" spans="2:111" x14ac:dyDescent="0.15">
      <c r="B390" s="19" t="str">
        <f t="shared" si="6"/>
        <v>10_女_36</v>
      </c>
      <c r="C390" s="18">
        <v>10</v>
      </c>
      <c r="D390" s="18" t="s">
        <v>2</v>
      </c>
      <c r="E390" s="18">
        <v>36</v>
      </c>
      <c r="F390" s="19">
        <v>1670.3</v>
      </c>
      <c r="G390" s="19">
        <v>3883.4</v>
      </c>
      <c r="H390" s="19">
        <v>6538.8</v>
      </c>
      <c r="I390" s="19">
        <v>9525.6</v>
      </c>
      <c r="J390" s="19">
        <v>11770.9</v>
      </c>
      <c r="K390" s="19">
        <v>14168.1</v>
      </c>
      <c r="L390" s="19">
        <v>16725.599999999999</v>
      </c>
      <c r="M390" s="19">
        <v>19452.599999999999</v>
      </c>
      <c r="N390" s="19">
        <v>22358.6</v>
      </c>
      <c r="O390" s="19">
        <v>25453.4</v>
      </c>
      <c r="P390" s="19">
        <v>25710.1</v>
      </c>
      <c r="Q390" s="19">
        <v>25978.400000000001</v>
      </c>
      <c r="R390" s="19">
        <v>26258.9</v>
      </c>
      <c r="S390" s="19">
        <v>26552.1</v>
      </c>
      <c r="T390" s="19">
        <v>26858.7</v>
      </c>
      <c r="U390" s="19">
        <v>27179.1</v>
      </c>
      <c r="V390" s="19">
        <v>27514</v>
      </c>
      <c r="W390" s="19">
        <v>27864.1</v>
      </c>
      <c r="X390" s="19">
        <v>28230.2</v>
      </c>
      <c r="Y390" s="19">
        <v>28612.9</v>
      </c>
      <c r="Z390" s="19">
        <v>29013</v>
      </c>
      <c r="AA390" s="19">
        <v>29431.5</v>
      </c>
      <c r="AB390" s="19">
        <v>29869.200000000001</v>
      </c>
      <c r="AC390" s="19">
        <v>29327.1</v>
      </c>
      <c r="AD390" s="19">
        <v>0</v>
      </c>
      <c r="AE390" s="19">
        <v>0</v>
      </c>
      <c r="AF390" s="19">
        <v>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19">
        <v>0</v>
      </c>
      <c r="AM390" s="19">
        <v>0</v>
      </c>
      <c r="AN390" s="19">
        <v>0</v>
      </c>
      <c r="AO390" s="19">
        <v>0</v>
      </c>
      <c r="AP390" s="19">
        <v>0</v>
      </c>
      <c r="AQ390" s="19">
        <v>0</v>
      </c>
      <c r="AR390" s="19">
        <v>0</v>
      </c>
      <c r="AS390" s="19">
        <v>0</v>
      </c>
      <c r="AT390" s="19">
        <v>0</v>
      </c>
      <c r="AU390" s="19">
        <v>0</v>
      </c>
      <c r="AV390" s="19">
        <v>0</v>
      </c>
      <c r="AW390" s="19">
        <v>0</v>
      </c>
      <c r="AX390" s="19">
        <v>0</v>
      </c>
      <c r="AY390" s="19">
        <v>0</v>
      </c>
      <c r="AZ390" s="19">
        <v>0</v>
      </c>
      <c r="BA390" s="19">
        <v>0</v>
      </c>
      <c r="BB390" s="19">
        <v>0</v>
      </c>
      <c r="BC390" s="19">
        <v>0</v>
      </c>
      <c r="BD390" s="19">
        <v>0</v>
      </c>
      <c r="BE390" s="19">
        <v>0</v>
      </c>
      <c r="BF390" s="19">
        <v>0</v>
      </c>
      <c r="BG390" s="19">
        <v>0</v>
      </c>
      <c r="BH390" s="19">
        <v>0</v>
      </c>
      <c r="BI390" s="19">
        <v>0</v>
      </c>
      <c r="BJ390" s="19">
        <v>0</v>
      </c>
      <c r="BK390" s="19">
        <v>0</v>
      </c>
      <c r="BL390" s="19">
        <v>0</v>
      </c>
      <c r="BM390" s="19">
        <v>0</v>
      </c>
      <c r="BN390" s="19">
        <v>0</v>
      </c>
      <c r="BO390" s="19">
        <v>0</v>
      </c>
      <c r="BP390" s="19">
        <v>0</v>
      </c>
      <c r="BQ390" s="19">
        <v>0</v>
      </c>
      <c r="BR390" s="19">
        <v>0</v>
      </c>
      <c r="BS390" s="19">
        <v>0</v>
      </c>
      <c r="BT390" s="19">
        <v>0</v>
      </c>
      <c r="BU390" s="19">
        <v>0</v>
      </c>
      <c r="BV390" s="19">
        <v>0</v>
      </c>
      <c r="BW390" s="19">
        <v>0</v>
      </c>
      <c r="BX390" s="19">
        <v>0</v>
      </c>
      <c r="BY390" s="19">
        <v>0</v>
      </c>
      <c r="BZ390" s="19">
        <v>0</v>
      </c>
      <c r="CA390" s="19">
        <v>0</v>
      </c>
      <c r="CB390" s="19">
        <v>0</v>
      </c>
      <c r="CC390" s="19">
        <v>0</v>
      </c>
      <c r="CD390" s="19">
        <v>0</v>
      </c>
      <c r="CE390" s="19">
        <v>0</v>
      </c>
      <c r="CF390" s="19">
        <v>0</v>
      </c>
      <c r="CG390" s="19">
        <v>0</v>
      </c>
      <c r="CH390" s="19">
        <v>0</v>
      </c>
      <c r="CI390" s="19">
        <v>0</v>
      </c>
      <c r="CJ390" s="19">
        <v>0</v>
      </c>
      <c r="CK390" s="19">
        <v>0</v>
      </c>
      <c r="CL390" s="19">
        <v>0</v>
      </c>
      <c r="CM390" s="19">
        <v>0</v>
      </c>
      <c r="CN390" s="19">
        <v>0</v>
      </c>
      <c r="CO390" s="19">
        <v>0</v>
      </c>
      <c r="CP390" s="19">
        <v>0</v>
      </c>
      <c r="CQ390" s="19">
        <v>0</v>
      </c>
      <c r="CR390" s="19">
        <v>0</v>
      </c>
      <c r="CS390" s="19">
        <v>0</v>
      </c>
      <c r="CT390" s="19">
        <v>0</v>
      </c>
      <c r="CU390" s="19">
        <v>0</v>
      </c>
      <c r="CV390" s="19">
        <v>0</v>
      </c>
      <c r="CW390" s="19">
        <v>0</v>
      </c>
      <c r="CX390" s="19">
        <v>0</v>
      </c>
      <c r="CY390" s="19">
        <v>0</v>
      </c>
      <c r="CZ390" s="19">
        <v>0</v>
      </c>
      <c r="DA390" s="19">
        <v>0</v>
      </c>
      <c r="DB390" s="19">
        <v>0</v>
      </c>
      <c r="DC390" s="19">
        <v>0</v>
      </c>
      <c r="DD390" s="19">
        <v>0</v>
      </c>
      <c r="DE390" s="19">
        <v>0</v>
      </c>
      <c r="DF390" s="19">
        <v>0</v>
      </c>
      <c r="DG390" s="19">
        <v>0</v>
      </c>
    </row>
    <row r="391" spans="2:111" x14ac:dyDescent="0.15">
      <c r="B391" s="19" t="str">
        <f t="shared" si="6"/>
        <v>10_女_37</v>
      </c>
      <c r="C391" s="18">
        <v>10</v>
      </c>
      <c r="D391" s="18" t="s">
        <v>2</v>
      </c>
      <c r="E391" s="18">
        <v>37</v>
      </c>
      <c r="F391" s="19">
        <v>1683.9</v>
      </c>
      <c r="G391" s="19">
        <v>3914.9</v>
      </c>
      <c r="H391" s="19">
        <v>6591.9</v>
      </c>
      <c r="I391" s="19">
        <v>9602.7999999999993</v>
      </c>
      <c r="J391" s="19">
        <v>11873.8</v>
      </c>
      <c r="K391" s="19">
        <v>14298.4</v>
      </c>
      <c r="L391" s="19">
        <v>16885.099999999999</v>
      </c>
      <c r="M391" s="19">
        <v>19643</v>
      </c>
      <c r="N391" s="19">
        <v>22581.8</v>
      </c>
      <c r="O391" s="19">
        <v>25711.599999999999</v>
      </c>
      <c r="P391" s="19">
        <v>25979.9</v>
      </c>
      <c r="Q391" s="19">
        <v>26260.3</v>
      </c>
      <c r="R391" s="19">
        <v>26553.5</v>
      </c>
      <c r="S391" s="19">
        <v>26860</v>
      </c>
      <c r="T391" s="19">
        <v>27180.3</v>
      </c>
      <c r="U391" s="19">
        <v>27515.200000000001</v>
      </c>
      <c r="V391" s="19">
        <v>27865.200000000001</v>
      </c>
      <c r="W391" s="19">
        <v>28231.1</v>
      </c>
      <c r="X391" s="19">
        <v>28613.7</v>
      </c>
      <c r="Y391" s="19">
        <v>29013.7</v>
      </c>
      <c r="Z391" s="19">
        <v>29431.9</v>
      </c>
      <c r="AA391" s="19">
        <v>29869.4</v>
      </c>
      <c r="AB391" s="19">
        <v>29327.1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0</v>
      </c>
      <c r="AL391" s="19">
        <v>0</v>
      </c>
      <c r="AM391" s="19">
        <v>0</v>
      </c>
      <c r="AN391" s="19">
        <v>0</v>
      </c>
      <c r="AO391" s="19">
        <v>0</v>
      </c>
      <c r="AP391" s="19">
        <v>0</v>
      </c>
      <c r="AQ391" s="19">
        <v>0</v>
      </c>
      <c r="AR391" s="19">
        <v>0</v>
      </c>
      <c r="AS391" s="19">
        <v>0</v>
      </c>
      <c r="AT391" s="19">
        <v>0</v>
      </c>
      <c r="AU391" s="19">
        <v>0</v>
      </c>
      <c r="AV391" s="19">
        <v>0</v>
      </c>
      <c r="AW391" s="19">
        <v>0</v>
      </c>
      <c r="AX391" s="19">
        <v>0</v>
      </c>
      <c r="AY391" s="19">
        <v>0</v>
      </c>
      <c r="AZ391" s="19">
        <v>0</v>
      </c>
      <c r="BA391" s="19">
        <v>0</v>
      </c>
      <c r="BB391" s="19">
        <v>0</v>
      </c>
      <c r="BC391" s="19">
        <v>0</v>
      </c>
      <c r="BD391" s="19">
        <v>0</v>
      </c>
      <c r="BE391" s="19">
        <v>0</v>
      </c>
      <c r="BF391" s="19">
        <v>0</v>
      </c>
      <c r="BG391" s="19">
        <v>0</v>
      </c>
      <c r="BH391" s="19">
        <v>0</v>
      </c>
      <c r="BI391" s="19">
        <v>0</v>
      </c>
      <c r="BJ391" s="19">
        <v>0</v>
      </c>
      <c r="BK391" s="19">
        <v>0</v>
      </c>
      <c r="BL391" s="19">
        <v>0</v>
      </c>
      <c r="BM391" s="19">
        <v>0</v>
      </c>
      <c r="BN391" s="19">
        <v>0</v>
      </c>
      <c r="BO391" s="19">
        <v>0</v>
      </c>
      <c r="BP391" s="19">
        <v>0</v>
      </c>
      <c r="BQ391" s="19">
        <v>0</v>
      </c>
      <c r="BR391" s="19">
        <v>0</v>
      </c>
      <c r="BS391" s="19">
        <v>0</v>
      </c>
      <c r="BT391" s="19">
        <v>0</v>
      </c>
      <c r="BU391" s="19">
        <v>0</v>
      </c>
      <c r="BV391" s="19">
        <v>0</v>
      </c>
      <c r="BW391" s="19">
        <v>0</v>
      </c>
      <c r="BX391" s="19">
        <v>0</v>
      </c>
      <c r="BY391" s="19">
        <v>0</v>
      </c>
      <c r="BZ391" s="19">
        <v>0</v>
      </c>
      <c r="CA391" s="19">
        <v>0</v>
      </c>
      <c r="CB391" s="19">
        <v>0</v>
      </c>
      <c r="CC391" s="19">
        <v>0</v>
      </c>
      <c r="CD391" s="19">
        <v>0</v>
      </c>
      <c r="CE391" s="19">
        <v>0</v>
      </c>
      <c r="CF391" s="19">
        <v>0</v>
      </c>
      <c r="CG391" s="19">
        <v>0</v>
      </c>
      <c r="CH391" s="19">
        <v>0</v>
      </c>
      <c r="CI391" s="19">
        <v>0</v>
      </c>
      <c r="CJ391" s="19">
        <v>0</v>
      </c>
      <c r="CK391" s="19">
        <v>0</v>
      </c>
      <c r="CL391" s="19">
        <v>0</v>
      </c>
      <c r="CM391" s="19">
        <v>0</v>
      </c>
      <c r="CN391" s="19">
        <v>0</v>
      </c>
      <c r="CO391" s="19">
        <v>0</v>
      </c>
      <c r="CP391" s="19">
        <v>0</v>
      </c>
      <c r="CQ391" s="19">
        <v>0</v>
      </c>
      <c r="CR391" s="19">
        <v>0</v>
      </c>
      <c r="CS391" s="19">
        <v>0</v>
      </c>
      <c r="CT391" s="19">
        <v>0</v>
      </c>
      <c r="CU391" s="19">
        <v>0</v>
      </c>
      <c r="CV391" s="19">
        <v>0</v>
      </c>
      <c r="CW391" s="19">
        <v>0</v>
      </c>
      <c r="CX391" s="19">
        <v>0</v>
      </c>
      <c r="CY391" s="19">
        <v>0</v>
      </c>
      <c r="CZ391" s="19">
        <v>0</v>
      </c>
      <c r="DA391" s="19">
        <v>0</v>
      </c>
      <c r="DB391" s="19">
        <v>0</v>
      </c>
      <c r="DC391" s="19">
        <v>0</v>
      </c>
      <c r="DD391" s="19">
        <v>0</v>
      </c>
      <c r="DE391" s="19">
        <v>0</v>
      </c>
      <c r="DF391" s="19">
        <v>0</v>
      </c>
      <c r="DG391" s="19">
        <v>0</v>
      </c>
    </row>
    <row r="392" spans="2:111" x14ac:dyDescent="0.15">
      <c r="B392" s="19" t="str">
        <f t="shared" si="6"/>
        <v>10_女_38</v>
      </c>
      <c r="C392" s="18">
        <v>10</v>
      </c>
      <c r="D392" s="18" t="s">
        <v>2</v>
      </c>
      <c r="E392" s="18">
        <v>38</v>
      </c>
      <c r="F392" s="19">
        <v>1698.1</v>
      </c>
      <c r="G392" s="19">
        <v>3947.9</v>
      </c>
      <c r="H392" s="19">
        <v>6647.4</v>
      </c>
      <c r="I392" s="19">
        <v>9683.5</v>
      </c>
      <c r="J392" s="19">
        <v>11981.4</v>
      </c>
      <c r="K392" s="19">
        <v>14434.6</v>
      </c>
      <c r="L392" s="19">
        <v>17051.7</v>
      </c>
      <c r="M392" s="19">
        <v>19842</v>
      </c>
      <c r="N392" s="19">
        <v>22815.1</v>
      </c>
      <c r="O392" s="19">
        <v>25981.3</v>
      </c>
      <c r="P392" s="19">
        <v>26261.8</v>
      </c>
      <c r="Q392" s="19">
        <v>26554.9</v>
      </c>
      <c r="R392" s="19">
        <v>26861.3</v>
      </c>
      <c r="S392" s="19">
        <v>27181.599999999999</v>
      </c>
      <c r="T392" s="19">
        <v>27516.400000000001</v>
      </c>
      <c r="U392" s="19">
        <v>27866.3</v>
      </c>
      <c r="V392" s="19">
        <v>28232.1</v>
      </c>
      <c r="W392" s="19">
        <v>28614.5</v>
      </c>
      <c r="X392" s="19">
        <v>29014.3</v>
      </c>
      <c r="Y392" s="19">
        <v>29432.400000000001</v>
      </c>
      <c r="Z392" s="19">
        <v>29869.7</v>
      </c>
      <c r="AA392" s="19">
        <v>29327.1</v>
      </c>
      <c r="AB392" s="19">
        <v>0</v>
      </c>
      <c r="AC392" s="19">
        <v>0</v>
      </c>
      <c r="AD392" s="19">
        <v>0</v>
      </c>
      <c r="AE392" s="19">
        <v>0</v>
      </c>
      <c r="AF392" s="19">
        <v>0</v>
      </c>
      <c r="AG392" s="19">
        <v>0</v>
      </c>
      <c r="AH392" s="19">
        <v>0</v>
      </c>
      <c r="AI392" s="19">
        <v>0</v>
      </c>
      <c r="AJ392" s="19">
        <v>0</v>
      </c>
      <c r="AK392" s="19">
        <v>0</v>
      </c>
      <c r="AL392" s="19">
        <v>0</v>
      </c>
      <c r="AM392" s="19">
        <v>0</v>
      </c>
      <c r="AN392" s="19">
        <v>0</v>
      </c>
      <c r="AO392" s="19">
        <v>0</v>
      </c>
      <c r="AP392" s="19">
        <v>0</v>
      </c>
      <c r="AQ392" s="19">
        <v>0</v>
      </c>
      <c r="AR392" s="19">
        <v>0</v>
      </c>
      <c r="AS392" s="19">
        <v>0</v>
      </c>
      <c r="AT392" s="19">
        <v>0</v>
      </c>
      <c r="AU392" s="19">
        <v>0</v>
      </c>
      <c r="AV392" s="19">
        <v>0</v>
      </c>
      <c r="AW392" s="19">
        <v>0</v>
      </c>
      <c r="AX392" s="19">
        <v>0</v>
      </c>
      <c r="AY392" s="19">
        <v>0</v>
      </c>
      <c r="AZ392" s="19">
        <v>0</v>
      </c>
      <c r="BA392" s="19">
        <v>0</v>
      </c>
      <c r="BB392" s="19">
        <v>0</v>
      </c>
      <c r="BC392" s="19">
        <v>0</v>
      </c>
      <c r="BD392" s="19">
        <v>0</v>
      </c>
      <c r="BE392" s="19">
        <v>0</v>
      </c>
      <c r="BF392" s="19">
        <v>0</v>
      </c>
      <c r="BG392" s="19">
        <v>0</v>
      </c>
      <c r="BH392" s="19">
        <v>0</v>
      </c>
      <c r="BI392" s="19">
        <v>0</v>
      </c>
      <c r="BJ392" s="19">
        <v>0</v>
      </c>
      <c r="BK392" s="19">
        <v>0</v>
      </c>
      <c r="BL392" s="19">
        <v>0</v>
      </c>
      <c r="BM392" s="19">
        <v>0</v>
      </c>
      <c r="BN392" s="19">
        <v>0</v>
      </c>
      <c r="BO392" s="19">
        <v>0</v>
      </c>
      <c r="BP392" s="19">
        <v>0</v>
      </c>
      <c r="BQ392" s="19">
        <v>0</v>
      </c>
      <c r="BR392" s="19">
        <v>0</v>
      </c>
      <c r="BS392" s="19">
        <v>0</v>
      </c>
      <c r="BT392" s="19">
        <v>0</v>
      </c>
      <c r="BU392" s="19">
        <v>0</v>
      </c>
      <c r="BV392" s="19">
        <v>0</v>
      </c>
      <c r="BW392" s="19">
        <v>0</v>
      </c>
      <c r="BX392" s="19">
        <v>0</v>
      </c>
      <c r="BY392" s="19">
        <v>0</v>
      </c>
      <c r="BZ392" s="19">
        <v>0</v>
      </c>
      <c r="CA392" s="19">
        <v>0</v>
      </c>
      <c r="CB392" s="19">
        <v>0</v>
      </c>
      <c r="CC392" s="19">
        <v>0</v>
      </c>
      <c r="CD392" s="19">
        <v>0</v>
      </c>
      <c r="CE392" s="19">
        <v>0</v>
      </c>
      <c r="CF392" s="19">
        <v>0</v>
      </c>
      <c r="CG392" s="19">
        <v>0</v>
      </c>
      <c r="CH392" s="19">
        <v>0</v>
      </c>
      <c r="CI392" s="19">
        <v>0</v>
      </c>
      <c r="CJ392" s="19">
        <v>0</v>
      </c>
      <c r="CK392" s="19">
        <v>0</v>
      </c>
      <c r="CL392" s="19">
        <v>0</v>
      </c>
      <c r="CM392" s="19">
        <v>0</v>
      </c>
      <c r="CN392" s="19">
        <v>0</v>
      </c>
      <c r="CO392" s="19">
        <v>0</v>
      </c>
      <c r="CP392" s="19">
        <v>0</v>
      </c>
      <c r="CQ392" s="19">
        <v>0</v>
      </c>
      <c r="CR392" s="19">
        <v>0</v>
      </c>
      <c r="CS392" s="19">
        <v>0</v>
      </c>
      <c r="CT392" s="19">
        <v>0</v>
      </c>
      <c r="CU392" s="19">
        <v>0</v>
      </c>
      <c r="CV392" s="19">
        <v>0</v>
      </c>
      <c r="CW392" s="19">
        <v>0</v>
      </c>
      <c r="CX392" s="19">
        <v>0</v>
      </c>
      <c r="CY392" s="19">
        <v>0</v>
      </c>
      <c r="CZ392" s="19">
        <v>0</v>
      </c>
      <c r="DA392" s="19">
        <v>0</v>
      </c>
      <c r="DB392" s="19">
        <v>0</v>
      </c>
      <c r="DC392" s="19">
        <v>0</v>
      </c>
      <c r="DD392" s="19">
        <v>0</v>
      </c>
      <c r="DE392" s="19">
        <v>0</v>
      </c>
      <c r="DF392" s="19">
        <v>0</v>
      </c>
      <c r="DG392" s="19">
        <v>0</v>
      </c>
    </row>
    <row r="393" spans="2:111" x14ac:dyDescent="0.15">
      <c r="B393" s="19" t="str">
        <f t="shared" si="6"/>
        <v>10_女_39</v>
      </c>
      <c r="C393" s="18">
        <v>10</v>
      </c>
      <c r="D393" s="18" t="s">
        <v>2</v>
      </c>
      <c r="E393" s="18">
        <v>39</v>
      </c>
      <c r="F393" s="19">
        <v>1713</v>
      </c>
      <c r="G393" s="19">
        <v>3982.4</v>
      </c>
      <c r="H393" s="19">
        <v>6705.3</v>
      </c>
      <c r="I393" s="19">
        <v>9767.7999999999993</v>
      </c>
      <c r="J393" s="19">
        <v>12093.9</v>
      </c>
      <c r="K393" s="19">
        <v>14577</v>
      </c>
      <c r="L393" s="19">
        <v>17225.900000000001</v>
      </c>
      <c r="M393" s="19">
        <v>20050</v>
      </c>
      <c r="N393" s="19">
        <v>23059</v>
      </c>
      <c r="O393" s="19">
        <v>26263.200000000001</v>
      </c>
      <c r="P393" s="19">
        <v>26556.3</v>
      </c>
      <c r="Q393" s="19">
        <v>26862.7</v>
      </c>
      <c r="R393" s="19">
        <v>27182.9</v>
      </c>
      <c r="S393" s="19">
        <v>27517.599999999999</v>
      </c>
      <c r="T393" s="19">
        <v>27867.4</v>
      </c>
      <c r="U393" s="19">
        <v>28233.1</v>
      </c>
      <c r="V393" s="19">
        <v>28615.4</v>
      </c>
      <c r="W393" s="19">
        <v>29015</v>
      </c>
      <c r="X393" s="19">
        <v>29432.9</v>
      </c>
      <c r="Y393" s="19">
        <v>29869.9</v>
      </c>
      <c r="Z393" s="19">
        <v>29327.1</v>
      </c>
      <c r="AA393" s="19">
        <v>0</v>
      </c>
      <c r="AB393" s="19">
        <v>0</v>
      </c>
      <c r="AC393" s="19">
        <v>0</v>
      </c>
      <c r="AD393" s="19">
        <v>0</v>
      </c>
      <c r="AE393" s="19">
        <v>0</v>
      </c>
      <c r="AF393" s="19">
        <v>0</v>
      </c>
      <c r="AG393" s="19">
        <v>0</v>
      </c>
      <c r="AH393" s="19">
        <v>0</v>
      </c>
      <c r="AI393" s="19">
        <v>0</v>
      </c>
      <c r="AJ393" s="19">
        <v>0</v>
      </c>
      <c r="AK393" s="19">
        <v>0</v>
      </c>
      <c r="AL393" s="19">
        <v>0</v>
      </c>
      <c r="AM393" s="19">
        <v>0</v>
      </c>
      <c r="AN393" s="19">
        <v>0</v>
      </c>
      <c r="AO393" s="19">
        <v>0</v>
      </c>
      <c r="AP393" s="19">
        <v>0</v>
      </c>
      <c r="AQ393" s="19">
        <v>0</v>
      </c>
      <c r="AR393" s="19">
        <v>0</v>
      </c>
      <c r="AS393" s="19">
        <v>0</v>
      </c>
      <c r="AT393" s="19">
        <v>0</v>
      </c>
      <c r="AU393" s="19">
        <v>0</v>
      </c>
      <c r="AV393" s="19">
        <v>0</v>
      </c>
      <c r="AW393" s="19">
        <v>0</v>
      </c>
      <c r="AX393" s="19">
        <v>0</v>
      </c>
      <c r="AY393" s="19">
        <v>0</v>
      </c>
      <c r="AZ393" s="19">
        <v>0</v>
      </c>
      <c r="BA393" s="19">
        <v>0</v>
      </c>
      <c r="BB393" s="19">
        <v>0</v>
      </c>
      <c r="BC393" s="19">
        <v>0</v>
      </c>
      <c r="BD393" s="19">
        <v>0</v>
      </c>
      <c r="BE393" s="19">
        <v>0</v>
      </c>
      <c r="BF393" s="19">
        <v>0</v>
      </c>
      <c r="BG393" s="19">
        <v>0</v>
      </c>
      <c r="BH393" s="19">
        <v>0</v>
      </c>
      <c r="BI393" s="19">
        <v>0</v>
      </c>
      <c r="BJ393" s="19">
        <v>0</v>
      </c>
      <c r="BK393" s="19">
        <v>0</v>
      </c>
      <c r="BL393" s="19">
        <v>0</v>
      </c>
      <c r="BM393" s="19">
        <v>0</v>
      </c>
      <c r="BN393" s="19">
        <v>0</v>
      </c>
      <c r="BO393" s="19">
        <v>0</v>
      </c>
      <c r="BP393" s="19">
        <v>0</v>
      </c>
      <c r="BQ393" s="19">
        <v>0</v>
      </c>
      <c r="BR393" s="19">
        <v>0</v>
      </c>
      <c r="BS393" s="19">
        <v>0</v>
      </c>
      <c r="BT393" s="19">
        <v>0</v>
      </c>
      <c r="BU393" s="19">
        <v>0</v>
      </c>
      <c r="BV393" s="19">
        <v>0</v>
      </c>
      <c r="BW393" s="19">
        <v>0</v>
      </c>
      <c r="BX393" s="19">
        <v>0</v>
      </c>
      <c r="BY393" s="19">
        <v>0</v>
      </c>
      <c r="BZ393" s="19">
        <v>0</v>
      </c>
      <c r="CA393" s="19">
        <v>0</v>
      </c>
      <c r="CB393" s="19">
        <v>0</v>
      </c>
      <c r="CC393" s="19">
        <v>0</v>
      </c>
      <c r="CD393" s="19">
        <v>0</v>
      </c>
      <c r="CE393" s="19">
        <v>0</v>
      </c>
      <c r="CF393" s="19">
        <v>0</v>
      </c>
      <c r="CG393" s="19">
        <v>0</v>
      </c>
      <c r="CH393" s="19">
        <v>0</v>
      </c>
      <c r="CI393" s="19">
        <v>0</v>
      </c>
      <c r="CJ393" s="19">
        <v>0</v>
      </c>
      <c r="CK393" s="19">
        <v>0</v>
      </c>
      <c r="CL393" s="19">
        <v>0</v>
      </c>
      <c r="CM393" s="19">
        <v>0</v>
      </c>
      <c r="CN393" s="19">
        <v>0</v>
      </c>
      <c r="CO393" s="19">
        <v>0</v>
      </c>
      <c r="CP393" s="19">
        <v>0</v>
      </c>
      <c r="CQ393" s="19">
        <v>0</v>
      </c>
      <c r="CR393" s="19">
        <v>0</v>
      </c>
      <c r="CS393" s="19">
        <v>0</v>
      </c>
      <c r="CT393" s="19">
        <v>0</v>
      </c>
      <c r="CU393" s="19">
        <v>0</v>
      </c>
      <c r="CV393" s="19">
        <v>0</v>
      </c>
      <c r="CW393" s="19">
        <v>0</v>
      </c>
      <c r="CX393" s="19">
        <v>0</v>
      </c>
      <c r="CY393" s="19">
        <v>0</v>
      </c>
      <c r="CZ393" s="19">
        <v>0</v>
      </c>
      <c r="DA393" s="19">
        <v>0</v>
      </c>
      <c r="DB393" s="19">
        <v>0</v>
      </c>
      <c r="DC393" s="19">
        <v>0</v>
      </c>
      <c r="DD393" s="19">
        <v>0</v>
      </c>
      <c r="DE393" s="19">
        <v>0</v>
      </c>
      <c r="DF393" s="19">
        <v>0</v>
      </c>
      <c r="DG393" s="19">
        <v>0</v>
      </c>
    </row>
    <row r="394" spans="2:111" x14ac:dyDescent="0.15">
      <c r="B394" s="19" t="str">
        <f t="shared" si="6"/>
        <v>10_女_40</v>
      </c>
      <c r="C394" s="18">
        <v>10</v>
      </c>
      <c r="D394" s="18" t="s">
        <v>2</v>
      </c>
      <c r="E394" s="18">
        <v>40</v>
      </c>
      <c r="F394" s="19">
        <v>1728.5</v>
      </c>
      <c r="G394" s="19">
        <v>4018.4</v>
      </c>
      <c r="H394" s="19">
        <v>6765.9</v>
      </c>
      <c r="I394" s="19">
        <v>9855.9</v>
      </c>
      <c r="J394" s="19">
        <v>12211.4</v>
      </c>
      <c r="K394" s="19">
        <v>14725.7</v>
      </c>
      <c r="L394" s="19">
        <v>17407.900000000001</v>
      </c>
      <c r="M394" s="19">
        <v>20267.3</v>
      </c>
      <c r="N394" s="19">
        <v>23313.8</v>
      </c>
      <c r="O394" s="19">
        <v>26557.8</v>
      </c>
      <c r="P394" s="19">
        <v>26864.1</v>
      </c>
      <c r="Q394" s="19">
        <v>27184.2</v>
      </c>
      <c r="R394" s="19">
        <v>27518.9</v>
      </c>
      <c r="S394" s="19">
        <v>27868.6</v>
      </c>
      <c r="T394" s="19">
        <v>28234.1</v>
      </c>
      <c r="U394" s="19">
        <v>28616.3</v>
      </c>
      <c r="V394" s="19">
        <v>29015.7</v>
      </c>
      <c r="W394" s="19">
        <v>29433.4</v>
      </c>
      <c r="X394" s="19">
        <v>29870.2</v>
      </c>
      <c r="Y394" s="19">
        <v>29327.1</v>
      </c>
      <c r="Z394" s="19">
        <v>0</v>
      </c>
      <c r="AA394" s="19">
        <v>0</v>
      </c>
      <c r="AB394" s="19">
        <v>0</v>
      </c>
      <c r="AC394" s="19">
        <v>0</v>
      </c>
      <c r="AD394" s="19">
        <v>0</v>
      </c>
      <c r="AE394" s="19">
        <v>0</v>
      </c>
      <c r="AF394" s="19">
        <v>0</v>
      </c>
      <c r="AG394" s="19">
        <v>0</v>
      </c>
      <c r="AH394" s="19">
        <v>0</v>
      </c>
      <c r="AI394" s="19">
        <v>0</v>
      </c>
      <c r="AJ394" s="19">
        <v>0</v>
      </c>
      <c r="AK394" s="19">
        <v>0</v>
      </c>
      <c r="AL394" s="19">
        <v>0</v>
      </c>
      <c r="AM394" s="19">
        <v>0</v>
      </c>
      <c r="AN394" s="19">
        <v>0</v>
      </c>
      <c r="AO394" s="19">
        <v>0</v>
      </c>
      <c r="AP394" s="19">
        <v>0</v>
      </c>
      <c r="AQ394" s="19">
        <v>0</v>
      </c>
      <c r="AR394" s="19">
        <v>0</v>
      </c>
      <c r="AS394" s="19">
        <v>0</v>
      </c>
      <c r="AT394" s="19">
        <v>0</v>
      </c>
      <c r="AU394" s="19">
        <v>0</v>
      </c>
      <c r="AV394" s="19">
        <v>0</v>
      </c>
      <c r="AW394" s="19">
        <v>0</v>
      </c>
      <c r="AX394" s="19">
        <v>0</v>
      </c>
      <c r="AY394" s="19">
        <v>0</v>
      </c>
      <c r="AZ394" s="19">
        <v>0</v>
      </c>
      <c r="BA394" s="19">
        <v>0</v>
      </c>
      <c r="BB394" s="19">
        <v>0</v>
      </c>
      <c r="BC394" s="19">
        <v>0</v>
      </c>
      <c r="BD394" s="19">
        <v>0</v>
      </c>
      <c r="BE394" s="19">
        <v>0</v>
      </c>
      <c r="BF394" s="19">
        <v>0</v>
      </c>
      <c r="BG394" s="19">
        <v>0</v>
      </c>
      <c r="BH394" s="19">
        <v>0</v>
      </c>
      <c r="BI394" s="19">
        <v>0</v>
      </c>
      <c r="BJ394" s="19">
        <v>0</v>
      </c>
      <c r="BK394" s="19">
        <v>0</v>
      </c>
      <c r="BL394" s="19">
        <v>0</v>
      </c>
      <c r="BM394" s="19">
        <v>0</v>
      </c>
      <c r="BN394" s="19">
        <v>0</v>
      </c>
      <c r="BO394" s="19">
        <v>0</v>
      </c>
      <c r="BP394" s="19">
        <v>0</v>
      </c>
      <c r="BQ394" s="19">
        <v>0</v>
      </c>
      <c r="BR394" s="19">
        <v>0</v>
      </c>
      <c r="BS394" s="19">
        <v>0</v>
      </c>
      <c r="BT394" s="19">
        <v>0</v>
      </c>
      <c r="BU394" s="19">
        <v>0</v>
      </c>
      <c r="BV394" s="19">
        <v>0</v>
      </c>
      <c r="BW394" s="19">
        <v>0</v>
      </c>
      <c r="BX394" s="19">
        <v>0</v>
      </c>
      <c r="BY394" s="19">
        <v>0</v>
      </c>
      <c r="BZ394" s="19">
        <v>0</v>
      </c>
      <c r="CA394" s="19">
        <v>0</v>
      </c>
      <c r="CB394" s="19">
        <v>0</v>
      </c>
      <c r="CC394" s="19">
        <v>0</v>
      </c>
      <c r="CD394" s="19">
        <v>0</v>
      </c>
      <c r="CE394" s="19">
        <v>0</v>
      </c>
      <c r="CF394" s="19">
        <v>0</v>
      </c>
      <c r="CG394" s="19">
        <v>0</v>
      </c>
      <c r="CH394" s="19">
        <v>0</v>
      </c>
      <c r="CI394" s="19">
        <v>0</v>
      </c>
      <c r="CJ394" s="19">
        <v>0</v>
      </c>
      <c r="CK394" s="19">
        <v>0</v>
      </c>
      <c r="CL394" s="19">
        <v>0</v>
      </c>
      <c r="CM394" s="19">
        <v>0</v>
      </c>
      <c r="CN394" s="19">
        <v>0</v>
      </c>
      <c r="CO394" s="19">
        <v>0</v>
      </c>
      <c r="CP394" s="19">
        <v>0</v>
      </c>
      <c r="CQ394" s="19">
        <v>0</v>
      </c>
      <c r="CR394" s="19">
        <v>0</v>
      </c>
      <c r="CS394" s="19">
        <v>0</v>
      </c>
      <c r="CT394" s="19">
        <v>0</v>
      </c>
      <c r="CU394" s="19">
        <v>0</v>
      </c>
      <c r="CV394" s="19">
        <v>0</v>
      </c>
      <c r="CW394" s="19">
        <v>0</v>
      </c>
      <c r="CX394" s="19">
        <v>0</v>
      </c>
      <c r="CY394" s="19">
        <v>0</v>
      </c>
      <c r="CZ394" s="19">
        <v>0</v>
      </c>
      <c r="DA394" s="19">
        <v>0</v>
      </c>
      <c r="DB394" s="19">
        <v>0</v>
      </c>
      <c r="DC394" s="19">
        <v>0</v>
      </c>
      <c r="DD394" s="19">
        <v>0</v>
      </c>
      <c r="DE394" s="19">
        <v>0</v>
      </c>
      <c r="DF394" s="19">
        <v>0</v>
      </c>
      <c r="DG394" s="19">
        <v>0</v>
      </c>
    </row>
    <row r="395" spans="2:111" x14ac:dyDescent="0.15">
      <c r="B395" s="19" t="str">
        <f t="shared" si="6"/>
        <v>10_女_41</v>
      </c>
      <c r="C395" s="18">
        <v>10</v>
      </c>
      <c r="D395" s="18" t="s">
        <v>2</v>
      </c>
      <c r="E395" s="18">
        <v>41</v>
      </c>
      <c r="F395" s="19">
        <v>1744.7</v>
      </c>
      <c r="G395" s="19">
        <v>4056</v>
      </c>
      <c r="H395" s="19">
        <v>6829.2</v>
      </c>
      <c r="I395" s="19">
        <v>9948</v>
      </c>
      <c r="J395" s="19">
        <v>12334.1</v>
      </c>
      <c r="K395" s="19">
        <v>14881.2</v>
      </c>
      <c r="L395" s="19">
        <v>17598.099999999999</v>
      </c>
      <c r="M395" s="19">
        <v>20494.400000000001</v>
      </c>
      <c r="N395" s="19">
        <v>23580</v>
      </c>
      <c r="O395" s="19">
        <v>26865.599999999999</v>
      </c>
      <c r="P395" s="19">
        <v>27185.599999999999</v>
      </c>
      <c r="Q395" s="19">
        <v>27520.1</v>
      </c>
      <c r="R395" s="19">
        <v>27869.8</v>
      </c>
      <c r="S395" s="19">
        <v>28235.200000000001</v>
      </c>
      <c r="T395" s="19">
        <v>28617.200000000001</v>
      </c>
      <c r="U395" s="19">
        <v>29016.400000000001</v>
      </c>
      <c r="V395" s="19">
        <v>29433.9</v>
      </c>
      <c r="W395" s="19">
        <v>29870.5</v>
      </c>
      <c r="X395" s="19">
        <v>29327.1</v>
      </c>
      <c r="Y395" s="19">
        <v>0</v>
      </c>
      <c r="Z395" s="19">
        <v>0</v>
      </c>
      <c r="AA395" s="19">
        <v>0</v>
      </c>
      <c r="AB395" s="19">
        <v>0</v>
      </c>
      <c r="AC395" s="19">
        <v>0</v>
      </c>
      <c r="AD395" s="19">
        <v>0</v>
      </c>
      <c r="AE395" s="19">
        <v>0</v>
      </c>
      <c r="AF395" s="19">
        <v>0</v>
      </c>
      <c r="AG395" s="19">
        <v>0</v>
      </c>
      <c r="AH395" s="19">
        <v>0</v>
      </c>
      <c r="AI395" s="19">
        <v>0</v>
      </c>
      <c r="AJ395" s="19">
        <v>0</v>
      </c>
      <c r="AK395" s="19">
        <v>0</v>
      </c>
      <c r="AL395" s="19">
        <v>0</v>
      </c>
      <c r="AM395" s="19">
        <v>0</v>
      </c>
      <c r="AN395" s="19">
        <v>0</v>
      </c>
      <c r="AO395" s="19">
        <v>0</v>
      </c>
      <c r="AP395" s="19">
        <v>0</v>
      </c>
      <c r="AQ395" s="19">
        <v>0</v>
      </c>
      <c r="AR395" s="19">
        <v>0</v>
      </c>
      <c r="AS395" s="19">
        <v>0</v>
      </c>
      <c r="AT395" s="19">
        <v>0</v>
      </c>
      <c r="AU395" s="19">
        <v>0</v>
      </c>
      <c r="AV395" s="19">
        <v>0</v>
      </c>
      <c r="AW395" s="19">
        <v>0</v>
      </c>
      <c r="AX395" s="19">
        <v>0</v>
      </c>
      <c r="AY395" s="19">
        <v>0</v>
      </c>
      <c r="AZ395" s="19">
        <v>0</v>
      </c>
      <c r="BA395" s="19">
        <v>0</v>
      </c>
      <c r="BB395" s="19">
        <v>0</v>
      </c>
      <c r="BC395" s="19">
        <v>0</v>
      </c>
      <c r="BD395" s="19">
        <v>0</v>
      </c>
      <c r="BE395" s="19">
        <v>0</v>
      </c>
      <c r="BF395" s="19">
        <v>0</v>
      </c>
      <c r="BG395" s="19">
        <v>0</v>
      </c>
      <c r="BH395" s="19">
        <v>0</v>
      </c>
      <c r="BI395" s="19">
        <v>0</v>
      </c>
      <c r="BJ395" s="19">
        <v>0</v>
      </c>
      <c r="BK395" s="19">
        <v>0</v>
      </c>
      <c r="BL395" s="19">
        <v>0</v>
      </c>
      <c r="BM395" s="19">
        <v>0</v>
      </c>
      <c r="BN395" s="19">
        <v>0</v>
      </c>
      <c r="BO395" s="19">
        <v>0</v>
      </c>
      <c r="BP395" s="19">
        <v>0</v>
      </c>
      <c r="BQ395" s="19">
        <v>0</v>
      </c>
      <c r="BR395" s="19">
        <v>0</v>
      </c>
      <c r="BS395" s="19">
        <v>0</v>
      </c>
      <c r="BT395" s="19">
        <v>0</v>
      </c>
      <c r="BU395" s="19">
        <v>0</v>
      </c>
      <c r="BV395" s="19">
        <v>0</v>
      </c>
      <c r="BW395" s="19">
        <v>0</v>
      </c>
      <c r="BX395" s="19">
        <v>0</v>
      </c>
      <c r="BY395" s="19">
        <v>0</v>
      </c>
      <c r="BZ395" s="19">
        <v>0</v>
      </c>
      <c r="CA395" s="19">
        <v>0</v>
      </c>
      <c r="CB395" s="19">
        <v>0</v>
      </c>
      <c r="CC395" s="19">
        <v>0</v>
      </c>
      <c r="CD395" s="19">
        <v>0</v>
      </c>
      <c r="CE395" s="19">
        <v>0</v>
      </c>
      <c r="CF395" s="19">
        <v>0</v>
      </c>
      <c r="CG395" s="19">
        <v>0</v>
      </c>
      <c r="CH395" s="19">
        <v>0</v>
      </c>
      <c r="CI395" s="19">
        <v>0</v>
      </c>
      <c r="CJ395" s="19">
        <v>0</v>
      </c>
      <c r="CK395" s="19">
        <v>0</v>
      </c>
      <c r="CL395" s="19">
        <v>0</v>
      </c>
      <c r="CM395" s="19">
        <v>0</v>
      </c>
      <c r="CN395" s="19">
        <v>0</v>
      </c>
      <c r="CO395" s="19">
        <v>0</v>
      </c>
      <c r="CP395" s="19">
        <v>0</v>
      </c>
      <c r="CQ395" s="19">
        <v>0</v>
      </c>
      <c r="CR395" s="19">
        <v>0</v>
      </c>
      <c r="CS395" s="19">
        <v>0</v>
      </c>
      <c r="CT395" s="19">
        <v>0</v>
      </c>
      <c r="CU395" s="19">
        <v>0</v>
      </c>
      <c r="CV395" s="19">
        <v>0</v>
      </c>
      <c r="CW395" s="19">
        <v>0</v>
      </c>
      <c r="CX395" s="19">
        <v>0</v>
      </c>
      <c r="CY395" s="19">
        <v>0</v>
      </c>
      <c r="CZ395" s="19">
        <v>0</v>
      </c>
      <c r="DA395" s="19">
        <v>0</v>
      </c>
      <c r="DB395" s="19">
        <v>0</v>
      </c>
      <c r="DC395" s="19">
        <v>0</v>
      </c>
      <c r="DD395" s="19">
        <v>0</v>
      </c>
      <c r="DE395" s="19">
        <v>0</v>
      </c>
      <c r="DF395" s="19">
        <v>0</v>
      </c>
      <c r="DG395" s="19">
        <v>0</v>
      </c>
    </row>
    <row r="396" spans="2:111" x14ac:dyDescent="0.15">
      <c r="B396" s="19" t="str">
        <f t="shared" si="6"/>
        <v>10_女_42</v>
      </c>
      <c r="C396" s="18">
        <v>10</v>
      </c>
      <c r="D396" s="18" t="s">
        <v>2</v>
      </c>
      <c r="E396" s="18">
        <v>42</v>
      </c>
      <c r="F396" s="19">
        <v>1761.7</v>
      </c>
      <c r="G396" s="19">
        <v>4095.4</v>
      </c>
      <c r="H396" s="19">
        <v>6895.3</v>
      </c>
      <c r="I396" s="19">
        <v>10044.200000000001</v>
      </c>
      <c r="J396" s="19">
        <v>12462.4</v>
      </c>
      <c r="K396" s="19">
        <v>15043.6</v>
      </c>
      <c r="L396" s="19">
        <v>17796.8</v>
      </c>
      <c r="M396" s="19">
        <v>20731.599999999999</v>
      </c>
      <c r="N396" s="19">
        <v>23858.1</v>
      </c>
      <c r="O396" s="19">
        <v>27187</v>
      </c>
      <c r="P396" s="19">
        <v>27521.5</v>
      </c>
      <c r="Q396" s="19">
        <v>27871</v>
      </c>
      <c r="R396" s="19">
        <v>28236.3</v>
      </c>
      <c r="S396" s="19">
        <v>28618.1</v>
      </c>
      <c r="T396" s="19">
        <v>29017.200000000001</v>
      </c>
      <c r="U396" s="19">
        <v>29434.400000000001</v>
      </c>
      <c r="V396" s="19">
        <v>29870.799999999999</v>
      </c>
      <c r="W396" s="19">
        <v>29327.1</v>
      </c>
      <c r="X396" s="19">
        <v>0</v>
      </c>
      <c r="Y396" s="19">
        <v>0</v>
      </c>
      <c r="Z396" s="19">
        <v>0</v>
      </c>
      <c r="AA396" s="19">
        <v>0</v>
      </c>
      <c r="AB396" s="19">
        <v>0</v>
      </c>
      <c r="AC396" s="19">
        <v>0</v>
      </c>
      <c r="AD396" s="19">
        <v>0</v>
      </c>
      <c r="AE396" s="19">
        <v>0</v>
      </c>
      <c r="AF396" s="19">
        <v>0</v>
      </c>
      <c r="AG396" s="19">
        <v>0</v>
      </c>
      <c r="AH396" s="19">
        <v>0</v>
      </c>
      <c r="AI396" s="19">
        <v>0</v>
      </c>
      <c r="AJ396" s="19">
        <v>0</v>
      </c>
      <c r="AK396" s="19">
        <v>0</v>
      </c>
      <c r="AL396" s="19">
        <v>0</v>
      </c>
      <c r="AM396" s="19">
        <v>0</v>
      </c>
      <c r="AN396" s="19">
        <v>0</v>
      </c>
      <c r="AO396" s="19">
        <v>0</v>
      </c>
      <c r="AP396" s="19">
        <v>0</v>
      </c>
      <c r="AQ396" s="19">
        <v>0</v>
      </c>
      <c r="AR396" s="19">
        <v>0</v>
      </c>
      <c r="AS396" s="19">
        <v>0</v>
      </c>
      <c r="AT396" s="19">
        <v>0</v>
      </c>
      <c r="AU396" s="19">
        <v>0</v>
      </c>
      <c r="AV396" s="19">
        <v>0</v>
      </c>
      <c r="AW396" s="19">
        <v>0</v>
      </c>
      <c r="AX396" s="19">
        <v>0</v>
      </c>
      <c r="AY396" s="19">
        <v>0</v>
      </c>
      <c r="AZ396" s="19">
        <v>0</v>
      </c>
      <c r="BA396" s="19">
        <v>0</v>
      </c>
      <c r="BB396" s="19">
        <v>0</v>
      </c>
      <c r="BC396" s="19">
        <v>0</v>
      </c>
      <c r="BD396" s="19">
        <v>0</v>
      </c>
      <c r="BE396" s="19">
        <v>0</v>
      </c>
      <c r="BF396" s="19">
        <v>0</v>
      </c>
      <c r="BG396" s="19">
        <v>0</v>
      </c>
      <c r="BH396" s="19">
        <v>0</v>
      </c>
      <c r="BI396" s="19">
        <v>0</v>
      </c>
      <c r="BJ396" s="19">
        <v>0</v>
      </c>
      <c r="BK396" s="19">
        <v>0</v>
      </c>
      <c r="BL396" s="19">
        <v>0</v>
      </c>
      <c r="BM396" s="19">
        <v>0</v>
      </c>
      <c r="BN396" s="19">
        <v>0</v>
      </c>
      <c r="BO396" s="19">
        <v>0</v>
      </c>
      <c r="BP396" s="19">
        <v>0</v>
      </c>
      <c r="BQ396" s="19">
        <v>0</v>
      </c>
      <c r="BR396" s="19">
        <v>0</v>
      </c>
      <c r="BS396" s="19">
        <v>0</v>
      </c>
      <c r="BT396" s="19">
        <v>0</v>
      </c>
      <c r="BU396" s="19">
        <v>0</v>
      </c>
      <c r="BV396" s="19">
        <v>0</v>
      </c>
      <c r="BW396" s="19">
        <v>0</v>
      </c>
      <c r="BX396" s="19">
        <v>0</v>
      </c>
      <c r="BY396" s="19">
        <v>0</v>
      </c>
      <c r="BZ396" s="19">
        <v>0</v>
      </c>
      <c r="CA396" s="19">
        <v>0</v>
      </c>
      <c r="CB396" s="19">
        <v>0</v>
      </c>
      <c r="CC396" s="19">
        <v>0</v>
      </c>
      <c r="CD396" s="19">
        <v>0</v>
      </c>
      <c r="CE396" s="19">
        <v>0</v>
      </c>
      <c r="CF396" s="19">
        <v>0</v>
      </c>
      <c r="CG396" s="19">
        <v>0</v>
      </c>
      <c r="CH396" s="19">
        <v>0</v>
      </c>
      <c r="CI396" s="19">
        <v>0</v>
      </c>
      <c r="CJ396" s="19">
        <v>0</v>
      </c>
      <c r="CK396" s="19">
        <v>0</v>
      </c>
      <c r="CL396" s="19">
        <v>0</v>
      </c>
      <c r="CM396" s="19">
        <v>0</v>
      </c>
      <c r="CN396" s="19">
        <v>0</v>
      </c>
      <c r="CO396" s="19">
        <v>0</v>
      </c>
      <c r="CP396" s="19">
        <v>0</v>
      </c>
      <c r="CQ396" s="19">
        <v>0</v>
      </c>
      <c r="CR396" s="19">
        <v>0</v>
      </c>
      <c r="CS396" s="19">
        <v>0</v>
      </c>
      <c r="CT396" s="19">
        <v>0</v>
      </c>
      <c r="CU396" s="19">
        <v>0</v>
      </c>
      <c r="CV396" s="19">
        <v>0</v>
      </c>
      <c r="CW396" s="19">
        <v>0</v>
      </c>
      <c r="CX396" s="19">
        <v>0</v>
      </c>
      <c r="CY396" s="19">
        <v>0</v>
      </c>
      <c r="CZ396" s="19">
        <v>0</v>
      </c>
      <c r="DA396" s="19">
        <v>0</v>
      </c>
      <c r="DB396" s="19">
        <v>0</v>
      </c>
      <c r="DC396" s="19">
        <v>0</v>
      </c>
      <c r="DD396" s="19">
        <v>0</v>
      </c>
      <c r="DE396" s="19">
        <v>0</v>
      </c>
      <c r="DF396" s="19">
        <v>0</v>
      </c>
      <c r="DG396" s="19">
        <v>0</v>
      </c>
    </row>
    <row r="397" spans="2:111" x14ac:dyDescent="0.15">
      <c r="B397" s="19" t="str">
        <f t="shared" si="6"/>
        <v>10_女_43</v>
      </c>
      <c r="C397" s="18">
        <v>10</v>
      </c>
      <c r="D397" s="18" t="s">
        <v>2</v>
      </c>
      <c r="E397" s="18">
        <v>43</v>
      </c>
      <c r="F397" s="19">
        <v>1779.4</v>
      </c>
      <c r="G397" s="19">
        <v>4136.5</v>
      </c>
      <c r="H397" s="19">
        <v>6964.4</v>
      </c>
      <c r="I397" s="19">
        <v>10144.700000000001</v>
      </c>
      <c r="J397" s="19">
        <v>12596.4</v>
      </c>
      <c r="K397" s="19">
        <v>15213.3</v>
      </c>
      <c r="L397" s="19">
        <v>18004.3</v>
      </c>
      <c r="M397" s="19">
        <v>20979.4</v>
      </c>
      <c r="N397" s="19">
        <v>24148.6</v>
      </c>
      <c r="O397" s="19">
        <v>27522.799999999999</v>
      </c>
      <c r="P397" s="19">
        <v>27872.2</v>
      </c>
      <c r="Q397" s="19">
        <v>28237.4</v>
      </c>
      <c r="R397" s="19">
        <v>28619</v>
      </c>
      <c r="S397" s="19">
        <v>29017.9</v>
      </c>
      <c r="T397" s="19">
        <v>29435</v>
      </c>
      <c r="U397" s="19">
        <v>29871.1</v>
      </c>
      <c r="V397" s="19">
        <v>29327.1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0</v>
      </c>
      <c r="AD397" s="19">
        <v>0</v>
      </c>
      <c r="AE397" s="19">
        <v>0</v>
      </c>
      <c r="AF397" s="19">
        <v>0</v>
      </c>
      <c r="AG397" s="19">
        <v>0</v>
      </c>
      <c r="AH397" s="19">
        <v>0</v>
      </c>
      <c r="AI397" s="19">
        <v>0</v>
      </c>
      <c r="AJ397" s="19">
        <v>0</v>
      </c>
      <c r="AK397" s="19">
        <v>0</v>
      </c>
      <c r="AL397" s="19">
        <v>0</v>
      </c>
      <c r="AM397" s="19">
        <v>0</v>
      </c>
      <c r="AN397" s="19">
        <v>0</v>
      </c>
      <c r="AO397" s="19">
        <v>0</v>
      </c>
      <c r="AP397" s="19">
        <v>0</v>
      </c>
      <c r="AQ397" s="19">
        <v>0</v>
      </c>
      <c r="AR397" s="19">
        <v>0</v>
      </c>
      <c r="AS397" s="19">
        <v>0</v>
      </c>
      <c r="AT397" s="19">
        <v>0</v>
      </c>
      <c r="AU397" s="19">
        <v>0</v>
      </c>
      <c r="AV397" s="19">
        <v>0</v>
      </c>
      <c r="AW397" s="19">
        <v>0</v>
      </c>
      <c r="AX397" s="19">
        <v>0</v>
      </c>
      <c r="AY397" s="19">
        <v>0</v>
      </c>
      <c r="AZ397" s="19">
        <v>0</v>
      </c>
      <c r="BA397" s="19">
        <v>0</v>
      </c>
      <c r="BB397" s="19">
        <v>0</v>
      </c>
      <c r="BC397" s="19">
        <v>0</v>
      </c>
      <c r="BD397" s="19">
        <v>0</v>
      </c>
      <c r="BE397" s="19">
        <v>0</v>
      </c>
      <c r="BF397" s="19">
        <v>0</v>
      </c>
      <c r="BG397" s="19">
        <v>0</v>
      </c>
      <c r="BH397" s="19">
        <v>0</v>
      </c>
      <c r="BI397" s="19">
        <v>0</v>
      </c>
      <c r="BJ397" s="19">
        <v>0</v>
      </c>
      <c r="BK397" s="19">
        <v>0</v>
      </c>
      <c r="BL397" s="19">
        <v>0</v>
      </c>
      <c r="BM397" s="19">
        <v>0</v>
      </c>
      <c r="BN397" s="19">
        <v>0</v>
      </c>
      <c r="BO397" s="19">
        <v>0</v>
      </c>
      <c r="BP397" s="19">
        <v>0</v>
      </c>
      <c r="BQ397" s="19">
        <v>0</v>
      </c>
      <c r="BR397" s="19">
        <v>0</v>
      </c>
      <c r="BS397" s="19">
        <v>0</v>
      </c>
      <c r="BT397" s="19">
        <v>0</v>
      </c>
      <c r="BU397" s="19">
        <v>0</v>
      </c>
      <c r="BV397" s="19">
        <v>0</v>
      </c>
      <c r="BW397" s="19">
        <v>0</v>
      </c>
      <c r="BX397" s="19">
        <v>0</v>
      </c>
      <c r="BY397" s="19">
        <v>0</v>
      </c>
      <c r="BZ397" s="19">
        <v>0</v>
      </c>
      <c r="CA397" s="19">
        <v>0</v>
      </c>
      <c r="CB397" s="19">
        <v>0</v>
      </c>
      <c r="CC397" s="19">
        <v>0</v>
      </c>
      <c r="CD397" s="19">
        <v>0</v>
      </c>
      <c r="CE397" s="19">
        <v>0</v>
      </c>
      <c r="CF397" s="19">
        <v>0</v>
      </c>
      <c r="CG397" s="19">
        <v>0</v>
      </c>
      <c r="CH397" s="19">
        <v>0</v>
      </c>
      <c r="CI397" s="19">
        <v>0</v>
      </c>
      <c r="CJ397" s="19">
        <v>0</v>
      </c>
      <c r="CK397" s="19">
        <v>0</v>
      </c>
      <c r="CL397" s="19">
        <v>0</v>
      </c>
      <c r="CM397" s="19">
        <v>0</v>
      </c>
      <c r="CN397" s="19">
        <v>0</v>
      </c>
      <c r="CO397" s="19">
        <v>0</v>
      </c>
      <c r="CP397" s="19">
        <v>0</v>
      </c>
      <c r="CQ397" s="19">
        <v>0</v>
      </c>
      <c r="CR397" s="19">
        <v>0</v>
      </c>
      <c r="CS397" s="19">
        <v>0</v>
      </c>
      <c r="CT397" s="19">
        <v>0</v>
      </c>
      <c r="CU397" s="19">
        <v>0</v>
      </c>
      <c r="CV397" s="19">
        <v>0</v>
      </c>
      <c r="CW397" s="19">
        <v>0</v>
      </c>
      <c r="CX397" s="19">
        <v>0</v>
      </c>
      <c r="CY397" s="19">
        <v>0</v>
      </c>
      <c r="CZ397" s="19">
        <v>0</v>
      </c>
      <c r="DA397" s="19">
        <v>0</v>
      </c>
      <c r="DB397" s="19">
        <v>0</v>
      </c>
      <c r="DC397" s="19">
        <v>0</v>
      </c>
      <c r="DD397" s="19">
        <v>0</v>
      </c>
      <c r="DE397" s="19">
        <v>0</v>
      </c>
      <c r="DF397" s="19">
        <v>0</v>
      </c>
      <c r="DG397" s="19">
        <v>0</v>
      </c>
    </row>
    <row r="398" spans="2:111" x14ac:dyDescent="0.15">
      <c r="B398" s="19" t="str">
        <f t="shared" si="6"/>
        <v>10_女_44</v>
      </c>
      <c r="C398" s="18">
        <v>10</v>
      </c>
      <c r="D398" s="18" t="s">
        <v>2</v>
      </c>
      <c r="E398" s="18">
        <v>44</v>
      </c>
      <c r="F398" s="19">
        <v>1797.9</v>
      </c>
      <c r="G398" s="19">
        <v>4179.3999999999996</v>
      </c>
      <c r="H398" s="19">
        <v>7036.5</v>
      </c>
      <c r="I398" s="19">
        <v>10249.6</v>
      </c>
      <c r="J398" s="19">
        <v>12736.4</v>
      </c>
      <c r="K398" s="19">
        <v>15390.5</v>
      </c>
      <c r="L398" s="19">
        <v>18221.099999999999</v>
      </c>
      <c r="M398" s="19">
        <v>21238.2</v>
      </c>
      <c r="N398" s="19">
        <v>24452</v>
      </c>
      <c r="O398" s="19">
        <v>27873.5</v>
      </c>
      <c r="P398" s="19">
        <v>28238.5</v>
      </c>
      <c r="Q398" s="19">
        <v>28620</v>
      </c>
      <c r="R398" s="19">
        <v>29018.7</v>
      </c>
      <c r="S398" s="19">
        <v>29435.5</v>
      </c>
      <c r="T398" s="19">
        <v>29871.4</v>
      </c>
      <c r="U398" s="19">
        <v>29327.1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0</v>
      </c>
      <c r="AD398" s="19">
        <v>0</v>
      </c>
      <c r="AE398" s="19">
        <v>0</v>
      </c>
      <c r="AF398" s="19">
        <v>0</v>
      </c>
      <c r="AG398" s="19">
        <v>0</v>
      </c>
      <c r="AH398" s="19">
        <v>0</v>
      </c>
      <c r="AI398" s="19">
        <v>0</v>
      </c>
      <c r="AJ398" s="19">
        <v>0</v>
      </c>
      <c r="AK398" s="19">
        <v>0</v>
      </c>
      <c r="AL398" s="19">
        <v>0</v>
      </c>
      <c r="AM398" s="19">
        <v>0</v>
      </c>
      <c r="AN398" s="19">
        <v>0</v>
      </c>
      <c r="AO398" s="19">
        <v>0</v>
      </c>
      <c r="AP398" s="19">
        <v>0</v>
      </c>
      <c r="AQ398" s="19">
        <v>0</v>
      </c>
      <c r="AR398" s="19">
        <v>0</v>
      </c>
      <c r="AS398" s="19">
        <v>0</v>
      </c>
      <c r="AT398" s="19">
        <v>0</v>
      </c>
      <c r="AU398" s="19">
        <v>0</v>
      </c>
      <c r="AV398" s="19">
        <v>0</v>
      </c>
      <c r="AW398" s="19">
        <v>0</v>
      </c>
      <c r="AX398" s="19">
        <v>0</v>
      </c>
      <c r="AY398" s="19">
        <v>0</v>
      </c>
      <c r="AZ398" s="19">
        <v>0</v>
      </c>
      <c r="BA398" s="19">
        <v>0</v>
      </c>
      <c r="BB398" s="19">
        <v>0</v>
      </c>
      <c r="BC398" s="19">
        <v>0</v>
      </c>
      <c r="BD398" s="19">
        <v>0</v>
      </c>
      <c r="BE398" s="19">
        <v>0</v>
      </c>
      <c r="BF398" s="19">
        <v>0</v>
      </c>
      <c r="BG398" s="19">
        <v>0</v>
      </c>
      <c r="BH398" s="19">
        <v>0</v>
      </c>
      <c r="BI398" s="19">
        <v>0</v>
      </c>
      <c r="BJ398" s="19">
        <v>0</v>
      </c>
      <c r="BK398" s="19">
        <v>0</v>
      </c>
      <c r="BL398" s="19">
        <v>0</v>
      </c>
      <c r="BM398" s="19">
        <v>0</v>
      </c>
      <c r="BN398" s="19">
        <v>0</v>
      </c>
      <c r="BO398" s="19">
        <v>0</v>
      </c>
      <c r="BP398" s="19">
        <v>0</v>
      </c>
      <c r="BQ398" s="19">
        <v>0</v>
      </c>
      <c r="BR398" s="19">
        <v>0</v>
      </c>
      <c r="BS398" s="19">
        <v>0</v>
      </c>
      <c r="BT398" s="19">
        <v>0</v>
      </c>
      <c r="BU398" s="19">
        <v>0</v>
      </c>
      <c r="BV398" s="19">
        <v>0</v>
      </c>
      <c r="BW398" s="19">
        <v>0</v>
      </c>
      <c r="BX398" s="19">
        <v>0</v>
      </c>
      <c r="BY398" s="19">
        <v>0</v>
      </c>
      <c r="BZ398" s="19">
        <v>0</v>
      </c>
      <c r="CA398" s="19">
        <v>0</v>
      </c>
      <c r="CB398" s="19">
        <v>0</v>
      </c>
      <c r="CC398" s="19">
        <v>0</v>
      </c>
      <c r="CD398" s="19">
        <v>0</v>
      </c>
      <c r="CE398" s="19">
        <v>0</v>
      </c>
      <c r="CF398" s="19">
        <v>0</v>
      </c>
      <c r="CG398" s="19">
        <v>0</v>
      </c>
      <c r="CH398" s="19">
        <v>0</v>
      </c>
      <c r="CI398" s="19">
        <v>0</v>
      </c>
      <c r="CJ398" s="19">
        <v>0</v>
      </c>
      <c r="CK398" s="19">
        <v>0</v>
      </c>
      <c r="CL398" s="19">
        <v>0</v>
      </c>
      <c r="CM398" s="19">
        <v>0</v>
      </c>
      <c r="CN398" s="19">
        <v>0</v>
      </c>
      <c r="CO398" s="19">
        <v>0</v>
      </c>
      <c r="CP398" s="19">
        <v>0</v>
      </c>
      <c r="CQ398" s="19">
        <v>0</v>
      </c>
      <c r="CR398" s="19">
        <v>0</v>
      </c>
      <c r="CS398" s="19">
        <v>0</v>
      </c>
      <c r="CT398" s="19">
        <v>0</v>
      </c>
      <c r="CU398" s="19">
        <v>0</v>
      </c>
      <c r="CV398" s="19">
        <v>0</v>
      </c>
      <c r="CW398" s="19">
        <v>0</v>
      </c>
      <c r="CX398" s="19">
        <v>0</v>
      </c>
      <c r="CY398" s="19">
        <v>0</v>
      </c>
      <c r="CZ398" s="19">
        <v>0</v>
      </c>
      <c r="DA398" s="19">
        <v>0</v>
      </c>
      <c r="DB398" s="19">
        <v>0</v>
      </c>
      <c r="DC398" s="19">
        <v>0</v>
      </c>
      <c r="DD398" s="19">
        <v>0</v>
      </c>
      <c r="DE398" s="19">
        <v>0</v>
      </c>
      <c r="DF398" s="19">
        <v>0</v>
      </c>
      <c r="DG398" s="19">
        <v>0</v>
      </c>
    </row>
    <row r="399" spans="2:111" x14ac:dyDescent="0.15">
      <c r="B399" s="19" t="str">
        <f t="shared" si="6"/>
        <v>10_女_45</v>
      </c>
      <c r="C399" s="18">
        <v>10</v>
      </c>
      <c r="D399" s="18" t="s">
        <v>2</v>
      </c>
      <c r="E399" s="18">
        <v>45</v>
      </c>
      <c r="F399" s="19">
        <v>1817.2</v>
      </c>
      <c r="G399" s="19">
        <v>4224.2</v>
      </c>
      <c r="H399" s="19">
        <v>7111.9</v>
      </c>
      <c r="I399" s="19">
        <v>10359.299999999999</v>
      </c>
      <c r="J399" s="19">
        <v>12882.6</v>
      </c>
      <c r="K399" s="19">
        <v>15575.5</v>
      </c>
      <c r="L399" s="19">
        <v>18447.5</v>
      </c>
      <c r="M399" s="19">
        <v>21508.5</v>
      </c>
      <c r="N399" s="19">
        <v>24768.799999999999</v>
      </c>
      <c r="O399" s="19">
        <v>28239.7</v>
      </c>
      <c r="P399" s="19">
        <v>28621</v>
      </c>
      <c r="Q399" s="19">
        <v>29019.5</v>
      </c>
      <c r="R399" s="19">
        <v>29436.1</v>
      </c>
      <c r="S399" s="19">
        <v>29871.7</v>
      </c>
      <c r="T399" s="19">
        <v>29327.1</v>
      </c>
      <c r="U399" s="19">
        <v>0</v>
      </c>
      <c r="V399" s="19">
        <v>0</v>
      </c>
      <c r="W399" s="19">
        <v>0</v>
      </c>
      <c r="X399" s="19">
        <v>0</v>
      </c>
      <c r="Y399" s="19">
        <v>0</v>
      </c>
      <c r="Z399" s="19">
        <v>0</v>
      </c>
      <c r="AA399" s="19">
        <v>0</v>
      </c>
      <c r="AB399" s="19">
        <v>0</v>
      </c>
      <c r="AC399" s="19">
        <v>0</v>
      </c>
      <c r="AD399" s="19">
        <v>0</v>
      </c>
      <c r="AE399" s="19">
        <v>0</v>
      </c>
      <c r="AF399" s="19">
        <v>0</v>
      </c>
      <c r="AG399" s="19">
        <v>0</v>
      </c>
      <c r="AH399" s="19">
        <v>0</v>
      </c>
      <c r="AI399" s="19">
        <v>0</v>
      </c>
      <c r="AJ399" s="19">
        <v>0</v>
      </c>
      <c r="AK399" s="19">
        <v>0</v>
      </c>
      <c r="AL399" s="19">
        <v>0</v>
      </c>
      <c r="AM399" s="19">
        <v>0</v>
      </c>
      <c r="AN399" s="19">
        <v>0</v>
      </c>
      <c r="AO399" s="19">
        <v>0</v>
      </c>
      <c r="AP399" s="19">
        <v>0</v>
      </c>
      <c r="AQ399" s="19">
        <v>0</v>
      </c>
      <c r="AR399" s="19">
        <v>0</v>
      </c>
      <c r="AS399" s="19">
        <v>0</v>
      </c>
      <c r="AT399" s="19">
        <v>0</v>
      </c>
      <c r="AU399" s="19">
        <v>0</v>
      </c>
      <c r="AV399" s="19">
        <v>0</v>
      </c>
      <c r="AW399" s="19">
        <v>0</v>
      </c>
      <c r="AX399" s="19">
        <v>0</v>
      </c>
      <c r="AY399" s="19">
        <v>0</v>
      </c>
      <c r="AZ399" s="19">
        <v>0</v>
      </c>
      <c r="BA399" s="19">
        <v>0</v>
      </c>
      <c r="BB399" s="19">
        <v>0</v>
      </c>
      <c r="BC399" s="19">
        <v>0</v>
      </c>
      <c r="BD399" s="19">
        <v>0</v>
      </c>
      <c r="BE399" s="19">
        <v>0</v>
      </c>
      <c r="BF399" s="19">
        <v>0</v>
      </c>
      <c r="BG399" s="19">
        <v>0</v>
      </c>
      <c r="BH399" s="19">
        <v>0</v>
      </c>
      <c r="BI399" s="19">
        <v>0</v>
      </c>
      <c r="BJ399" s="19">
        <v>0</v>
      </c>
      <c r="BK399" s="19">
        <v>0</v>
      </c>
      <c r="BL399" s="19">
        <v>0</v>
      </c>
      <c r="BM399" s="19">
        <v>0</v>
      </c>
      <c r="BN399" s="19">
        <v>0</v>
      </c>
      <c r="BO399" s="19">
        <v>0</v>
      </c>
      <c r="BP399" s="19">
        <v>0</v>
      </c>
      <c r="BQ399" s="19">
        <v>0</v>
      </c>
      <c r="BR399" s="19">
        <v>0</v>
      </c>
      <c r="BS399" s="19">
        <v>0</v>
      </c>
      <c r="BT399" s="19">
        <v>0</v>
      </c>
      <c r="BU399" s="19">
        <v>0</v>
      </c>
      <c r="BV399" s="19">
        <v>0</v>
      </c>
      <c r="BW399" s="19">
        <v>0</v>
      </c>
      <c r="BX399" s="19">
        <v>0</v>
      </c>
      <c r="BY399" s="19">
        <v>0</v>
      </c>
      <c r="BZ399" s="19">
        <v>0</v>
      </c>
      <c r="CA399" s="19">
        <v>0</v>
      </c>
      <c r="CB399" s="19">
        <v>0</v>
      </c>
      <c r="CC399" s="19">
        <v>0</v>
      </c>
      <c r="CD399" s="19">
        <v>0</v>
      </c>
      <c r="CE399" s="19">
        <v>0</v>
      </c>
      <c r="CF399" s="19">
        <v>0</v>
      </c>
      <c r="CG399" s="19">
        <v>0</v>
      </c>
      <c r="CH399" s="19">
        <v>0</v>
      </c>
      <c r="CI399" s="19">
        <v>0</v>
      </c>
      <c r="CJ399" s="19">
        <v>0</v>
      </c>
      <c r="CK399" s="19">
        <v>0</v>
      </c>
      <c r="CL399" s="19">
        <v>0</v>
      </c>
      <c r="CM399" s="19">
        <v>0</v>
      </c>
      <c r="CN399" s="19">
        <v>0</v>
      </c>
      <c r="CO399" s="19">
        <v>0</v>
      </c>
      <c r="CP399" s="19">
        <v>0</v>
      </c>
      <c r="CQ399" s="19">
        <v>0</v>
      </c>
      <c r="CR399" s="19">
        <v>0</v>
      </c>
      <c r="CS399" s="19">
        <v>0</v>
      </c>
      <c r="CT399" s="19">
        <v>0</v>
      </c>
      <c r="CU399" s="19">
        <v>0</v>
      </c>
      <c r="CV399" s="19">
        <v>0</v>
      </c>
      <c r="CW399" s="19">
        <v>0</v>
      </c>
      <c r="CX399" s="19">
        <v>0</v>
      </c>
      <c r="CY399" s="19">
        <v>0</v>
      </c>
      <c r="CZ399" s="19">
        <v>0</v>
      </c>
      <c r="DA399" s="19">
        <v>0</v>
      </c>
      <c r="DB399" s="19">
        <v>0</v>
      </c>
      <c r="DC399" s="19">
        <v>0</v>
      </c>
      <c r="DD399" s="19">
        <v>0</v>
      </c>
      <c r="DE399" s="19">
        <v>0</v>
      </c>
      <c r="DF399" s="19">
        <v>0</v>
      </c>
      <c r="DG399" s="19">
        <v>0</v>
      </c>
    </row>
    <row r="400" spans="2:111" x14ac:dyDescent="0.15">
      <c r="B400" s="19" t="str">
        <f t="shared" si="6"/>
        <v>__</v>
      </c>
      <c r="C400" s="18"/>
      <c r="D400" s="18"/>
      <c r="E400" s="18"/>
    </row>
    <row r="401" spans="2:5" x14ac:dyDescent="0.15">
      <c r="B401" s="19" t="str">
        <f t="shared" si="6"/>
        <v>__</v>
      </c>
      <c r="C401" s="18"/>
      <c r="D401" s="18"/>
      <c r="E401" s="18"/>
    </row>
    <row r="402" spans="2:5" x14ac:dyDescent="0.15">
      <c r="B402" s="19" t="str">
        <f t="shared" si="6"/>
        <v>__</v>
      </c>
      <c r="C402" s="18"/>
      <c r="D402" s="18"/>
      <c r="E402" s="18"/>
    </row>
    <row r="403" spans="2:5" x14ac:dyDescent="0.15">
      <c r="B403" s="19" t="str">
        <f t="shared" si="6"/>
        <v>__</v>
      </c>
      <c r="C403" s="18"/>
      <c r="D403" s="18"/>
      <c r="E403" s="18"/>
    </row>
    <row r="404" spans="2:5" x14ac:dyDescent="0.15">
      <c r="B404" s="19" t="str">
        <f t="shared" si="6"/>
        <v>__</v>
      </c>
      <c r="C404" s="18"/>
      <c r="D404" s="18"/>
      <c r="E404" s="18"/>
    </row>
    <row r="405" spans="2:5" x14ac:dyDescent="0.15">
      <c r="B405" s="19" t="str">
        <f t="shared" si="6"/>
        <v>__</v>
      </c>
      <c r="C405" s="18"/>
      <c r="D405" s="18"/>
      <c r="E405" s="18"/>
    </row>
    <row r="406" spans="2:5" x14ac:dyDescent="0.15">
      <c r="B406" s="19" t="str">
        <f t="shared" si="6"/>
        <v>__</v>
      </c>
      <c r="C406" s="18"/>
      <c r="D406" s="18"/>
      <c r="E406" s="18"/>
    </row>
    <row r="407" spans="2:5" x14ac:dyDescent="0.15">
      <c r="B407" s="19" t="str">
        <f t="shared" si="6"/>
        <v>__</v>
      </c>
      <c r="C407" s="18"/>
      <c r="D407" s="18"/>
      <c r="E407" s="18"/>
    </row>
    <row r="408" spans="2:5" x14ac:dyDescent="0.15">
      <c r="B408" s="19" t="str">
        <f t="shared" si="6"/>
        <v>__</v>
      </c>
      <c r="C408" s="18"/>
      <c r="D408" s="18"/>
      <c r="E408" s="18"/>
    </row>
    <row r="409" spans="2:5" x14ac:dyDescent="0.15">
      <c r="B409" s="19" t="str">
        <f t="shared" si="6"/>
        <v>__</v>
      </c>
      <c r="C409" s="18"/>
      <c r="D409" s="18"/>
      <c r="E409" s="18"/>
    </row>
    <row r="410" spans="2:5" x14ac:dyDescent="0.15">
      <c r="B410" s="19" t="str">
        <f t="shared" si="6"/>
        <v>__</v>
      </c>
      <c r="C410" s="18"/>
      <c r="D410" s="18"/>
      <c r="E410" s="18"/>
    </row>
    <row r="411" spans="2:5" x14ac:dyDescent="0.15">
      <c r="B411" s="19" t="str">
        <f t="shared" si="6"/>
        <v>__</v>
      </c>
      <c r="C411" s="18"/>
      <c r="D411" s="18"/>
      <c r="E411" s="18"/>
    </row>
    <row r="412" spans="2:5" x14ac:dyDescent="0.15">
      <c r="B412" s="19" t="str">
        <f t="shared" si="6"/>
        <v>__</v>
      </c>
      <c r="C412" s="18"/>
      <c r="D412" s="18"/>
      <c r="E412" s="18"/>
    </row>
    <row r="413" spans="2:5" x14ac:dyDescent="0.15">
      <c r="B413" s="19" t="str">
        <f t="shared" si="6"/>
        <v>__</v>
      </c>
      <c r="C413" s="18"/>
      <c r="D413" s="18"/>
      <c r="E413" s="18"/>
    </row>
    <row r="414" spans="2:5" x14ac:dyDescent="0.15">
      <c r="B414" s="19" t="str">
        <f t="shared" si="6"/>
        <v>__</v>
      </c>
      <c r="C414" s="18"/>
      <c r="D414" s="18"/>
      <c r="E414" s="18"/>
    </row>
    <row r="415" spans="2:5" x14ac:dyDescent="0.15">
      <c r="B415" s="19" t="str">
        <f t="shared" si="6"/>
        <v>__</v>
      </c>
      <c r="C415" s="18"/>
      <c r="D415" s="18"/>
      <c r="E415" s="18"/>
    </row>
    <row r="416" spans="2:5" x14ac:dyDescent="0.15">
      <c r="B416" s="19" t="str">
        <f t="shared" si="6"/>
        <v>__</v>
      </c>
      <c r="C416" s="18"/>
      <c r="D416" s="18"/>
      <c r="E416" s="18"/>
    </row>
    <row r="417" spans="2:5" x14ac:dyDescent="0.15">
      <c r="B417" s="19" t="str">
        <f t="shared" si="6"/>
        <v>__</v>
      </c>
      <c r="C417" s="18"/>
      <c r="D417" s="18"/>
      <c r="E417" s="18"/>
    </row>
    <row r="418" spans="2:5" x14ac:dyDescent="0.15">
      <c r="B418" s="19" t="str">
        <f t="shared" si="6"/>
        <v>__</v>
      </c>
      <c r="C418" s="18"/>
      <c r="D418" s="18"/>
      <c r="E418" s="18"/>
    </row>
    <row r="419" spans="2:5" x14ac:dyDescent="0.15">
      <c r="B419" s="19" t="str">
        <f t="shared" si="6"/>
        <v>__</v>
      </c>
      <c r="C419" s="18"/>
      <c r="D419" s="18"/>
      <c r="E419" s="18"/>
    </row>
    <row r="420" spans="2:5" x14ac:dyDescent="0.15">
      <c r="B420" s="19" t="str">
        <f t="shared" si="6"/>
        <v>__</v>
      </c>
      <c r="C420" s="18"/>
      <c r="D420" s="18"/>
      <c r="E420" s="18"/>
    </row>
    <row r="421" spans="2:5" x14ac:dyDescent="0.15">
      <c r="B421" s="19" t="str">
        <f t="shared" si="6"/>
        <v>__</v>
      </c>
      <c r="C421" s="18"/>
      <c r="D421" s="18"/>
      <c r="E421" s="18"/>
    </row>
    <row r="422" spans="2:5" x14ac:dyDescent="0.15">
      <c r="B422" s="19" t="str">
        <f t="shared" si="6"/>
        <v>__</v>
      </c>
      <c r="C422" s="18"/>
      <c r="D422" s="18"/>
      <c r="E422" s="18"/>
    </row>
    <row r="423" spans="2:5" x14ac:dyDescent="0.15">
      <c r="B423" s="19" t="str">
        <f t="shared" si="6"/>
        <v>__</v>
      </c>
      <c r="C423" s="18"/>
      <c r="D423" s="18"/>
      <c r="E423" s="18"/>
    </row>
    <row r="424" spans="2:5" x14ac:dyDescent="0.15">
      <c r="B424" s="19" t="str">
        <f t="shared" si="6"/>
        <v>__</v>
      </c>
      <c r="C424" s="18"/>
      <c r="D424" s="18"/>
      <c r="E424" s="18"/>
    </row>
    <row r="425" spans="2:5" x14ac:dyDescent="0.15">
      <c r="B425" s="19" t="str">
        <f t="shared" si="6"/>
        <v>__</v>
      </c>
      <c r="C425" s="18"/>
      <c r="D425" s="18"/>
      <c r="E425" s="18"/>
    </row>
    <row r="426" spans="2:5" x14ac:dyDescent="0.15">
      <c r="B426" s="19" t="str">
        <f t="shared" si="6"/>
        <v>__</v>
      </c>
      <c r="C426" s="18"/>
      <c r="D426" s="18"/>
      <c r="E426" s="18"/>
    </row>
    <row r="427" spans="2:5" x14ac:dyDescent="0.15">
      <c r="B427" s="19" t="str">
        <f t="shared" si="6"/>
        <v>__</v>
      </c>
      <c r="C427" s="18"/>
      <c r="D427" s="18"/>
      <c r="E427" s="18"/>
    </row>
    <row r="428" spans="2:5" x14ac:dyDescent="0.15">
      <c r="B428" s="19" t="str">
        <f t="shared" si="6"/>
        <v>__</v>
      </c>
      <c r="C428" s="18"/>
      <c r="D428" s="18"/>
      <c r="E428" s="18"/>
    </row>
    <row r="429" spans="2:5" x14ac:dyDescent="0.15">
      <c r="B429" s="19" t="str">
        <f t="shared" si="6"/>
        <v>__</v>
      </c>
      <c r="C429" s="18"/>
      <c r="D429" s="18"/>
      <c r="E429" s="18"/>
    </row>
    <row r="430" spans="2:5" x14ac:dyDescent="0.15">
      <c r="B430" s="19" t="str">
        <f t="shared" si="6"/>
        <v>__</v>
      </c>
      <c r="C430" s="18"/>
      <c r="D430" s="18"/>
      <c r="E430" s="18"/>
    </row>
    <row r="431" spans="2:5" x14ac:dyDescent="0.15">
      <c r="B431" s="19" t="str">
        <f t="shared" si="6"/>
        <v>__</v>
      </c>
      <c r="C431" s="18"/>
      <c r="D431" s="18"/>
      <c r="E431" s="18"/>
    </row>
    <row r="432" spans="2:5" x14ac:dyDescent="0.15">
      <c r="B432" s="19" t="str">
        <f t="shared" si="6"/>
        <v>__</v>
      </c>
      <c r="C432" s="18"/>
      <c r="D432" s="18"/>
      <c r="E432" s="18"/>
    </row>
    <row r="433" spans="2:5" x14ac:dyDescent="0.15">
      <c r="B433" s="19" t="str">
        <f t="shared" si="6"/>
        <v>__</v>
      </c>
      <c r="C433" s="18"/>
      <c r="D433" s="18"/>
      <c r="E433" s="18"/>
    </row>
    <row r="434" spans="2:5" x14ac:dyDescent="0.15">
      <c r="B434" s="19" t="str">
        <f t="shared" si="6"/>
        <v>__</v>
      </c>
      <c r="C434" s="18"/>
      <c r="D434" s="18"/>
      <c r="E434" s="18"/>
    </row>
    <row r="435" spans="2:5" x14ac:dyDescent="0.15">
      <c r="B435" s="19" t="str">
        <f t="shared" si="6"/>
        <v>__</v>
      </c>
      <c r="C435" s="18"/>
      <c r="D435" s="18"/>
      <c r="E435" s="18"/>
    </row>
    <row r="436" spans="2:5" x14ac:dyDescent="0.15">
      <c r="B436" s="19" t="str">
        <f t="shared" si="6"/>
        <v>__</v>
      </c>
      <c r="C436" s="18"/>
      <c r="D436" s="18"/>
      <c r="E436" s="18"/>
    </row>
    <row r="437" spans="2:5" x14ac:dyDescent="0.15">
      <c r="B437" s="19" t="str">
        <f t="shared" si="6"/>
        <v>__</v>
      </c>
      <c r="C437" s="18"/>
      <c r="D437" s="18"/>
      <c r="E437" s="18"/>
    </row>
    <row r="438" spans="2:5" x14ac:dyDescent="0.15">
      <c r="B438" s="19" t="str">
        <f t="shared" si="6"/>
        <v>__</v>
      </c>
      <c r="C438" s="18"/>
      <c r="D438" s="18"/>
      <c r="E438" s="18"/>
    </row>
    <row r="439" spans="2:5" x14ac:dyDescent="0.15">
      <c r="B439" s="19" t="str">
        <f t="shared" si="6"/>
        <v>__</v>
      </c>
      <c r="C439" s="18"/>
      <c r="D439" s="18"/>
      <c r="E439" s="18"/>
    </row>
    <row r="440" spans="2:5" x14ac:dyDescent="0.15">
      <c r="B440" s="19" t="str">
        <f t="shared" si="6"/>
        <v>__</v>
      </c>
      <c r="C440" s="18"/>
      <c r="D440" s="18"/>
      <c r="E440" s="18"/>
    </row>
    <row r="441" spans="2:5" x14ac:dyDescent="0.15">
      <c r="B441" s="19" t="str">
        <f t="shared" si="6"/>
        <v>__</v>
      </c>
      <c r="C441" s="18"/>
      <c r="D441" s="18"/>
      <c r="E441" s="18"/>
    </row>
    <row r="442" spans="2:5" x14ac:dyDescent="0.15">
      <c r="B442" s="19" t="str">
        <f t="shared" si="6"/>
        <v>__</v>
      </c>
      <c r="C442" s="18"/>
      <c r="D442" s="18"/>
      <c r="E442" s="18"/>
    </row>
    <row r="443" spans="2:5" x14ac:dyDescent="0.15">
      <c r="B443" s="19" t="str">
        <f t="shared" si="6"/>
        <v>__</v>
      </c>
      <c r="C443" s="18"/>
      <c r="D443" s="18"/>
      <c r="E443" s="18"/>
    </row>
    <row r="444" spans="2:5" x14ac:dyDescent="0.15">
      <c r="B444" s="19" t="str">
        <f t="shared" si="6"/>
        <v>__</v>
      </c>
      <c r="C444" s="18"/>
      <c r="D444" s="18"/>
      <c r="E444" s="18"/>
    </row>
    <row r="445" spans="2:5" x14ac:dyDescent="0.15">
      <c r="B445" s="19" t="str">
        <f t="shared" si="6"/>
        <v>__</v>
      </c>
      <c r="C445" s="18"/>
      <c r="D445" s="18"/>
      <c r="E445" s="18"/>
    </row>
    <row r="446" spans="2:5" x14ac:dyDescent="0.15">
      <c r="B446" s="19" t="str">
        <f t="shared" si="6"/>
        <v>__</v>
      </c>
      <c r="C446" s="18"/>
      <c r="D446" s="18"/>
      <c r="E446" s="18"/>
    </row>
    <row r="447" spans="2:5" x14ac:dyDescent="0.15">
      <c r="B447" s="19" t="str">
        <f t="shared" si="6"/>
        <v>__</v>
      </c>
      <c r="C447" s="18"/>
      <c r="D447" s="18"/>
      <c r="E447" s="18"/>
    </row>
    <row r="448" spans="2:5" x14ac:dyDescent="0.15">
      <c r="B448" s="19" t="str">
        <f t="shared" si="6"/>
        <v>__</v>
      </c>
      <c r="C448" s="18"/>
      <c r="D448" s="18"/>
      <c r="E448" s="18"/>
    </row>
    <row r="449" spans="2:5" x14ac:dyDescent="0.15">
      <c r="B449" s="19" t="str">
        <f t="shared" si="6"/>
        <v>__</v>
      </c>
      <c r="C449" s="18"/>
      <c r="D449" s="18"/>
      <c r="E449" s="18"/>
    </row>
    <row r="450" spans="2:5" x14ac:dyDescent="0.15">
      <c r="B450" s="19" t="str">
        <f t="shared" si="6"/>
        <v>__</v>
      </c>
      <c r="C450" s="18"/>
      <c r="D450" s="18"/>
      <c r="E450" s="18"/>
    </row>
    <row r="451" spans="2:5" x14ac:dyDescent="0.15">
      <c r="B451" s="19" t="str">
        <f t="shared" ref="B451:B514" si="7">C451&amp;"_"&amp;D451&amp;"_"&amp;E451</f>
        <v>__</v>
      </c>
      <c r="C451" s="18"/>
      <c r="D451" s="18"/>
      <c r="E451" s="18"/>
    </row>
    <row r="452" spans="2:5" x14ac:dyDescent="0.15">
      <c r="B452" s="19" t="str">
        <f t="shared" si="7"/>
        <v>__</v>
      </c>
      <c r="C452" s="18"/>
      <c r="D452" s="18"/>
      <c r="E452" s="18"/>
    </row>
    <row r="453" spans="2:5" x14ac:dyDescent="0.15">
      <c r="B453" s="19" t="str">
        <f t="shared" si="7"/>
        <v>__</v>
      </c>
      <c r="C453" s="18"/>
      <c r="D453" s="18"/>
      <c r="E453" s="18"/>
    </row>
    <row r="454" spans="2:5" x14ac:dyDescent="0.15">
      <c r="B454" s="19" t="str">
        <f t="shared" si="7"/>
        <v>__</v>
      </c>
      <c r="C454" s="18"/>
      <c r="D454" s="18"/>
      <c r="E454" s="18"/>
    </row>
    <row r="455" spans="2:5" x14ac:dyDescent="0.15">
      <c r="B455" s="19" t="str">
        <f t="shared" si="7"/>
        <v>__</v>
      </c>
      <c r="C455" s="18"/>
      <c r="D455" s="18"/>
      <c r="E455" s="18"/>
    </row>
    <row r="456" spans="2:5" x14ac:dyDescent="0.15">
      <c r="B456" s="19" t="str">
        <f t="shared" si="7"/>
        <v>__</v>
      </c>
      <c r="C456" s="18"/>
      <c r="D456" s="18"/>
      <c r="E456" s="18"/>
    </row>
    <row r="457" spans="2:5" x14ac:dyDescent="0.15">
      <c r="B457" s="19" t="str">
        <f t="shared" si="7"/>
        <v>__</v>
      </c>
      <c r="C457" s="18"/>
      <c r="D457" s="18"/>
      <c r="E457" s="18"/>
    </row>
    <row r="458" spans="2:5" x14ac:dyDescent="0.15">
      <c r="B458" s="19" t="str">
        <f t="shared" si="7"/>
        <v>__</v>
      </c>
      <c r="C458" s="18"/>
      <c r="D458" s="18"/>
      <c r="E458" s="18"/>
    </row>
    <row r="459" spans="2:5" x14ac:dyDescent="0.15">
      <c r="B459" s="19" t="str">
        <f t="shared" si="7"/>
        <v>__</v>
      </c>
      <c r="C459" s="18"/>
      <c r="D459" s="18"/>
      <c r="E459" s="18"/>
    </row>
    <row r="460" spans="2:5" x14ac:dyDescent="0.15">
      <c r="B460" s="19" t="str">
        <f t="shared" si="7"/>
        <v>__</v>
      </c>
      <c r="C460" s="18"/>
      <c r="D460" s="18"/>
      <c r="E460" s="18"/>
    </row>
    <row r="461" spans="2:5" x14ac:dyDescent="0.15">
      <c r="B461" s="19" t="str">
        <f t="shared" si="7"/>
        <v>__</v>
      </c>
      <c r="C461" s="18"/>
      <c r="D461" s="18"/>
      <c r="E461" s="18"/>
    </row>
    <row r="462" spans="2:5" x14ac:dyDescent="0.15">
      <c r="B462" s="19" t="str">
        <f t="shared" si="7"/>
        <v>__</v>
      </c>
      <c r="C462" s="18"/>
      <c r="D462" s="18"/>
      <c r="E462" s="18"/>
    </row>
    <row r="463" spans="2:5" x14ac:dyDescent="0.15">
      <c r="B463" s="19" t="str">
        <f t="shared" si="7"/>
        <v>__</v>
      </c>
      <c r="C463" s="18"/>
      <c r="D463" s="18"/>
      <c r="E463" s="18"/>
    </row>
    <row r="464" spans="2:5" x14ac:dyDescent="0.15">
      <c r="B464" s="19" t="str">
        <f t="shared" si="7"/>
        <v>__</v>
      </c>
      <c r="C464" s="18"/>
      <c r="D464" s="18"/>
      <c r="E464" s="18"/>
    </row>
    <row r="465" spans="2:5" x14ac:dyDescent="0.15">
      <c r="B465" s="19" t="str">
        <f t="shared" si="7"/>
        <v>__</v>
      </c>
      <c r="C465" s="18"/>
      <c r="D465" s="18"/>
      <c r="E465" s="18"/>
    </row>
    <row r="466" spans="2:5" x14ac:dyDescent="0.15">
      <c r="B466" s="19" t="str">
        <f t="shared" si="7"/>
        <v>__</v>
      </c>
      <c r="C466" s="18"/>
      <c r="D466" s="18"/>
      <c r="E466" s="18"/>
    </row>
    <row r="467" spans="2:5" x14ac:dyDescent="0.15">
      <c r="B467" s="19" t="str">
        <f t="shared" si="7"/>
        <v>__</v>
      </c>
      <c r="C467" s="18"/>
      <c r="D467" s="18"/>
      <c r="E467" s="18"/>
    </row>
    <row r="468" spans="2:5" x14ac:dyDescent="0.15">
      <c r="B468" s="19" t="str">
        <f t="shared" si="7"/>
        <v>__</v>
      </c>
      <c r="C468" s="18"/>
      <c r="D468" s="18"/>
      <c r="E468" s="18"/>
    </row>
    <row r="469" spans="2:5" x14ac:dyDescent="0.15">
      <c r="B469" s="19" t="str">
        <f t="shared" si="7"/>
        <v>__</v>
      </c>
      <c r="C469" s="18"/>
      <c r="D469" s="18"/>
      <c r="E469" s="18"/>
    </row>
    <row r="470" spans="2:5" x14ac:dyDescent="0.15">
      <c r="B470" s="19" t="str">
        <f t="shared" si="7"/>
        <v>__</v>
      </c>
      <c r="C470" s="18"/>
      <c r="D470" s="18"/>
      <c r="E470" s="18"/>
    </row>
    <row r="471" spans="2:5" x14ac:dyDescent="0.15">
      <c r="B471" s="19" t="str">
        <f t="shared" si="7"/>
        <v>__</v>
      </c>
      <c r="C471" s="18"/>
      <c r="D471" s="18"/>
      <c r="E471" s="18"/>
    </row>
    <row r="472" spans="2:5" x14ac:dyDescent="0.15">
      <c r="B472" s="19" t="str">
        <f t="shared" si="7"/>
        <v>__</v>
      </c>
      <c r="C472" s="18"/>
      <c r="D472" s="18"/>
      <c r="E472" s="18"/>
    </row>
    <row r="473" spans="2:5" x14ac:dyDescent="0.15">
      <c r="B473" s="19" t="str">
        <f t="shared" si="7"/>
        <v>__</v>
      </c>
      <c r="C473" s="18"/>
      <c r="D473" s="18"/>
      <c r="E473" s="18"/>
    </row>
    <row r="474" spans="2:5" x14ac:dyDescent="0.15">
      <c r="B474" s="19" t="str">
        <f t="shared" si="7"/>
        <v>__</v>
      </c>
      <c r="C474" s="18"/>
      <c r="D474" s="18"/>
      <c r="E474" s="18"/>
    </row>
    <row r="475" spans="2:5" x14ac:dyDescent="0.15">
      <c r="B475" s="19" t="str">
        <f t="shared" si="7"/>
        <v>__</v>
      </c>
      <c r="C475" s="18"/>
      <c r="D475" s="18"/>
      <c r="E475" s="18"/>
    </row>
    <row r="476" spans="2:5" x14ac:dyDescent="0.15">
      <c r="B476" s="19" t="str">
        <f t="shared" si="7"/>
        <v>__</v>
      </c>
      <c r="C476" s="18"/>
      <c r="D476" s="18"/>
      <c r="E476" s="18"/>
    </row>
    <row r="477" spans="2:5" x14ac:dyDescent="0.15">
      <c r="B477" s="19" t="str">
        <f t="shared" si="7"/>
        <v>__</v>
      </c>
      <c r="C477" s="18"/>
      <c r="D477" s="18"/>
      <c r="E477" s="18"/>
    </row>
    <row r="478" spans="2:5" x14ac:dyDescent="0.15">
      <c r="B478" s="19" t="str">
        <f t="shared" si="7"/>
        <v>__</v>
      </c>
      <c r="C478" s="18"/>
      <c r="D478" s="18"/>
      <c r="E478" s="18"/>
    </row>
    <row r="479" spans="2:5" x14ac:dyDescent="0.15">
      <c r="B479" s="19" t="str">
        <f t="shared" si="7"/>
        <v>__</v>
      </c>
      <c r="C479" s="18"/>
      <c r="D479" s="18"/>
      <c r="E479" s="18"/>
    </row>
    <row r="480" spans="2:5" x14ac:dyDescent="0.15">
      <c r="B480" s="19" t="str">
        <f t="shared" si="7"/>
        <v>__</v>
      </c>
      <c r="C480" s="18"/>
      <c r="D480" s="18"/>
      <c r="E480" s="18"/>
    </row>
    <row r="481" spans="2:5" x14ac:dyDescent="0.15">
      <c r="B481" s="19" t="str">
        <f t="shared" si="7"/>
        <v>__</v>
      </c>
      <c r="C481" s="18"/>
      <c r="D481" s="18"/>
      <c r="E481" s="18"/>
    </row>
    <row r="482" spans="2:5" x14ac:dyDescent="0.15">
      <c r="B482" s="19" t="str">
        <f t="shared" si="7"/>
        <v>__</v>
      </c>
      <c r="C482" s="18"/>
      <c r="D482" s="18"/>
      <c r="E482" s="18"/>
    </row>
    <row r="483" spans="2:5" x14ac:dyDescent="0.15">
      <c r="B483" s="19" t="str">
        <f t="shared" si="7"/>
        <v>__</v>
      </c>
      <c r="C483" s="18"/>
      <c r="D483" s="18"/>
      <c r="E483" s="18"/>
    </row>
    <row r="484" spans="2:5" x14ac:dyDescent="0.15">
      <c r="B484" s="19" t="str">
        <f t="shared" si="7"/>
        <v>__</v>
      </c>
      <c r="C484" s="18"/>
      <c r="D484" s="18"/>
      <c r="E484" s="18"/>
    </row>
    <row r="485" spans="2:5" x14ac:dyDescent="0.15">
      <c r="B485" s="19" t="str">
        <f t="shared" si="7"/>
        <v>__</v>
      </c>
      <c r="C485" s="18"/>
      <c r="D485" s="18"/>
      <c r="E485" s="18"/>
    </row>
    <row r="486" spans="2:5" x14ac:dyDescent="0.15">
      <c r="B486" s="19" t="str">
        <f t="shared" si="7"/>
        <v>__</v>
      </c>
      <c r="C486" s="18"/>
      <c r="D486" s="18"/>
      <c r="E486" s="18"/>
    </row>
    <row r="487" spans="2:5" x14ac:dyDescent="0.15">
      <c r="B487" s="19" t="str">
        <f t="shared" si="7"/>
        <v>__</v>
      </c>
      <c r="C487" s="18"/>
      <c r="D487" s="18"/>
      <c r="E487" s="18"/>
    </row>
    <row r="488" spans="2:5" x14ac:dyDescent="0.15">
      <c r="B488" s="19" t="str">
        <f t="shared" si="7"/>
        <v>__</v>
      </c>
      <c r="C488" s="18"/>
      <c r="D488" s="18"/>
      <c r="E488" s="18"/>
    </row>
    <row r="489" spans="2:5" x14ac:dyDescent="0.15">
      <c r="B489" s="19" t="str">
        <f t="shared" si="7"/>
        <v>__</v>
      </c>
      <c r="C489" s="18"/>
      <c r="D489" s="18"/>
      <c r="E489" s="18"/>
    </row>
    <row r="490" spans="2:5" x14ac:dyDescent="0.15">
      <c r="B490" s="19" t="str">
        <f t="shared" si="7"/>
        <v>__</v>
      </c>
      <c r="C490" s="18"/>
      <c r="D490" s="18"/>
      <c r="E490" s="18"/>
    </row>
    <row r="491" spans="2:5" x14ac:dyDescent="0.15">
      <c r="B491" s="19" t="str">
        <f t="shared" si="7"/>
        <v>__</v>
      </c>
      <c r="C491" s="18"/>
      <c r="D491" s="18"/>
      <c r="E491" s="18"/>
    </row>
    <row r="492" spans="2:5" x14ac:dyDescent="0.15">
      <c r="B492" s="19" t="str">
        <f t="shared" si="7"/>
        <v>__</v>
      </c>
      <c r="C492" s="18"/>
      <c r="D492" s="18"/>
      <c r="E492" s="18"/>
    </row>
    <row r="493" spans="2:5" x14ac:dyDescent="0.15">
      <c r="B493" s="19" t="str">
        <f t="shared" si="7"/>
        <v>__</v>
      </c>
      <c r="C493" s="18"/>
      <c r="D493" s="18"/>
      <c r="E493" s="18"/>
    </row>
    <row r="494" spans="2:5" x14ac:dyDescent="0.15">
      <c r="B494" s="19" t="str">
        <f t="shared" si="7"/>
        <v>__</v>
      </c>
      <c r="C494" s="18"/>
      <c r="D494" s="18"/>
      <c r="E494" s="18"/>
    </row>
    <row r="495" spans="2:5" x14ac:dyDescent="0.15">
      <c r="B495" s="19" t="str">
        <f t="shared" si="7"/>
        <v>__</v>
      </c>
      <c r="C495" s="18"/>
      <c r="D495" s="18"/>
      <c r="E495" s="18"/>
    </row>
    <row r="496" spans="2:5" x14ac:dyDescent="0.15">
      <c r="B496" s="19" t="str">
        <f t="shared" si="7"/>
        <v>__</v>
      </c>
      <c r="C496" s="18"/>
      <c r="D496" s="18"/>
      <c r="E496" s="18"/>
    </row>
    <row r="497" spans="2:5" x14ac:dyDescent="0.15">
      <c r="B497" s="19" t="str">
        <f t="shared" si="7"/>
        <v>__</v>
      </c>
      <c r="C497" s="18"/>
      <c r="D497" s="18"/>
      <c r="E497" s="18"/>
    </row>
    <row r="498" spans="2:5" x14ac:dyDescent="0.15">
      <c r="B498" s="19" t="str">
        <f t="shared" si="7"/>
        <v>__</v>
      </c>
      <c r="C498" s="18"/>
      <c r="D498" s="18"/>
      <c r="E498" s="18"/>
    </row>
    <row r="499" spans="2:5" x14ac:dyDescent="0.15">
      <c r="B499" s="19" t="str">
        <f t="shared" si="7"/>
        <v>__</v>
      </c>
      <c r="C499" s="18"/>
      <c r="D499" s="18"/>
      <c r="E499" s="18"/>
    </row>
    <row r="500" spans="2:5" x14ac:dyDescent="0.15">
      <c r="B500" s="19" t="str">
        <f t="shared" si="7"/>
        <v>__</v>
      </c>
      <c r="C500" s="18"/>
      <c r="D500" s="18"/>
      <c r="E500" s="18"/>
    </row>
    <row r="501" spans="2:5" x14ac:dyDescent="0.15">
      <c r="B501" s="19" t="str">
        <f t="shared" si="7"/>
        <v>__</v>
      </c>
      <c r="C501" s="18"/>
      <c r="D501" s="18"/>
      <c r="E501" s="18"/>
    </row>
    <row r="502" spans="2:5" x14ac:dyDescent="0.15">
      <c r="B502" s="19" t="str">
        <f t="shared" si="7"/>
        <v>__</v>
      </c>
      <c r="C502" s="18"/>
      <c r="D502" s="18"/>
      <c r="E502" s="18"/>
    </row>
    <row r="503" spans="2:5" x14ac:dyDescent="0.15">
      <c r="B503" s="19" t="str">
        <f t="shared" si="7"/>
        <v>__</v>
      </c>
      <c r="C503" s="18"/>
      <c r="D503" s="18"/>
      <c r="E503" s="18"/>
    </row>
    <row r="504" spans="2:5" x14ac:dyDescent="0.15">
      <c r="B504" s="19" t="str">
        <f t="shared" si="7"/>
        <v>__</v>
      </c>
      <c r="C504" s="18"/>
      <c r="D504" s="18"/>
      <c r="E504" s="18"/>
    </row>
    <row r="505" spans="2:5" x14ac:dyDescent="0.15">
      <c r="B505" s="19" t="str">
        <f t="shared" si="7"/>
        <v>__</v>
      </c>
      <c r="C505" s="18"/>
      <c r="D505" s="18"/>
      <c r="E505" s="18"/>
    </row>
    <row r="506" spans="2:5" x14ac:dyDescent="0.15">
      <c r="B506" s="19" t="str">
        <f t="shared" si="7"/>
        <v>__</v>
      </c>
      <c r="C506" s="18"/>
      <c r="D506" s="18"/>
      <c r="E506" s="18"/>
    </row>
    <row r="507" spans="2:5" x14ac:dyDescent="0.15">
      <c r="B507" s="19" t="str">
        <f t="shared" si="7"/>
        <v>__</v>
      </c>
      <c r="C507" s="18"/>
      <c r="D507" s="18"/>
      <c r="E507" s="18"/>
    </row>
    <row r="508" spans="2:5" x14ac:dyDescent="0.15">
      <c r="B508" s="19" t="str">
        <f t="shared" si="7"/>
        <v>__</v>
      </c>
      <c r="C508" s="18"/>
      <c r="D508" s="18"/>
      <c r="E508" s="18"/>
    </row>
    <row r="509" spans="2:5" x14ac:dyDescent="0.15">
      <c r="B509" s="19" t="str">
        <f t="shared" si="7"/>
        <v>__</v>
      </c>
      <c r="C509" s="18"/>
      <c r="D509" s="18"/>
      <c r="E509" s="18"/>
    </row>
    <row r="510" spans="2:5" x14ac:dyDescent="0.15">
      <c r="B510" s="19" t="str">
        <f t="shared" si="7"/>
        <v>__</v>
      </c>
      <c r="C510" s="18"/>
      <c r="D510" s="18"/>
      <c r="E510" s="18"/>
    </row>
    <row r="511" spans="2:5" x14ac:dyDescent="0.15">
      <c r="B511" s="19" t="str">
        <f t="shared" si="7"/>
        <v>__</v>
      </c>
      <c r="C511" s="18"/>
      <c r="D511" s="18"/>
      <c r="E511" s="18"/>
    </row>
    <row r="512" spans="2:5" x14ac:dyDescent="0.15">
      <c r="B512" s="19" t="str">
        <f t="shared" si="7"/>
        <v>__</v>
      </c>
      <c r="C512" s="18"/>
      <c r="D512" s="18"/>
      <c r="E512" s="18"/>
    </row>
    <row r="513" spans="2:5" x14ac:dyDescent="0.15">
      <c r="B513" s="19" t="str">
        <f t="shared" si="7"/>
        <v>__</v>
      </c>
      <c r="C513" s="18"/>
      <c r="D513" s="18"/>
      <c r="E513" s="18"/>
    </row>
    <row r="514" spans="2:5" x14ac:dyDescent="0.15">
      <c r="B514" s="19" t="str">
        <f t="shared" si="7"/>
        <v>__</v>
      </c>
      <c r="C514" s="18"/>
      <c r="D514" s="18"/>
      <c r="E514" s="18"/>
    </row>
    <row r="515" spans="2:5" x14ac:dyDescent="0.15">
      <c r="B515" s="19" t="str">
        <f t="shared" ref="B515:B578" si="8">C515&amp;"_"&amp;D515&amp;"_"&amp;E515</f>
        <v>__</v>
      </c>
      <c r="C515" s="18"/>
      <c r="D515" s="18"/>
      <c r="E515" s="18"/>
    </row>
    <row r="516" spans="2:5" x14ac:dyDescent="0.15">
      <c r="B516" s="19" t="str">
        <f t="shared" si="8"/>
        <v>__</v>
      </c>
      <c r="C516" s="18"/>
      <c r="D516" s="18"/>
      <c r="E516" s="18"/>
    </row>
    <row r="517" spans="2:5" x14ac:dyDescent="0.15">
      <c r="B517" s="19" t="str">
        <f t="shared" si="8"/>
        <v>__</v>
      </c>
      <c r="C517" s="18"/>
      <c r="D517" s="18"/>
      <c r="E517" s="18"/>
    </row>
    <row r="518" spans="2:5" x14ac:dyDescent="0.15">
      <c r="B518" s="19" t="str">
        <f t="shared" si="8"/>
        <v>__</v>
      </c>
      <c r="C518" s="18"/>
      <c r="D518" s="18"/>
      <c r="E518" s="18"/>
    </row>
    <row r="519" spans="2:5" x14ac:dyDescent="0.15">
      <c r="B519" s="19" t="str">
        <f t="shared" si="8"/>
        <v>__</v>
      </c>
      <c r="C519" s="18"/>
      <c r="D519" s="18"/>
      <c r="E519" s="18"/>
    </row>
    <row r="520" spans="2:5" x14ac:dyDescent="0.15">
      <c r="B520" s="19" t="str">
        <f t="shared" si="8"/>
        <v>__</v>
      </c>
      <c r="C520" s="18"/>
      <c r="D520" s="18"/>
      <c r="E520" s="18"/>
    </row>
    <row r="521" spans="2:5" x14ac:dyDescent="0.15">
      <c r="B521" s="19" t="str">
        <f t="shared" si="8"/>
        <v>__</v>
      </c>
      <c r="C521" s="18"/>
      <c r="D521" s="18"/>
      <c r="E521" s="18"/>
    </row>
    <row r="522" spans="2:5" x14ac:dyDescent="0.15">
      <c r="B522" s="19" t="str">
        <f t="shared" si="8"/>
        <v>__</v>
      </c>
      <c r="C522" s="18"/>
      <c r="D522" s="18"/>
      <c r="E522" s="18"/>
    </row>
    <row r="523" spans="2:5" x14ac:dyDescent="0.15">
      <c r="B523" s="19" t="str">
        <f t="shared" si="8"/>
        <v>__</v>
      </c>
      <c r="C523" s="18"/>
      <c r="D523" s="18"/>
      <c r="E523" s="18"/>
    </row>
    <row r="524" spans="2:5" x14ac:dyDescent="0.15">
      <c r="B524" s="19" t="str">
        <f t="shared" si="8"/>
        <v>__</v>
      </c>
      <c r="C524" s="18"/>
      <c r="D524" s="18"/>
      <c r="E524" s="18"/>
    </row>
    <row r="525" spans="2:5" x14ac:dyDescent="0.15">
      <c r="B525" s="19" t="str">
        <f t="shared" si="8"/>
        <v>__</v>
      </c>
      <c r="C525" s="18"/>
      <c r="D525" s="18"/>
      <c r="E525" s="18"/>
    </row>
    <row r="526" spans="2:5" x14ac:dyDescent="0.15">
      <c r="B526" s="19" t="str">
        <f t="shared" si="8"/>
        <v>__</v>
      </c>
      <c r="C526" s="18"/>
      <c r="D526" s="18"/>
      <c r="E526" s="18"/>
    </row>
    <row r="527" spans="2:5" x14ac:dyDescent="0.15">
      <c r="B527" s="19" t="str">
        <f t="shared" si="8"/>
        <v>__</v>
      </c>
      <c r="C527" s="18"/>
      <c r="D527" s="18"/>
      <c r="E527" s="18"/>
    </row>
    <row r="528" spans="2:5" x14ac:dyDescent="0.15">
      <c r="B528" s="19" t="str">
        <f t="shared" si="8"/>
        <v>__</v>
      </c>
      <c r="C528" s="18"/>
      <c r="D528" s="18"/>
      <c r="E528" s="18"/>
    </row>
    <row r="529" spans="2:5" x14ac:dyDescent="0.15">
      <c r="B529" s="19" t="str">
        <f t="shared" si="8"/>
        <v>__</v>
      </c>
      <c r="C529" s="18"/>
      <c r="D529" s="18"/>
      <c r="E529" s="18"/>
    </row>
    <row r="530" spans="2:5" x14ac:dyDescent="0.15">
      <c r="B530" s="19" t="str">
        <f t="shared" si="8"/>
        <v>__</v>
      </c>
      <c r="C530" s="18"/>
      <c r="D530" s="18"/>
      <c r="E530" s="18"/>
    </row>
    <row r="531" spans="2:5" x14ac:dyDescent="0.15">
      <c r="B531" s="19" t="str">
        <f t="shared" si="8"/>
        <v>__</v>
      </c>
      <c r="C531" s="18"/>
      <c r="D531" s="18"/>
      <c r="E531" s="18"/>
    </row>
    <row r="532" spans="2:5" x14ac:dyDescent="0.15">
      <c r="B532" s="19" t="str">
        <f t="shared" si="8"/>
        <v>__</v>
      </c>
      <c r="C532" s="18"/>
      <c r="D532" s="18"/>
      <c r="E532" s="18"/>
    </row>
    <row r="533" spans="2:5" x14ac:dyDescent="0.15">
      <c r="B533" s="19" t="str">
        <f t="shared" si="8"/>
        <v>__</v>
      </c>
      <c r="C533" s="18"/>
      <c r="D533" s="18"/>
      <c r="E533" s="18"/>
    </row>
    <row r="534" spans="2:5" x14ac:dyDescent="0.15">
      <c r="B534" s="19" t="str">
        <f t="shared" si="8"/>
        <v>__</v>
      </c>
      <c r="C534" s="18"/>
      <c r="D534" s="18"/>
      <c r="E534" s="18"/>
    </row>
    <row r="535" spans="2:5" x14ac:dyDescent="0.15">
      <c r="B535" s="19" t="str">
        <f t="shared" si="8"/>
        <v>__</v>
      </c>
      <c r="C535" s="18"/>
      <c r="D535" s="18"/>
      <c r="E535" s="18"/>
    </row>
    <row r="536" spans="2:5" x14ac:dyDescent="0.15">
      <c r="B536" s="19" t="str">
        <f t="shared" si="8"/>
        <v>__</v>
      </c>
      <c r="C536" s="18"/>
      <c r="D536" s="18"/>
      <c r="E536" s="18"/>
    </row>
    <row r="537" spans="2:5" x14ac:dyDescent="0.15">
      <c r="B537" s="19" t="str">
        <f t="shared" si="8"/>
        <v>__</v>
      </c>
      <c r="C537" s="18"/>
      <c r="D537" s="18"/>
      <c r="E537" s="18"/>
    </row>
    <row r="538" spans="2:5" x14ac:dyDescent="0.15">
      <c r="B538" s="19" t="str">
        <f t="shared" si="8"/>
        <v>__</v>
      </c>
      <c r="C538" s="18"/>
      <c r="D538" s="18"/>
      <c r="E538" s="18"/>
    </row>
    <row r="539" spans="2:5" x14ac:dyDescent="0.15">
      <c r="B539" s="19" t="str">
        <f t="shared" si="8"/>
        <v>__</v>
      </c>
      <c r="C539" s="18"/>
      <c r="D539" s="18"/>
      <c r="E539" s="18"/>
    </row>
    <row r="540" spans="2:5" x14ac:dyDescent="0.15">
      <c r="B540" s="19" t="str">
        <f t="shared" si="8"/>
        <v>__</v>
      </c>
      <c r="C540" s="18"/>
      <c r="D540" s="18"/>
      <c r="E540" s="18"/>
    </row>
    <row r="541" spans="2:5" x14ac:dyDescent="0.15">
      <c r="B541" s="19" t="str">
        <f t="shared" si="8"/>
        <v>__</v>
      </c>
      <c r="C541" s="18"/>
      <c r="D541" s="18"/>
      <c r="E541" s="18"/>
    </row>
    <row r="542" spans="2:5" x14ac:dyDescent="0.15">
      <c r="B542" s="19" t="str">
        <f t="shared" si="8"/>
        <v>__</v>
      </c>
      <c r="C542" s="18"/>
      <c r="D542" s="18"/>
      <c r="E542" s="18"/>
    </row>
    <row r="543" spans="2:5" x14ac:dyDescent="0.15">
      <c r="B543" s="19" t="str">
        <f t="shared" si="8"/>
        <v>__</v>
      </c>
      <c r="C543" s="18"/>
      <c r="D543" s="18"/>
      <c r="E543" s="18"/>
    </row>
    <row r="544" spans="2:5" x14ac:dyDescent="0.15">
      <c r="B544" s="19" t="str">
        <f t="shared" si="8"/>
        <v>__</v>
      </c>
      <c r="C544" s="18"/>
      <c r="D544" s="18"/>
      <c r="E544" s="18"/>
    </row>
    <row r="545" spans="2:5" x14ac:dyDescent="0.15">
      <c r="B545" s="19" t="str">
        <f t="shared" si="8"/>
        <v>__</v>
      </c>
      <c r="C545" s="18"/>
      <c r="D545" s="18"/>
      <c r="E545" s="18"/>
    </row>
    <row r="546" spans="2:5" x14ac:dyDescent="0.15">
      <c r="B546" s="19" t="str">
        <f t="shared" si="8"/>
        <v>__</v>
      </c>
      <c r="C546" s="18"/>
      <c r="D546" s="18"/>
      <c r="E546" s="18"/>
    </row>
    <row r="547" spans="2:5" x14ac:dyDescent="0.15">
      <c r="B547" s="19" t="str">
        <f t="shared" si="8"/>
        <v>__</v>
      </c>
      <c r="C547" s="18"/>
      <c r="D547" s="18"/>
      <c r="E547" s="18"/>
    </row>
    <row r="548" spans="2:5" x14ac:dyDescent="0.15">
      <c r="B548" s="19" t="str">
        <f t="shared" si="8"/>
        <v>__</v>
      </c>
      <c r="C548" s="18"/>
      <c r="D548" s="18"/>
      <c r="E548" s="18"/>
    </row>
    <row r="549" spans="2:5" x14ac:dyDescent="0.15">
      <c r="B549" s="19" t="str">
        <f t="shared" si="8"/>
        <v>__</v>
      </c>
      <c r="C549" s="18"/>
      <c r="D549" s="18"/>
      <c r="E549" s="18"/>
    </row>
    <row r="550" spans="2:5" x14ac:dyDescent="0.15">
      <c r="B550" s="19" t="str">
        <f t="shared" si="8"/>
        <v>__</v>
      </c>
      <c r="C550" s="18"/>
      <c r="D550" s="18"/>
      <c r="E550" s="18"/>
    </row>
    <row r="551" spans="2:5" x14ac:dyDescent="0.15">
      <c r="B551" s="19" t="str">
        <f t="shared" si="8"/>
        <v>__</v>
      </c>
      <c r="C551" s="18"/>
      <c r="D551" s="18"/>
      <c r="E551" s="18"/>
    </row>
    <row r="552" spans="2:5" x14ac:dyDescent="0.15">
      <c r="B552" s="19" t="str">
        <f t="shared" si="8"/>
        <v>__</v>
      </c>
      <c r="C552" s="18"/>
      <c r="D552" s="18"/>
      <c r="E552" s="18"/>
    </row>
    <row r="553" spans="2:5" x14ac:dyDescent="0.15">
      <c r="B553" s="19" t="str">
        <f t="shared" si="8"/>
        <v>__</v>
      </c>
      <c r="C553" s="18"/>
      <c r="D553" s="18"/>
      <c r="E553" s="18"/>
    </row>
    <row r="554" spans="2:5" x14ac:dyDescent="0.15">
      <c r="B554" s="19" t="str">
        <f t="shared" si="8"/>
        <v>__</v>
      </c>
      <c r="C554" s="18"/>
      <c r="D554" s="18"/>
      <c r="E554" s="18"/>
    </row>
    <row r="555" spans="2:5" x14ac:dyDescent="0.15">
      <c r="B555" s="19" t="str">
        <f t="shared" si="8"/>
        <v>__</v>
      </c>
      <c r="C555" s="18"/>
      <c r="D555" s="18"/>
      <c r="E555" s="18"/>
    </row>
    <row r="556" spans="2:5" x14ac:dyDescent="0.15">
      <c r="B556" s="19" t="str">
        <f t="shared" si="8"/>
        <v>__</v>
      </c>
      <c r="C556" s="18"/>
      <c r="D556" s="18"/>
      <c r="E556" s="18"/>
    </row>
    <row r="557" spans="2:5" x14ac:dyDescent="0.15">
      <c r="B557" s="19" t="str">
        <f t="shared" si="8"/>
        <v>__</v>
      </c>
      <c r="C557" s="18"/>
      <c r="D557" s="18"/>
      <c r="E557" s="18"/>
    </row>
    <row r="558" spans="2:5" x14ac:dyDescent="0.15">
      <c r="B558" s="19" t="str">
        <f t="shared" si="8"/>
        <v>__</v>
      </c>
      <c r="C558" s="18"/>
      <c r="D558" s="18"/>
      <c r="E558" s="18"/>
    </row>
    <row r="559" spans="2:5" x14ac:dyDescent="0.15">
      <c r="B559" s="19" t="str">
        <f t="shared" si="8"/>
        <v>__</v>
      </c>
      <c r="C559" s="18"/>
      <c r="D559" s="18"/>
      <c r="E559" s="18"/>
    </row>
    <row r="560" spans="2:5" x14ac:dyDescent="0.15">
      <c r="B560" s="19" t="str">
        <f t="shared" si="8"/>
        <v>__</v>
      </c>
      <c r="C560" s="18"/>
      <c r="D560" s="18"/>
      <c r="E560" s="18"/>
    </row>
    <row r="561" spans="2:5" x14ac:dyDescent="0.15">
      <c r="B561" s="19" t="str">
        <f t="shared" si="8"/>
        <v>__</v>
      </c>
      <c r="C561" s="18"/>
      <c r="D561" s="18"/>
      <c r="E561" s="18"/>
    </row>
    <row r="562" spans="2:5" x14ac:dyDescent="0.15">
      <c r="B562" s="19" t="str">
        <f t="shared" si="8"/>
        <v>__</v>
      </c>
      <c r="C562" s="18"/>
      <c r="D562" s="18"/>
      <c r="E562" s="18"/>
    </row>
    <row r="563" spans="2:5" x14ac:dyDescent="0.15">
      <c r="B563" s="19" t="str">
        <f t="shared" si="8"/>
        <v>__</v>
      </c>
      <c r="C563" s="18"/>
      <c r="D563" s="18"/>
      <c r="E563" s="18"/>
    </row>
    <row r="564" spans="2:5" x14ac:dyDescent="0.15">
      <c r="B564" s="19" t="str">
        <f t="shared" si="8"/>
        <v>__</v>
      </c>
      <c r="C564" s="18"/>
      <c r="D564" s="18"/>
      <c r="E564" s="18"/>
    </row>
    <row r="565" spans="2:5" x14ac:dyDescent="0.15">
      <c r="B565" s="19" t="str">
        <f t="shared" si="8"/>
        <v>__</v>
      </c>
      <c r="C565" s="18"/>
      <c r="D565" s="18"/>
      <c r="E565" s="18"/>
    </row>
    <row r="566" spans="2:5" x14ac:dyDescent="0.15">
      <c r="B566" s="19" t="str">
        <f t="shared" si="8"/>
        <v>__</v>
      </c>
      <c r="C566" s="18"/>
      <c r="D566" s="18"/>
      <c r="E566" s="18"/>
    </row>
    <row r="567" spans="2:5" x14ac:dyDescent="0.15">
      <c r="B567" s="19" t="str">
        <f t="shared" si="8"/>
        <v>__</v>
      </c>
      <c r="C567" s="18"/>
      <c r="D567" s="18"/>
      <c r="E567" s="18"/>
    </row>
    <row r="568" spans="2:5" x14ac:dyDescent="0.15">
      <c r="B568" s="19" t="str">
        <f t="shared" si="8"/>
        <v>__</v>
      </c>
      <c r="C568" s="18"/>
      <c r="D568" s="18"/>
      <c r="E568" s="18"/>
    </row>
    <row r="569" spans="2:5" x14ac:dyDescent="0.15">
      <c r="B569" s="19" t="str">
        <f t="shared" si="8"/>
        <v>__</v>
      </c>
      <c r="C569" s="18"/>
      <c r="D569" s="18"/>
      <c r="E569" s="18"/>
    </row>
    <row r="570" spans="2:5" x14ac:dyDescent="0.15">
      <c r="B570" s="19" t="str">
        <f t="shared" si="8"/>
        <v>__</v>
      </c>
      <c r="C570" s="18"/>
      <c r="D570" s="18"/>
      <c r="E570" s="18"/>
    </row>
    <row r="571" spans="2:5" x14ac:dyDescent="0.15">
      <c r="B571" s="19" t="str">
        <f t="shared" si="8"/>
        <v>__</v>
      </c>
      <c r="C571" s="18"/>
      <c r="D571" s="18"/>
      <c r="E571" s="18"/>
    </row>
    <row r="572" spans="2:5" x14ac:dyDescent="0.15">
      <c r="B572" s="19" t="str">
        <f t="shared" si="8"/>
        <v>__</v>
      </c>
      <c r="C572" s="18"/>
      <c r="D572" s="18"/>
      <c r="E572" s="18"/>
    </row>
    <row r="573" spans="2:5" x14ac:dyDescent="0.15">
      <c r="B573" s="19" t="str">
        <f t="shared" si="8"/>
        <v>__</v>
      </c>
      <c r="C573" s="18"/>
      <c r="D573" s="18"/>
      <c r="E573" s="18"/>
    </row>
    <row r="574" spans="2:5" x14ac:dyDescent="0.15">
      <c r="B574" s="19" t="str">
        <f t="shared" si="8"/>
        <v>__</v>
      </c>
      <c r="C574" s="18"/>
      <c r="D574" s="18"/>
      <c r="E574" s="18"/>
    </row>
    <row r="575" spans="2:5" x14ac:dyDescent="0.15">
      <c r="B575" s="19" t="str">
        <f t="shared" si="8"/>
        <v>__</v>
      </c>
      <c r="C575" s="18"/>
      <c r="D575" s="18"/>
      <c r="E575" s="18"/>
    </row>
    <row r="576" spans="2:5" x14ac:dyDescent="0.15">
      <c r="B576" s="19" t="str">
        <f t="shared" si="8"/>
        <v>__</v>
      </c>
      <c r="C576" s="18"/>
      <c r="D576" s="18"/>
      <c r="E576" s="18"/>
    </row>
    <row r="577" spans="2:5" x14ac:dyDescent="0.15">
      <c r="B577" s="19" t="str">
        <f t="shared" si="8"/>
        <v>__</v>
      </c>
      <c r="C577" s="18"/>
      <c r="D577" s="18"/>
      <c r="E577" s="18"/>
    </row>
    <row r="578" spans="2:5" x14ac:dyDescent="0.15">
      <c r="B578" s="19" t="str">
        <f t="shared" si="8"/>
        <v>__</v>
      </c>
      <c r="C578" s="18"/>
      <c r="D578" s="18"/>
      <c r="E578" s="18"/>
    </row>
    <row r="579" spans="2:5" x14ac:dyDescent="0.15">
      <c r="B579" s="19" t="str">
        <f t="shared" ref="B579:B642" si="9">C579&amp;"_"&amp;D579&amp;"_"&amp;E579</f>
        <v>__</v>
      </c>
      <c r="C579" s="18"/>
      <c r="D579" s="18"/>
      <c r="E579" s="18"/>
    </row>
    <row r="580" spans="2:5" x14ac:dyDescent="0.15">
      <c r="B580" s="19" t="str">
        <f t="shared" si="9"/>
        <v>__</v>
      </c>
      <c r="C580" s="18"/>
      <c r="D580" s="18"/>
      <c r="E580" s="18"/>
    </row>
    <row r="581" spans="2:5" x14ac:dyDescent="0.15">
      <c r="B581" s="19" t="str">
        <f t="shared" si="9"/>
        <v>__</v>
      </c>
      <c r="C581" s="18"/>
      <c r="D581" s="18"/>
      <c r="E581" s="18"/>
    </row>
    <row r="582" spans="2:5" x14ac:dyDescent="0.15">
      <c r="B582" s="19" t="str">
        <f t="shared" si="9"/>
        <v>__</v>
      </c>
      <c r="C582" s="18"/>
      <c r="D582" s="18"/>
      <c r="E582" s="18"/>
    </row>
    <row r="583" spans="2:5" x14ac:dyDescent="0.15">
      <c r="B583" s="19" t="str">
        <f t="shared" si="9"/>
        <v>__</v>
      </c>
      <c r="C583" s="18"/>
      <c r="D583" s="18"/>
      <c r="E583" s="18"/>
    </row>
    <row r="584" spans="2:5" x14ac:dyDescent="0.15">
      <c r="B584" s="19" t="str">
        <f t="shared" si="9"/>
        <v>__</v>
      </c>
      <c r="C584" s="18"/>
      <c r="D584" s="18"/>
      <c r="E584" s="18"/>
    </row>
    <row r="585" spans="2:5" x14ac:dyDescent="0.15">
      <c r="B585" s="19" t="str">
        <f t="shared" si="9"/>
        <v>__</v>
      </c>
      <c r="C585" s="18"/>
      <c r="D585" s="18"/>
      <c r="E585" s="18"/>
    </row>
    <row r="586" spans="2:5" x14ac:dyDescent="0.15">
      <c r="B586" s="19" t="str">
        <f t="shared" si="9"/>
        <v>__</v>
      </c>
      <c r="C586" s="18"/>
      <c r="D586" s="18"/>
      <c r="E586" s="18"/>
    </row>
    <row r="587" spans="2:5" x14ac:dyDescent="0.15">
      <c r="B587" s="19" t="str">
        <f t="shared" si="9"/>
        <v>__</v>
      </c>
      <c r="C587" s="18"/>
      <c r="D587" s="18"/>
      <c r="E587" s="18"/>
    </row>
    <row r="588" spans="2:5" x14ac:dyDescent="0.15">
      <c r="B588" s="19" t="str">
        <f t="shared" si="9"/>
        <v>__</v>
      </c>
      <c r="C588" s="18"/>
      <c r="D588" s="18"/>
      <c r="E588" s="18"/>
    </row>
    <row r="589" spans="2:5" x14ac:dyDescent="0.15">
      <c r="B589" s="19" t="str">
        <f t="shared" si="9"/>
        <v>__</v>
      </c>
      <c r="C589" s="18"/>
      <c r="D589" s="18"/>
      <c r="E589" s="18"/>
    </row>
    <row r="590" spans="2:5" x14ac:dyDescent="0.15">
      <c r="B590" s="19" t="str">
        <f t="shared" si="9"/>
        <v>__</v>
      </c>
      <c r="C590" s="18"/>
      <c r="D590" s="18"/>
      <c r="E590" s="18"/>
    </row>
    <row r="591" spans="2:5" x14ac:dyDescent="0.15">
      <c r="B591" s="19" t="str">
        <f t="shared" si="9"/>
        <v>__</v>
      </c>
      <c r="C591" s="18"/>
      <c r="D591" s="18"/>
      <c r="E591" s="18"/>
    </row>
    <row r="592" spans="2:5" x14ac:dyDescent="0.15">
      <c r="B592" s="19" t="str">
        <f t="shared" si="9"/>
        <v>__</v>
      </c>
      <c r="C592" s="18"/>
      <c r="D592" s="18"/>
      <c r="E592" s="18"/>
    </row>
    <row r="593" spans="2:5" x14ac:dyDescent="0.15">
      <c r="B593" s="19" t="str">
        <f t="shared" si="9"/>
        <v>__</v>
      </c>
      <c r="C593" s="18"/>
      <c r="D593" s="18"/>
      <c r="E593" s="18"/>
    </row>
    <row r="594" spans="2:5" x14ac:dyDescent="0.15">
      <c r="B594" s="19" t="str">
        <f t="shared" si="9"/>
        <v>__</v>
      </c>
      <c r="C594" s="18"/>
      <c r="D594" s="18"/>
      <c r="E594" s="18"/>
    </row>
    <row r="595" spans="2:5" x14ac:dyDescent="0.15">
      <c r="B595" s="19" t="str">
        <f t="shared" si="9"/>
        <v>__</v>
      </c>
      <c r="C595" s="18"/>
      <c r="D595" s="18"/>
      <c r="E595" s="18"/>
    </row>
    <row r="596" spans="2:5" x14ac:dyDescent="0.15">
      <c r="B596" s="19" t="str">
        <f t="shared" si="9"/>
        <v>__</v>
      </c>
      <c r="C596" s="18"/>
      <c r="D596" s="18"/>
      <c r="E596" s="18"/>
    </row>
    <row r="597" spans="2:5" x14ac:dyDescent="0.15">
      <c r="B597" s="19" t="str">
        <f t="shared" si="9"/>
        <v>__</v>
      </c>
      <c r="C597" s="18"/>
      <c r="D597" s="18"/>
      <c r="E597" s="18"/>
    </row>
    <row r="598" spans="2:5" x14ac:dyDescent="0.15">
      <c r="B598" s="19" t="str">
        <f t="shared" si="9"/>
        <v>__</v>
      </c>
      <c r="C598" s="18"/>
      <c r="D598" s="18"/>
      <c r="E598" s="18"/>
    </row>
    <row r="599" spans="2:5" x14ac:dyDescent="0.15">
      <c r="B599" s="19" t="str">
        <f t="shared" si="9"/>
        <v>__</v>
      </c>
      <c r="C599" s="18"/>
      <c r="D599" s="18"/>
      <c r="E599" s="18"/>
    </row>
    <row r="600" spans="2:5" x14ac:dyDescent="0.15">
      <c r="B600" s="19" t="str">
        <f t="shared" si="9"/>
        <v>__</v>
      </c>
      <c r="C600" s="18"/>
      <c r="D600" s="18"/>
      <c r="E600" s="18"/>
    </row>
    <row r="601" spans="2:5" x14ac:dyDescent="0.15">
      <c r="B601" s="19" t="str">
        <f t="shared" si="9"/>
        <v>__</v>
      </c>
      <c r="C601" s="18"/>
      <c r="D601" s="18"/>
      <c r="E601" s="18"/>
    </row>
    <row r="602" spans="2:5" x14ac:dyDescent="0.15">
      <c r="B602" s="19" t="str">
        <f t="shared" si="9"/>
        <v>__</v>
      </c>
      <c r="C602" s="18"/>
      <c r="D602" s="18"/>
      <c r="E602" s="18"/>
    </row>
    <row r="603" spans="2:5" x14ac:dyDescent="0.15">
      <c r="B603" s="19" t="str">
        <f t="shared" si="9"/>
        <v>__</v>
      </c>
      <c r="C603" s="18"/>
      <c r="D603" s="18"/>
      <c r="E603" s="18"/>
    </row>
    <row r="604" spans="2:5" x14ac:dyDescent="0.15">
      <c r="B604" s="19" t="str">
        <f t="shared" si="9"/>
        <v>__</v>
      </c>
      <c r="C604" s="18"/>
      <c r="D604" s="18"/>
      <c r="E604" s="18"/>
    </row>
    <row r="605" spans="2:5" x14ac:dyDescent="0.15">
      <c r="B605" s="19" t="str">
        <f t="shared" si="9"/>
        <v>__</v>
      </c>
      <c r="C605" s="18"/>
      <c r="D605" s="18"/>
      <c r="E605" s="18"/>
    </row>
    <row r="606" spans="2:5" x14ac:dyDescent="0.15">
      <c r="B606" s="19" t="str">
        <f t="shared" si="9"/>
        <v>__</v>
      </c>
      <c r="C606" s="18"/>
      <c r="D606" s="18"/>
      <c r="E606" s="18"/>
    </row>
    <row r="607" spans="2:5" x14ac:dyDescent="0.15">
      <c r="B607" s="19" t="str">
        <f t="shared" si="9"/>
        <v>__</v>
      </c>
      <c r="C607" s="18"/>
      <c r="D607" s="18"/>
      <c r="E607" s="18"/>
    </row>
    <row r="608" spans="2:5" x14ac:dyDescent="0.15">
      <c r="B608" s="19" t="str">
        <f t="shared" si="9"/>
        <v>__</v>
      </c>
      <c r="C608" s="18"/>
      <c r="D608" s="18"/>
      <c r="E608" s="18"/>
    </row>
    <row r="609" spans="2:5" x14ac:dyDescent="0.15">
      <c r="B609" s="19" t="str">
        <f t="shared" si="9"/>
        <v>__</v>
      </c>
      <c r="C609" s="18"/>
      <c r="D609" s="18"/>
      <c r="E609" s="18"/>
    </row>
    <row r="610" spans="2:5" x14ac:dyDescent="0.15">
      <c r="B610" s="19" t="str">
        <f t="shared" si="9"/>
        <v>__</v>
      </c>
      <c r="C610" s="18"/>
      <c r="D610" s="18"/>
      <c r="E610" s="18"/>
    </row>
    <row r="611" spans="2:5" x14ac:dyDescent="0.15">
      <c r="B611" s="19" t="str">
        <f t="shared" si="9"/>
        <v>__</v>
      </c>
      <c r="C611" s="18"/>
      <c r="D611" s="18"/>
      <c r="E611" s="18"/>
    </row>
    <row r="612" spans="2:5" x14ac:dyDescent="0.15">
      <c r="B612" s="19" t="str">
        <f t="shared" si="9"/>
        <v>__</v>
      </c>
      <c r="C612" s="18"/>
      <c r="D612" s="18"/>
      <c r="E612" s="18"/>
    </row>
    <row r="613" spans="2:5" x14ac:dyDescent="0.15">
      <c r="B613" s="19" t="str">
        <f t="shared" si="9"/>
        <v>__</v>
      </c>
      <c r="C613" s="18"/>
      <c r="D613" s="18"/>
      <c r="E613" s="18"/>
    </row>
    <row r="614" spans="2:5" x14ac:dyDescent="0.15">
      <c r="B614" s="19" t="str">
        <f t="shared" si="9"/>
        <v>__</v>
      </c>
      <c r="C614" s="18"/>
      <c r="D614" s="18"/>
      <c r="E614" s="18"/>
    </row>
    <row r="615" spans="2:5" x14ac:dyDescent="0.15">
      <c r="B615" s="19" t="str">
        <f t="shared" si="9"/>
        <v>__</v>
      </c>
      <c r="C615" s="18"/>
      <c r="D615" s="18"/>
      <c r="E615" s="18"/>
    </row>
    <row r="616" spans="2:5" x14ac:dyDescent="0.15">
      <c r="B616" s="19" t="str">
        <f t="shared" si="9"/>
        <v>__</v>
      </c>
      <c r="C616" s="18"/>
      <c r="D616" s="18"/>
      <c r="E616" s="18"/>
    </row>
    <row r="617" spans="2:5" x14ac:dyDescent="0.15">
      <c r="B617" s="19" t="str">
        <f t="shared" si="9"/>
        <v>__</v>
      </c>
      <c r="C617" s="18"/>
      <c r="D617" s="18"/>
      <c r="E617" s="18"/>
    </row>
    <row r="618" spans="2:5" x14ac:dyDescent="0.15">
      <c r="B618" s="19" t="str">
        <f t="shared" si="9"/>
        <v>__</v>
      </c>
      <c r="C618" s="18"/>
      <c r="D618" s="18"/>
      <c r="E618" s="18"/>
    </row>
    <row r="619" spans="2:5" x14ac:dyDescent="0.15">
      <c r="B619" s="19" t="str">
        <f t="shared" si="9"/>
        <v>__</v>
      </c>
      <c r="C619" s="18"/>
      <c r="D619" s="18"/>
      <c r="E619" s="18"/>
    </row>
    <row r="620" spans="2:5" x14ac:dyDescent="0.15">
      <c r="B620" s="19" t="str">
        <f t="shared" si="9"/>
        <v>__</v>
      </c>
      <c r="C620" s="18"/>
      <c r="D620" s="18"/>
      <c r="E620" s="18"/>
    </row>
    <row r="621" spans="2:5" x14ac:dyDescent="0.15">
      <c r="B621" s="19" t="str">
        <f t="shared" si="9"/>
        <v>__</v>
      </c>
      <c r="C621" s="18"/>
      <c r="D621" s="18"/>
      <c r="E621" s="18"/>
    </row>
    <row r="622" spans="2:5" x14ac:dyDescent="0.15">
      <c r="B622" s="19" t="str">
        <f t="shared" si="9"/>
        <v>__</v>
      </c>
      <c r="C622" s="18"/>
      <c r="D622" s="18"/>
      <c r="E622" s="18"/>
    </row>
    <row r="623" spans="2:5" x14ac:dyDescent="0.15">
      <c r="B623" s="19" t="str">
        <f t="shared" si="9"/>
        <v>__</v>
      </c>
      <c r="C623" s="18"/>
      <c r="D623" s="18"/>
      <c r="E623" s="18"/>
    </row>
    <row r="624" spans="2:5" x14ac:dyDescent="0.15">
      <c r="B624" s="19" t="str">
        <f t="shared" si="9"/>
        <v>__</v>
      </c>
      <c r="C624" s="18"/>
      <c r="D624" s="18"/>
      <c r="E624" s="18"/>
    </row>
    <row r="625" spans="2:5" x14ac:dyDescent="0.15">
      <c r="B625" s="19" t="str">
        <f t="shared" si="9"/>
        <v>__</v>
      </c>
      <c r="C625" s="18"/>
      <c r="D625" s="18"/>
      <c r="E625" s="18"/>
    </row>
    <row r="626" spans="2:5" x14ac:dyDescent="0.15">
      <c r="B626" s="19" t="str">
        <f t="shared" si="9"/>
        <v>__</v>
      </c>
      <c r="C626" s="18"/>
      <c r="D626" s="18"/>
      <c r="E626" s="18"/>
    </row>
    <row r="627" spans="2:5" x14ac:dyDescent="0.15">
      <c r="B627" s="19" t="str">
        <f t="shared" si="9"/>
        <v>__</v>
      </c>
      <c r="C627" s="18"/>
      <c r="D627" s="18"/>
      <c r="E627" s="18"/>
    </row>
    <row r="628" spans="2:5" x14ac:dyDescent="0.15">
      <c r="B628" s="19" t="str">
        <f t="shared" si="9"/>
        <v>__</v>
      </c>
      <c r="C628" s="18"/>
      <c r="D628" s="18"/>
      <c r="E628" s="18"/>
    </row>
    <row r="629" spans="2:5" x14ac:dyDescent="0.15">
      <c r="B629" s="19" t="str">
        <f t="shared" si="9"/>
        <v>__</v>
      </c>
      <c r="C629" s="18"/>
      <c r="D629" s="18"/>
      <c r="E629" s="18"/>
    </row>
    <row r="630" spans="2:5" x14ac:dyDescent="0.15">
      <c r="B630" s="19" t="str">
        <f t="shared" si="9"/>
        <v>__</v>
      </c>
      <c r="C630" s="18"/>
      <c r="D630" s="18"/>
      <c r="E630" s="18"/>
    </row>
    <row r="631" spans="2:5" x14ac:dyDescent="0.15">
      <c r="B631" s="19" t="str">
        <f t="shared" si="9"/>
        <v>__</v>
      </c>
      <c r="C631" s="18"/>
      <c r="D631" s="18"/>
      <c r="E631" s="18"/>
    </row>
    <row r="632" spans="2:5" x14ac:dyDescent="0.15">
      <c r="B632" s="19" t="str">
        <f t="shared" si="9"/>
        <v>__</v>
      </c>
      <c r="C632" s="18"/>
      <c r="D632" s="18"/>
      <c r="E632" s="18"/>
    </row>
    <row r="633" spans="2:5" x14ac:dyDescent="0.15">
      <c r="B633" s="19" t="str">
        <f t="shared" si="9"/>
        <v>__</v>
      </c>
      <c r="C633" s="18"/>
      <c r="D633" s="18"/>
      <c r="E633" s="18"/>
    </row>
    <row r="634" spans="2:5" x14ac:dyDescent="0.15">
      <c r="B634" s="19" t="str">
        <f t="shared" si="9"/>
        <v>__</v>
      </c>
      <c r="C634" s="18"/>
      <c r="D634" s="18"/>
      <c r="E634" s="18"/>
    </row>
    <row r="635" spans="2:5" x14ac:dyDescent="0.15">
      <c r="B635" s="19" t="str">
        <f t="shared" si="9"/>
        <v>__</v>
      </c>
      <c r="C635" s="18"/>
      <c r="D635" s="18"/>
      <c r="E635" s="18"/>
    </row>
    <row r="636" spans="2:5" x14ac:dyDescent="0.15">
      <c r="B636" s="19" t="str">
        <f t="shared" si="9"/>
        <v>__</v>
      </c>
      <c r="C636" s="18"/>
      <c r="D636" s="18"/>
      <c r="E636" s="18"/>
    </row>
    <row r="637" spans="2:5" x14ac:dyDescent="0.15">
      <c r="B637" s="19" t="str">
        <f t="shared" si="9"/>
        <v>__</v>
      </c>
      <c r="C637" s="18"/>
      <c r="D637" s="18"/>
      <c r="E637" s="18"/>
    </row>
    <row r="638" spans="2:5" x14ac:dyDescent="0.15">
      <c r="B638" s="19" t="str">
        <f t="shared" si="9"/>
        <v>__</v>
      </c>
      <c r="C638" s="18"/>
      <c r="D638" s="18"/>
      <c r="E638" s="18"/>
    </row>
    <row r="639" spans="2:5" x14ac:dyDescent="0.15">
      <c r="B639" s="19" t="str">
        <f t="shared" si="9"/>
        <v>__</v>
      </c>
      <c r="C639" s="18"/>
      <c r="D639" s="18"/>
      <c r="E639" s="18"/>
    </row>
    <row r="640" spans="2:5" x14ac:dyDescent="0.15">
      <c r="B640" s="19" t="str">
        <f t="shared" si="9"/>
        <v>__</v>
      </c>
      <c r="C640" s="18"/>
      <c r="D640" s="18"/>
      <c r="E640" s="18"/>
    </row>
    <row r="641" spans="2:5" x14ac:dyDescent="0.15">
      <c r="B641" s="19" t="str">
        <f t="shared" si="9"/>
        <v>__</v>
      </c>
      <c r="C641" s="18"/>
      <c r="D641" s="18"/>
      <c r="E641" s="18"/>
    </row>
    <row r="642" spans="2:5" x14ac:dyDescent="0.15">
      <c r="B642" s="19" t="str">
        <f t="shared" si="9"/>
        <v>__</v>
      </c>
      <c r="C642" s="18"/>
      <c r="D642" s="18"/>
      <c r="E642" s="18"/>
    </row>
    <row r="643" spans="2:5" x14ac:dyDescent="0.15">
      <c r="B643" s="19" t="str">
        <f t="shared" ref="B643:B706" si="10">C643&amp;"_"&amp;D643&amp;"_"&amp;E643</f>
        <v>__</v>
      </c>
      <c r="C643" s="18"/>
      <c r="D643" s="18"/>
      <c r="E643" s="18"/>
    </row>
    <row r="644" spans="2:5" x14ac:dyDescent="0.15">
      <c r="B644" s="19" t="str">
        <f t="shared" si="10"/>
        <v>__</v>
      </c>
      <c r="C644" s="18"/>
      <c r="D644" s="18"/>
      <c r="E644" s="18"/>
    </row>
    <row r="645" spans="2:5" x14ac:dyDescent="0.15">
      <c r="B645" s="19" t="str">
        <f t="shared" si="10"/>
        <v>__</v>
      </c>
      <c r="C645" s="18"/>
      <c r="D645" s="18"/>
      <c r="E645" s="18"/>
    </row>
    <row r="646" spans="2:5" x14ac:dyDescent="0.15">
      <c r="B646" s="19" t="str">
        <f t="shared" si="10"/>
        <v>__</v>
      </c>
      <c r="C646" s="18"/>
      <c r="D646" s="18"/>
      <c r="E646" s="18"/>
    </row>
    <row r="647" spans="2:5" x14ac:dyDescent="0.15">
      <c r="B647" s="19" t="str">
        <f t="shared" si="10"/>
        <v>__</v>
      </c>
      <c r="C647" s="18"/>
      <c r="D647" s="18"/>
      <c r="E647" s="18"/>
    </row>
    <row r="648" spans="2:5" x14ac:dyDescent="0.15">
      <c r="B648" s="19" t="str">
        <f t="shared" si="10"/>
        <v>__</v>
      </c>
      <c r="C648" s="18"/>
      <c r="D648" s="18"/>
      <c r="E648" s="18"/>
    </row>
    <row r="649" spans="2:5" x14ac:dyDescent="0.15">
      <c r="B649" s="19" t="str">
        <f t="shared" si="10"/>
        <v>__</v>
      </c>
      <c r="C649" s="18"/>
      <c r="D649" s="18"/>
      <c r="E649" s="18"/>
    </row>
    <row r="650" spans="2:5" x14ac:dyDescent="0.15">
      <c r="B650" s="19" t="str">
        <f t="shared" si="10"/>
        <v>__</v>
      </c>
      <c r="C650" s="18"/>
      <c r="D650" s="18"/>
      <c r="E650" s="18"/>
    </row>
    <row r="651" spans="2:5" x14ac:dyDescent="0.15">
      <c r="B651" s="19" t="str">
        <f t="shared" si="10"/>
        <v>__</v>
      </c>
      <c r="C651" s="18"/>
      <c r="D651" s="18"/>
      <c r="E651" s="18"/>
    </row>
    <row r="652" spans="2:5" x14ac:dyDescent="0.15">
      <c r="B652" s="19" t="str">
        <f t="shared" si="10"/>
        <v>__</v>
      </c>
      <c r="C652" s="18"/>
      <c r="D652" s="18"/>
      <c r="E652" s="18"/>
    </row>
    <row r="653" spans="2:5" x14ac:dyDescent="0.15">
      <c r="B653" s="19" t="str">
        <f t="shared" si="10"/>
        <v>__</v>
      </c>
      <c r="C653" s="18"/>
      <c r="D653" s="18"/>
      <c r="E653" s="18"/>
    </row>
    <row r="654" spans="2:5" x14ac:dyDescent="0.15">
      <c r="B654" s="19" t="str">
        <f t="shared" si="10"/>
        <v>__</v>
      </c>
      <c r="C654" s="18"/>
      <c r="D654" s="18"/>
      <c r="E654" s="18"/>
    </row>
    <row r="655" spans="2:5" x14ac:dyDescent="0.15">
      <c r="B655" s="19" t="str">
        <f t="shared" si="10"/>
        <v>__</v>
      </c>
      <c r="C655" s="18"/>
      <c r="D655" s="18"/>
      <c r="E655" s="18"/>
    </row>
    <row r="656" spans="2:5" x14ac:dyDescent="0.15">
      <c r="B656" s="19" t="str">
        <f t="shared" si="10"/>
        <v>__</v>
      </c>
      <c r="C656" s="18"/>
      <c r="D656" s="18"/>
      <c r="E656" s="18"/>
    </row>
    <row r="657" spans="2:5" x14ac:dyDescent="0.15">
      <c r="B657" s="19" t="str">
        <f t="shared" si="10"/>
        <v>__</v>
      </c>
      <c r="C657" s="18"/>
      <c r="D657" s="18"/>
      <c r="E657" s="18"/>
    </row>
    <row r="658" spans="2:5" x14ac:dyDescent="0.15">
      <c r="B658" s="19" t="str">
        <f t="shared" si="10"/>
        <v>__</v>
      </c>
      <c r="C658" s="18"/>
      <c r="D658" s="18"/>
      <c r="E658" s="18"/>
    </row>
    <row r="659" spans="2:5" x14ac:dyDescent="0.15">
      <c r="B659" s="19" t="str">
        <f t="shared" si="10"/>
        <v>__</v>
      </c>
      <c r="C659" s="18"/>
      <c r="D659" s="18"/>
      <c r="E659" s="18"/>
    </row>
    <row r="660" spans="2:5" x14ac:dyDescent="0.15">
      <c r="B660" s="19" t="str">
        <f t="shared" si="10"/>
        <v>__</v>
      </c>
      <c r="C660" s="18"/>
      <c r="D660" s="18"/>
      <c r="E660" s="18"/>
    </row>
    <row r="661" spans="2:5" x14ac:dyDescent="0.15">
      <c r="B661" s="19" t="str">
        <f t="shared" si="10"/>
        <v>__</v>
      </c>
      <c r="C661" s="18"/>
      <c r="D661" s="18"/>
      <c r="E661" s="18"/>
    </row>
    <row r="662" spans="2:5" x14ac:dyDescent="0.15">
      <c r="B662" s="19" t="str">
        <f t="shared" si="10"/>
        <v>__</v>
      </c>
      <c r="C662" s="18"/>
      <c r="D662" s="18"/>
      <c r="E662" s="18"/>
    </row>
    <row r="663" spans="2:5" x14ac:dyDescent="0.15">
      <c r="B663" s="19" t="str">
        <f t="shared" si="10"/>
        <v>__</v>
      </c>
      <c r="C663" s="18"/>
      <c r="D663" s="18"/>
      <c r="E663" s="18"/>
    </row>
    <row r="664" spans="2:5" x14ac:dyDescent="0.15">
      <c r="B664" s="19" t="str">
        <f t="shared" si="10"/>
        <v>__</v>
      </c>
      <c r="C664" s="18"/>
      <c r="D664" s="18"/>
      <c r="E664" s="18"/>
    </row>
    <row r="665" spans="2:5" x14ac:dyDescent="0.15">
      <c r="B665" s="19" t="str">
        <f t="shared" si="10"/>
        <v>__</v>
      </c>
      <c r="C665" s="18"/>
      <c r="D665" s="18"/>
      <c r="E665" s="18"/>
    </row>
    <row r="666" spans="2:5" x14ac:dyDescent="0.15">
      <c r="B666" s="19" t="str">
        <f t="shared" si="10"/>
        <v>__</v>
      </c>
      <c r="C666" s="18"/>
      <c r="D666" s="18"/>
      <c r="E666" s="18"/>
    </row>
    <row r="667" spans="2:5" x14ac:dyDescent="0.15">
      <c r="B667" s="19" t="str">
        <f t="shared" si="10"/>
        <v>__</v>
      </c>
      <c r="C667" s="18"/>
      <c r="D667" s="18"/>
      <c r="E667" s="18"/>
    </row>
    <row r="668" spans="2:5" x14ac:dyDescent="0.15">
      <c r="B668" s="19" t="str">
        <f t="shared" si="10"/>
        <v>__</v>
      </c>
      <c r="C668" s="18"/>
      <c r="D668" s="18"/>
      <c r="E668" s="18"/>
    </row>
    <row r="669" spans="2:5" x14ac:dyDescent="0.15">
      <c r="B669" s="19" t="str">
        <f t="shared" si="10"/>
        <v>__</v>
      </c>
      <c r="C669" s="18"/>
      <c r="D669" s="18"/>
      <c r="E669" s="18"/>
    </row>
    <row r="670" spans="2:5" x14ac:dyDescent="0.15">
      <c r="B670" s="19" t="str">
        <f t="shared" si="10"/>
        <v>__</v>
      </c>
      <c r="C670" s="18"/>
      <c r="D670" s="18"/>
      <c r="E670" s="18"/>
    </row>
    <row r="671" spans="2:5" x14ac:dyDescent="0.15">
      <c r="B671" s="19" t="str">
        <f t="shared" si="10"/>
        <v>__</v>
      </c>
      <c r="C671" s="18"/>
      <c r="D671" s="18"/>
      <c r="E671" s="18"/>
    </row>
    <row r="672" spans="2:5" x14ac:dyDescent="0.15">
      <c r="B672" s="19" t="str">
        <f t="shared" si="10"/>
        <v>__</v>
      </c>
      <c r="C672" s="18"/>
      <c r="D672" s="18"/>
      <c r="E672" s="18"/>
    </row>
    <row r="673" spans="2:5" x14ac:dyDescent="0.15">
      <c r="B673" s="19" t="str">
        <f t="shared" si="10"/>
        <v>__</v>
      </c>
      <c r="C673" s="18"/>
      <c r="D673" s="18"/>
      <c r="E673" s="18"/>
    </row>
    <row r="674" spans="2:5" x14ac:dyDescent="0.15">
      <c r="B674" s="19" t="str">
        <f t="shared" si="10"/>
        <v>__</v>
      </c>
      <c r="C674" s="18"/>
      <c r="D674" s="18"/>
      <c r="E674" s="18"/>
    </row>
    <row r="675" spans="2:5" x14ac:dyDescent="0.15">
      <c r="B675" s="19" t="str">
        <f t="shared" si="10"/>
        <v>__</v>
      </c>
      <c r="C675" s="18"/>
      <c r="D675" s="18"/>
      <c r="E675" s="18"/>
    </row>
    <row r="676" spans="2:5" x14ac:dyDescent="0.15">
      <c r="B676" s="19" t="str">
        <f t="shared" si="10"/>
        <v>__</v>
      </c>
      <c r="C676" s="18"/>
      <c r="D676" s="18"/>
      <c r="E676" s="18"/>
    </row>
    <row r="677" spans="2:5" x14ac:dyDescent="0.15">
      <c r="B677" s="19" t="str">
        <f t="shared" si="10"/>
        <v>__</v>
      </c>
      <c r="C677" s="18"/>
      <c r="D677" s="18"/>
      <c r="E677" s="18"/>
    </row>
    <row r="678" spans="2:5" x14ac:dyDescent="0.15">
      <c r="B678" s="19" t="str">
        <f t="shared" si="10"/>
        <v>__</v>
      </c>
      <c r="C678" s="18"/>
      <c r="D678" s="18"/>
      <c r="E678" s="18"/>
    </row>
    <row r="679" spans="2:5" x14ac:dyDescent="0.15">
      <c r="B679" s="19" t="str">
        <f t="shared" si="10"/>
        <v>__</v>
      </c>
      <c r="C679" s="18"/>
      <c r="D679" s="18"/>
      <c r="E679" s="18"/>
    </row>
    <row r="680" spans="2:5" x14ac:dyDescent="0.15">
      <c r="B680" s="19" t="str">
        <f t="shared" si="10"/>
        <v>__</v>
      </c>
      <c r="C680" s="18"/>
      <c r="D680" s="18"/>
      <c r="E680" s="18"/>
    </row>
    <row r="681" spans="2:5" x14ac:dyDescent="0.15">
      <c r="B681" s="19" t="str">
        <f t="shared" si="10"/>
        <v>__</v>
      </c>
      <c r="C681" s="18"/>
      <c r="D681" s="18"/>
      <c r="E681" s="18"/>
    </row>
    <row r="682" spans="2:5" x14ac:dyDescent="0.15">
      <c r="B682" s="19" t="str">
        <f t="shared" si="10"/>
        <v>__</v>
      </c>
      <c r="C682" s="18"/>
      <c r="D682" s="18"/>
      <c r="E682" s="18"/>
    </row>
    <row r="683" spans="2:5" x14ac:dyDescent="0.15">
      <c r="B683" s="19" t="str">
        <f t="shared" si="10"/>
        <v>__</v>
      </c>
      <c r="C683" s="18"/>
      <c r="D683" s="18"/>
      <c r="E683" s="18"/>
    </row>
    <row r="684" spans="2:5" x14ac:dyDescent="0.15">
      <c r="B684" s="19" t="str">
        <f t="shared" si="10"/>
        <v>__</v>
      </c>
      <c r="C684" s="18"/>
      <c r="D684" s="18"/>
      <c r="E684" s="18"/>
    </row>
    <row r="685" spans="2:5" x14ac:dyDescent="0.15">
      <c r="B685" s="19" t="str">
        <f t="shared" si="10"/>
        <v>__</v>
      </c>
      <c r="C685" s="18"/>
      <c r="D685" s="18"/>
      <c r="E685" s="18"/>
    </row>
    <row r="686" spans="2:5" x14ac:dyDescent="0.15">
      <c r="B686" s="19" t="str">
        <f t="shared" si="10"/>
        <v>__</v>
      </c>
      <c r="C686" s="18"/>
      <c r="D686" s="18"/>
      <c r="E686" s="18"/>
    </row>
    <row r="687" spans="2:5" x14ac:dyDescent="0.15">
      <c r="B687" s="19" t="str">
        <f t="shared" si="10"/>
        <v>__</v>
      </c>
      <c r="C687" s="18"/>
      <c r="D687" s="18"/>
      <c r="E687" s="18"/>
    </row>
    <row r="688" spans="2:5" x14ac:dyDescent="0.15">
      <c r="B688" s="19" t="str">
        <f t="shared" si="10"/>
        <v>__</v>
      </c>
      <c r="C688" s="18"/>
      <c r="D688" s="18"/>
      <c r="E688" s="18"/>
    </row>
    <row r="689" spans="2:5" x14ac:dyDescent="0.15">
      <c r="B689" s="19" t="str">
        <f t="shared" si="10"/>
        <v>__</v>
      </c>
      <c r="C689" s="18"/>
      <c r="D689" s="18"/>
      <c r="E689" s="18"/>
    </row>
    <row r="690" spans="2:5" x14ac:dyDescent="0.15">
      <c r="B690" s="19" t="str">
        <f t="shared" si="10"/>
        <v>__</v>
      </c>
      <c r="C690" s="18"/>
      <c r="D690" s="18"/>
      <c r="E690" s="18"/>
    </row>
    <row r="691" spans="2:5" x14ac:dyDescent="0.15">
      <c r="B691" s="19" t="str">
        <f t="shared" si="10"/>
        <v>__</v>
      </c>
      <c r="C691" s="18"/>
      <c r="D691" s="18"/>
      <c r="E691" s="18"/>
    </row>
    <row r="692" spans="2:5" x14ac:dyDescent="0.15">
      <c r="B692" s="19" t="str">
        <f t="shared" si="10"/>
        <v>__</v>
      </c>
      <c r="C692" s="18"/>
      <c r="D692" s="18"/>
      <c r="E692" s="18"/>
    </row>
    <row r="693" spans="2:5" x14ac:dyDescent="0.15">
      <c r="B693" s="19" t="str">
        <f t="shared" si="10"/>
        <v>__</v>
      </c>
      <c r="C693" s="18"/>
      <c r="D693" s="18"/>
      <c r="E693" s="18"/>
    </row>
    <row r="694" spans="2:5" x14ac:dyDescent="0.15">
      <c r="B694" s="19" t="str">
        <f t="shared" si="10"/>
        <v>__</v>
      </c>
      <c r="C694" s="18"/>
      <c r="D694" s="18"/>
      <c r="E694" s="18"/>
    </row>
    <row r="695" spans="2:5" x14ac:dyDescent="0.15">
      <c r="B695" s="19" t="str">
        <f t="shared" si="10"/>
        <v>__</v>
      </c>
      <c r="C695" s="18"/>
      <c r="D695" s="18"/>
      <c r="E695" s="18"/>
    </row>
    <row r="696" spans="2:5" x14ac:dyDescent="0.15">
      <c r="B696" s="19" t="str">
        <f t="shared" si="10"/>
        <v>__</v>
      </c>
      <c r="C696" s="18"/>
      <c r="D696" s="18"/>
      <c r="E696" s="18"/>
    </row>
    <row r="697" spans="2:5" x14ac:dyDescent="0.15">
      <c r="B697" s="19" t="str">
        <f t="shared" si="10"/>
        <v>__</v>
      </c>
      <c r="C697" s="18"/>
      <c r="D697" s="18"/>
      <c r="E697" s="18"/>
    </row>
    <row r="698" spans="2:5" x14ac:dyDescent="0.15">
      <c r="B698" s="19" t="str">
        <f t="shared" si="10"/>
        <v>__</v>
      </c>
      <c r="C698" s="18"/>
      <c r="D698" s="18"/>
      <c r="E698" s="18"/>
    </row>
    <row r="699" spans="2:5" x14ac:dyDescent="0.15">
      <c r="B699" s="19" t="str">
        <f t="shared" si="10"/>
        <v>__</v>
      </c>
      <c r="C699" s="18"/>
      <c r="D699" s="18"/>
      <c r="E699" s="18"/>
    </row>
    <row r="700" spans="2:5" x14ac:dyDescent="0.15">
      <c r="B700" s="19" t="str">
        <f t="shared" si="10"/>
        <v>__</v>
      </c>
      <c r="C700" s="18"/>
      <c r="D700" s="18"/>
      <c r="E700" s="18"/>
    </row>
    <row r="701" spans="2:5" x14ac:dyDescent="0.15">
      <c r="B701" s="19" t="str">
        <f t="shared" si="10"/>
        <v>__</v>
      </c>
      <c r="C701" s="18"/>
      <c r="D701" s="18"/>
      <c r="E701" s="18"/>
    </row>
    <row r="702" spans="2:5" x14ac:dyDescent="0.15">
      <c r="B702" s="19" t="str">
        <f t="shared" si="10"/>
        <v>__</v>
      </c>
      <c r="C702" s="18"/>
      <c r="D702" s="18"/>
      <c r="E702" s="18"/>
    </row>
    <row r="703" spans="2:5" x14ac:dyDescent="0.15">
      <c r="B703" s="19" t="str">
        <f t="shared" si="10"/>
        <v>__</v>
      </c>
      <c r="C703" s="18"/>
      <c r="D703" s="18"/>
      <c r="E703" s="18"/>
    </row>
    <row r="704" spans="2:5" x14ac:dyDescent="0.15">
      <c r="B704" s="19" t="str">
        <f t="shared" si="10"/>
        <v>__</v>
      </c>
      <c r="C704" s="18"/>
      <c r="D704" s="18"/>
      <c r="E704" s="18"/>
    </row>
    <row r="705" spans="2:5" x14ac:dyDescent="0.15">
      <c r="B705" s="19" t="str">
        <f t="shared" si="10"/>
        <v>__</v>
      </c>
      <c r="C705" s="18"/>
      <c r="D705" s="18"/>
      <c r="E705" s="18"/>
    </row>
    <row r="706" spans="2:5" x14ac:dyDescent="0.15">
      <c r="B706" s="19" t="str">
        <f t="shared" si="10"/>
        <v>__</v>
      </c>
      <c r="C706" s="18"/>
      <c r="D706" s="18"/>
      <c r="E706" s="18"/>
    </row>
    <row r="707" spans="2:5" x14ac:dyDescent="0.15">
      <c r="B707" s="19" t="str">
        <f t="shared" ref="B707:B747" si="11">C707&amp;"_"&amp;D707&amp;"_"&amp;E707</f>
        <v>__</v>
      </c>
      <c r="C707" s="18"/>
      <c r="D707" s="18"/>
      <c r="E707" s="18"/>
    </row>
    <row r="708" spans="2:5" x14ac:dyDescent="0.15">
      <c r="B708" s="19" t="str">
        <f t="shared" si="11"/>
        <v>__</v>
      </c>
      <c r="C708" s="18"/>
      <c r="D708" s="18"/>
      <c r="E708" s="18"/>
    </row>
    <row r="709" spans="2:5" x14ac:dyDescent="0.15">
      <c r="B709" s="19" t="str">
        <f t="shared" si="11"/>
        <v>__</v>
      </c>
      <c r="C709" s="18"/>
      <c r="D709" s="18"/>
      <c r="E709" s="18"/>
    </row>
    <row r="710" spans="2:5" x14ac:dyDescent="0.15">
      <c r="B710" s="19" t="str">
        <f t="shared" si="11"/>
        <v>__</v>
      </c>
      <c r="C710" s="18"/>
      <c r="D710" s="18"/>
      <c r="E710" s="18"/>
    </row>
    <row r="711" spans="2:5" x14ac:dyDescent="0.15">
      <c r="B711" s="19" t="str">
        <f t="shared" si="11"/>
        <v>__</v>
      </c>
      <c r="C711" s="18"/>
      <c r="D711" s="18"/>
      <c r="E711" s="18"/>
    </row>
    <row r="712" spans="2:5" x14ac:dyDescent="0.15">
      <c r="B712" s="19" t="str">
        <f t="shared" si="11"/>
        <v>__</v>
      </c>
      <c r="C712" s="18"/>
      <c r="D712" s="18"/>
      <c r="E712" s="18"/>
    </row>
    <row r="713" spans="2:5" x14ac:dyDescent="0.15">
      <c r="B713" s="19" t="str">
        <f t="shared" si="11"/>
        <v>__</v>
      </c>
      <c r="C713" s="18"/>
      <c r="D713" s="18"/>
      <c r="E713" s="18"/>
    </row>
    <row r="714" spans="2:5" x14ac:dyDescent="0.15">
      <c r="B714" s="19" t="str">
        <f t="shared" si="11"/>
        <v>__</v>
      </c>
      <c r="C714" s="18"/>
      <c r="D714" s="18"/>
      <c r="E714" s="18"/>
    </row>
    <row r="715" spans="2:5" x14ac:dyDescent="0.15">
      <c r="B715" s="19" t="str">
        <f t="shared" si="11"/>
        <v>__</v>
      </c>
      <c r="C715" s="18"/>
      <c r="D715" s="18"/>
      <c r="E715" s="18"/>
    </row>
    <row r="716" spans="2:5" x14ac:dyDescent="0.15">
      <c r="B716" s="19" t="str">
        <f t="shared" si="11"/>
        <v>__</v>
      </c>
      <c r="C716" s="18"/>
      <c r="D716" s="18"/>
      <c r="E716" s="18"/>
    </row>
    <row r="717" spans="2:5" x14ac:dyDescent="0.15">
      <c r="B717" s="19" t="str">
        <f t="shared" si="11"/>
        <v>__</v>
      </c>
      <c r="C717" s="18"/>
      <c r="D717" s="18"/>
      <c r="E717" s="18"/>
    </row>
    <row r="718" spans="2:5" x14ac:dyDescent="0.15">
      <c r="B718" s="19" t="str">
        <f t="shared" si="11"/>
        <v>__</v>
      </c>
      <c r="C718" s="18"/>
      <c r="D718" s="18"/>
      <c r="E718" s="18"/>
    </row>
    <row r="719" spans="2:5" x14ac:dyDescent="0.15">
      <c r="B719" s="19" t="str">
        <f t="shared" si="11"/>
        <v>__</v>
      </c>
      <c r="C719" s="18"/>
      <c r="D719" s="18"/>
      <c r="E719" s="18"/>
    </row>
    <row r="720" spans="2:5" x14ac:dyDescent="0.15">
      <c r="B720" s="19" t="str">
        <f t="shared" si="11"/>
        <v>__</v>
      </c>
      <c r="C720" s="18"/>
      <c r="D720" s="18"/>
      <c r="E720" s="18"/>
    </row>
    <row r="721" spans="2:5" x14ac:dyDescent="0.15">
      <c r="B721" s="19" t="str">
        <f t="shared" si="11"/>
        <v>__</v>
      </c>
      <c r="C721" s="18"/>
      <c r="D721" s="18"/>
      <c r="E721" s="18"/>
    </row>
    <row r="722" spans="2:5" x14ac:dyDescent="0.15">
      <c r="B722" s="19" t="str">
        <f t="shared" si="11"/>
        <v>__</v>
      </c>
      <c r="C722" s="18"/>
      <c r="D722" s="18"/>
      <c r="E722" s="18"/>
    </row>
    <row r="723" spans="2:5" x14ac:dyDescent="0.15">
      <c r="B723" s="19" t="str">
        <f t="shared" si="11"/>
        <v>__</v>
      </c>
      <c r="C723" s="18"/>
      <c r="D723" s="18"/>
      <c r="E723" s="18"/>
    </row>
    <row r="724" spans="2:5" x14ac:dyDescent="0.15">
      <c r="B724" s="19" t="str">
        <f t="shared" si="11"/>
        <v>__</v>
      </c>
      <c r="C724" s="18"/>
      <c r="D724" s="18"/>
      <c r="E724" s="18"/>
    </row>
    <row r="725" spans="2:5" x14ac:dyDescent="0.15">
      <c r="B725" s="19" t="str">
        <f t="shared" si="11"/>
        <v>__</v>
      </c>
      <c r="C725" s="18"/>
      <c r="D725" s="18"/>
      <c r="E725" s="18"/>
    </row>
    <row r="726" spans="2:5" x14ac:dyDescent="0.15">
      <c r="B726" s="19" t="str">
        <f t="shared" si="11"/>
        <v>__</v>
      </c>
      <c r="C726" s="18"/>
      <c r="D726" s="18"/>
      <c r="E726" s="18"/>
    </row>
    <row r="727" spans="2:5" x14ac:dyDescent="0.15">
      <c r="B727" s="19" t="str">
        <f t="shared" si="11"/>
        <v>__</v>
      </c>
      <c r="C727" s="18"/>
      <c r="D727" s="18"/>
      <c r="E727" s="18"/>
    </row>
    <row r="728" spans="2:5" x14ac:dyDescent="0.15">
      <c r="B728" s="19" t="str">
        <f t="shared" si="11"/>
        <v>__</v>
      </c>
      <c r="C728" s="18"/>
      <c r="D728" s="18"/>
      <c r="E728" s="18"/>
    </row>
    <row r="729" spans="2:5" x14ac:dyDescent="0.15">
      <c r="B729" s="19" t="str">
        <f t="shared" si="11"/>
        <v>__</v>
      </c>
      <c r="C729" s="18"/>
      <c r="D729" s="18"/>
      <c r="E729" s="18"/>
    </row>
    <row r="730" spans="2:5" x14ac:dyDescent="0.15">
      <c r="B730" s="19" t="str">
        <f t="shared" si="11"/>
        <v>__</v>
      </c>
      <c r="C730" s="18"/>
      <c r="D730" s="18"/>
      <c r="E730" s="18"/>
    </row>
    <row r="731" spans="2:5" x14ac:dyDescent="0.15">
      <c r="B731" s="19" t="str">
        <f t="shared" si="11"/>
        <v>__</v>
      </c>
      <c r="C731" s="18"/>
      <c r="D731" s="18"/>
      <c r="E731" s="18"/>
    </row>
    <row r="732" spans="2:5" x14ac:dyDescent="0.15">
      <c r="B732" s="19" t="str">
        <f t="shared" si="11"/>
        <v>__</v>
      </c>
      <c r="C732" s="18"/>
      <c r="D732" s="18"/>
      <c r="E732" s="18"/>
    </row>
    <row r="733" spans="2:5" x14ac:dyDescent="0.15">
      <c r="B733" s="19" t="str">
        <f t="shared" si="11"/>
        <v>__</v>
      </c>
      <c r="C733" s="18"/>
      <c r="D733" s="18"/>
      <c r="E733" s="18"/>
    </row>
    <row r="734" spans="2:5" x14ac:dyDescent="0.15">
      <c r="B734" s="19" t="str">
        <f t="shared" si="11"/>
        <v>__</v>
      </c>
      <c r="C734" s="18"/>
      <c r="D734" s="18"/>
      <c r="E734" s="18"/>
    </row>
    <row r="735" spans="2:5" x14ac:dyDescent="0.15">
      <c r="B735" s="19" t="str">
        <f t="shared" si="11"/>
        <v>__</v>
      </c>
      <c r="C735" s="18"/>
      <c r="D735" s="18"/>
      <c r="E735" s="18"/>
    </row>
    <row r="736" spans="2:5" x14ac:dyDescent="0.15">
      <c r="B736" s="19" t="str">
        <f t="shared" si="11"/>
        <v>__</v>
      </c>
      <c r="C736" s="18"/>
      <c r="D736" s="18"/>
      <c r="E736" s="18"/>
    </row>
    <row r="737" spans="2:5" x14ac:dyDescent="0.15">
      <c r="B737" s="19" t="str">
        <f t="shared" si="11"/>
        <v>__</v>
      </c>
      <c r="C737" s="18"/>
      <c r="D737" s="18"/>
      <c r="E737" s="18"/>
    </row>
    <row r="738" spans="2:5" x14ac:dyDescent="0.15">
      <c r="B738" s="19" t="str">
        <f t="shared" si="11"/>
        <v>__</v>
      </c>
      <c r="C738" s="18"/>
      <c r="D738" s="18"/>
      <c r="E738" s="18"/>
    </row>
    <row r="739" spans="2:5" x14ac:dyDescent="0.15">
      <c r="B739" s="19" t="str">
        <f t="shared" si="11"/>
        <v>__</v>
      </c>
      <c r="C739" s="18"/>
      <c r="D739" s="18"/>
      <c r="E739" s="18"/>
    </row>
    <row r="740" spans="2:5" x14ac:dyDescent="0.15">
      <c r="B740" s="19" t="str">
        <f t="shared" si="11"/>
        <v>__</v>
      </c>
      <c r="C740" s="18"/>
      <c r="D740" s="18"/>
      <c r="E740" s="18"/>
    </row>
    <row r="741" spans="2:5" x14ac:dyDescent="0.15">
      <c r="B741" s="19" t="str">
        <f t="shared" si="11"/>
        <v>__</v>
      </c>
      <c r="C741" s="18"/>
      <c r="D741" s="18"/>
      <c r="E741" s="18"/>
    </row>
    <row r="742" spans="2:5" x14ac:dyDescent="0.15">
      <c r="B742" s="19" t="str">
        <f t="shared" si="11"/>
        <v>__</v>
      </c>
      <c r="C742" s="18"/>
      <c r="D742" s="18"/>
      <c r="E742" s="18"/>
    </row>
    <row r="743" spans="2:5" x14ac:dyDescent="0.15">
      <c r="B743" s="19" t="str">
        <f t="shared" si="11"/>
        <v>__</v>
      </c>
      <c r="C743" s="18"/>
      <c r="D743" s="18"/>
      <c r="E743" s="18"/>
    </row>
    <row r="744" spans="2:5" x14ac:dyDescent="0.15">
      <c r="B744" s="19" t="str">
        <f t="shared" si="11"/>
        <v>__</v>
      </c>
      <c r="C744" s="18"/>
      <c r="D744" s="18"/>
      <c r="E744" s="18"/>
    </row>
    <row r="745" spans="2:5" x14ac:dyDescent="0.15">
      <c r="B745" s="19" t="str">
        <f t="shared" si="11"/>
        <v>__</v>
      </c>
      <c r="C745" s="18"/>
      <c r="D745" s="18"/>
      <c r="E745" s="18"/>
    </row>
    <row r="746" spans="2:5" x14ac:dyDescent="0.15">
      <c r="B746" s="19" t="str">
        <f t="shared" si="11"/>
        <v>__</v>
      </c>
      <c r="C746" s="18"/>
      <c r="D746" s="18"/>
      <c r="E746" s="18"/>
    </row>
    <row r="747" spans="2:5" x14ac:dyDescent="0.15">
      <c r="B747" s="19" t="str">
        <f t="shared" si="11"/>
        <v>__</v>
      </c>
      <c r="C747" s="18"/>
      <c r="D747" s="18"/>
      <c r="E747" s="1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利益演示</vt:lpstr>
      <vt:lpstr>利益演示-组合万能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Xiaojing</dc:creator>
  <cp:lastModifiedBy>续晓婧</cp:lastModifiedBy>
  <dcterms:created xsi:type="dcterms:W3CDTF">2022-09-01T07:26:47Z</dcterms:created>
  <dcterms:modified xsi:type="dcterms:W3CDTF">2023-08-03T09:36:21Z</dcterms:modified>
</cp:coreProperties>
</file>